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katerynasheptak/Downloads/My project/"/>
    </mc:Choice>
  </mc:AlternateContent>
  <xr:revisionPtr revIDLastSave="0" documentId="13_ncr:1_{4D7B4E90-2192-8544-8801-742A071ACD5C}" xr6:coauthVersionLast="47" xr6:coauthVersionMax="47" xr10:uidLastSave="{00000000-0000-0000-0000-000000000000}"/>
  <bookViews>
    <workbookView xWindow="0" yWindow="500" windowWidth="28800" windowHeight="16240" activeTab="3" xr2:uid="{00000000-000D-0000-FFFF-FFFF00000000}"/>
  </bookViews>
  <sheets>
    <sheet name="Raw Data" sheetId="4" r:id="rId1"/>
    <sheet name="Work" sheetId="5" r:id="rId2"/>
    <sheet name="Pivotable" sheetId="9" r:id="rId3"/>
    <sheet name="Dashboard" sheetId="10" r:id="rId4"/>
  </sheets>
  <definedNames>
    <definedName name="_xlnm._FilterDatabase" localSheetId="0" hidden="1">'Raw Data'!$A$1:$S$1038</definedName>
    <definedName name="_xlnm._FilterDatabase" localSheetId="1" hidden="1">Work!$A$1:$X$1016</definedName>
    <definedName name="Slicer_City">#N/A</definedName>
    <definedName name="Slicer_Gender">#N/A</definedName>
    <definedName name="Slicer_Month">#N/A</definedName>
    <definedName name="Slicer_Order_Source">#N/A</definedName>
    <definedName name="Slicer_Region">#N/A</definedName>
    <definedName name="Slicer_Sing_type">#N/A</definedName>
    <definedName name="Slicer_Type_of_Business">#N/A</definedName>
  </definedNames>
  <calcPr calcId="191029"/>
  <pivotCaches>
    <pivotCache cacheId="283"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5" l="1"/>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2" i="5"/>
  <c r="N2" i="5"/>
  <c r="O2" i="5" s="1"/>
  <c r="N3" i="5"/>
  <c r="O3" i="5" s="1"/>
  <c r="N4" i="5"/>
  <c r="O4" i="5" s="1"/>
  <c r="N5" i="5"/>
  <c r="O5" i="5" s="1"/>
  <c r="N6" i="5"/>
  <c r="O6" i="5" s="1"/>
  <c r="N7" i="5"/>
  <c r="O7" i="5" s="1"/>
  <c r="N8" i="5"/>
  <c r="O8" i="5" s="1"/>
  <c r="N9" i="5"/>
  <c r="O9" i="5" s="1"/>
  <c r="N10" i="5"/>
  <c r="O10" i="5" s="1"/>
  <c r="N11" i="5"/>
  <c r="O11" i="5" s="1"/>
  <c r="N12" i="5"/>
  <c r="O12" i="5" s="1"/>
  <c r="N13" i="5"/>
  <c r="O13" i="5" s="1"/>
  <c r="N14" i="5"/>
  <c r="O14" i="5" s="1"/>
  <c r="N15" i="5"/>
  <c r="O15" i="5" s="1"/>
  <c r="N16" i="5"/>
  <c r="O16" i="5" s="1"/>
  <c r="N17" i="5"/>
  <c r="O17" i="5" s="1"/>
  <c r="N18" i="5"/>
  <c r="O18" i="5" s="1"/>
  <c r="N19" i="5"/>
  <c r="O19" i="5" s="1"/>
  <c r="N20" i="5"/>
  <c r="O20" i="5" s="1"/>
  <c r="N21" i="5"/>
  <c r="O21" i="5" s="1"/>
  <c r="N22" i="5"/>
  <c r="O22" i="5" s="1"/>
  <c r="N23" i="5"/>
  <c r="O23" i="5" s="1"/>
  <c r="N24" i="5"/>
  <c r="O24" i="5" s="1"/>
  <c r="N25" i="5"/>
  <c r="O25" i="5" s="1"/>
  <c r="N26" i="5"/>
  <c r="O26" i="5" s="1"/>
  <c r="N27" i="5"/>
  <c r="O27" i="5" s="1"/>
  <c r="N28" i="5"/>
  <c r="O28" i="5" s="1"/>
  <c r="N29" i="5"/>
  <c r="O29" i="5" s="1"/>
  <c r="N30" i="5"/>
  <c r="O30" i="5" s="1"/>
  <c r="N31" i="5"/>
  <c r="O31" i="5" s="1"/>
  <c r="N32" i="5"/>
  <c r="O32" i="5" s="1"/>
  <c r="N33" i="5"/>
  <c r="O33" i="5" s="1"/>
  <c r="N34" i="5"/>
  <c r="O34" i="5" s="1"/>
  <c r="N35" i="5"/>
  <c r="O35" i="5" s="1"/>
  <c r="N36" i="5"/>
  <c r="O36" i="5" s="1"/>
  <c r="N37" i="5"/>
  <c r="O37" i="5" s="1"/>
  <c r="N38" i="5"/>
  <c r="O38" i="5" s="1"/>
  <c r="N39" i="5"/>
  <c r="O39" i="5" s="1"/>
  <c r="N40" i="5"/>
  <c r="O40" i="5" s="1"/>
  <c r="N41" i="5"/>
  <c r="O41" i="5" s="1"/>
  <c r="N42" i="5"/>
  <c r="O42" i="5" s="1"/>
  <c r="N43" i="5"/>
  <c r="O43" i="5" s="1"/>
  <c r="N44" i="5"/>
  <c r="O44" i="5" s="1"/>
  <c r="N45" i="5"/>
  <c r="O45" i="5" s="1"/>
  <c r="N46" i="5"/>
  <c r="O46" i="5" s="1"/>
  <c r="N47" i="5"/>
  <c r="O47" i="5" s="1"/>
  <c r="N48" i="5"/>
  <c r="O48" i="5" s="1"/>
  <c r="N49" i="5"/>
  <c r="O49" i="5" s="1"/>
  <c r="N50" i="5"/>
  <c r="O50" i="5" s="1"/>
  <c r="N51" i="5"/>
  <c r="O51" i="5" s="1"/>
  <c r="N52" i="5"/>
  <c r="O52" i="5" s="1"/>
  <c r="N53" i="5"/>
  <c r="O53" i="5" s="1"/>
  <c r="N54" i="5"/>
  <c r="O54" i="5" s="1"/>
  <c r="N55" i="5"/>
  <c r="O55" i="5" s="1"/>
  <c r="N56" i="5"/>
  <c r="O56" i="5" s="1"/>
  <c r="N57" i="5"/>
  <c r="O57" i="5" s="1"/>
  <c r="N58" i="5"/>
  <c r="O58" i="5" s="1"/>
  <c r="N59" i="5"/>
  <c r="O59" i="5" s="1"/>
  <c r="N60" i="5"/>
  <c r="O60" i="5" s="1"/>
  <c r="N61" i="5"/>
  <c r="O61" i="5" s="1"/>
  <c r="N62" i="5"/>
  <c r="O62" i="5" s="1"/>
  <c r="N63" i="5"/>
  <c r="O63" i="5" s="1"/>
  <c r="N64" i="5"/>
  <c r="O64" i="5" s="1"/>
  <c r="N65" i="5"/>
  <c r="O65" i="5" s="1"/>
  <c r="N66" i="5"/>
  <c r="O66" i="5" s="1"/>
  <c r="N67" i="5"/>
  <c r="O67" i="5" s="1"/>
  <c r="N68" i="5"/>
  <c r="O68" i="5" s="1"/>
  <c r="N69" i="5"/>
  <c r="O69" i="5" s="1"/>
  <c r="N70" i="5"/>
  <c r="O70" i="5" s="1"/>
  <c r="N71" i="5"/>
  <c r="O71" i="5" s="1"/>
  <c r="N72" i="5"/>
  <c r="O72" i="5" s="1"/>
  <c r="N73" i="5"/>
  <c r="O73" i="5" s="1"/>
  <c r="N74" i="5"/>
  <c r="O74" i="5" s="1"/>
  <c r="N75" i="5"/>
  <c r="O75" i="5" s="1"/>
  <c r="N76" i="5"/>
  <c r="O76" i="5" s="1"/>
  <c r="N77" i="5"/>
  <c r="O77" i="5" s="1"/>
  <c r="N78" i="5"/>
  <c r="O78" i="5" s="1"/>
  <c r="N79" i="5"/>
  <c r="O79" i="5" s="1"/>
  <c r="N80" i="5"/>
  <c r="O80" i="5" s="1"/>
  <c r="N81" i="5"/>
  <c r="O81" i="5" s="1"/>
  <c r="N82" i="5"/>
  <c r="O82" i="5" s="1"/>
  <c r="N83" i="5"/>
  <c r="O83" i="5" s="1"/>
  <c r="N84" i="5"/>
  <c r="O84" i="5" s="1"/>
  <c r="N85" i="5"/>
  <c r="O85" i="5" s="1"/>
  <c r="N86" i="5"/>
  <c r="O86" i="5" s="1"/>
  <c r="N87" i="5"/>
  <c r="O87" i="5" s="1"/>
  <c r="N88" i="5"/>
  <c r="O88" i="5" s="1"/>
  <c r="N89" i="5"/>
  <c r="O89" i="5" s="1"/>
  <c r="N90" i="5"/>
  <c r="O90" i="5" s="1"/>
  <c r="N91" i="5"/>
  <c r="O91" i="5" s="1"/>
  <c r="N92" i="5"/>
  <c r="O92" i="5" s="1"/>
  <c r="N93" i="5"/>
  <c r="O93" i="5" s="1"/>
  <c r="N94" i="5"/>
  <c r="O94" i="5" s="1"/>
  <c r="N95" i="5"/>
  <c r="O95" i="5" s="1"/>
  <c r="N96" i="5"/>
  <c r="O96" i="5" s="1"/>
  <c r="N97" i="5"/>
  <c r="O97" i="5" s="1"/>
  <c r="N98" i="5"/>
  <c r="O98" i="5" s="1"/>
  <c r="N99" i="5"/>
  <c r="O99" i="5" s="1"/>
  <c r="N100" i="5"/>
  <c r="O100" i="5" s="1"/>
  <c r="N101" i="5"/>
  <c r="O101" i="5" s="1"/>
  <c r="N102" i="5"/>
  <c r="O102" i="5" s="1"/>
  <c r="N103" i="5"/>
  <c r="O103" i="5" s="1"/>
  <c r="N104" i="5"/>
  <c r="O104" i="5" s="1"/>
  <c r="N105" i="5"/>
  <c r="O105" i="5" s="1"/>
  <c r="N106" i="5"/>
  <c r="O106" i="5" s="1"/>
  <c r="N107" i="5"/>
  <c r="O107" i="5" s="1"/>
  <c r="N108" i="5"/>
  <c r="O108" i="5" s="1"/>
  <c r="N109" i="5"/>
  <c r="O109" i="5" s="1"/>
  <c r="N110" i="5"/>
  <c r="O110" i="5" s="1"/>
  <c r="N111" i="5"/>
  <c r="O111" i="5" s="1"/>
  <c r="N112" i="5"/>
  <c r="O112" i="5" s="1"/>
  <c r="N113" i="5"/>
  <c r="O113" i="5" s="1"/>
  <c r="N114" i="5"/>
  <c r="O114" i="5" s="1"/>
  <c r="N115" i="5"/>
  <c r="O115" i="5" s="1"/>
  <c r="N116" i="5"/>
  <c r="O116" i="5" s="1"/>
  <c r="N117" i="5"/>
  <c r="O117" i="5" s="1"/>
  <c r="N118" i="5"/>
  <c r="O118" i="5" s="1"/>
  <c r="N119" i="5"/>
  <c r="O119" i="5" s="1"/>
  <c r="N120" i="5"/>
  <c r="O120" i="5" s="1"/>
  <c r="N121" i="5"/>
  <c r="O121" i="5" s="1"/>
  <c r="N122" i="5"/>
  <c r="O122" i="5" s="1"/>
  <c r="N123" i="5"/>
  <c r="O123" i="5" s="1"/>
  <c r="N124" i="5"/>
  <c r="O124" i="5" s="1"/>
  <c r="N125" i="5"/>
  <c r="O125" i="5" s="1"/>
  <c r="N126" i="5"/>
  <c r="O126" i="5" s="1"/>
  <c r="N127" i="5"/>
  <c r="O127" i="5" s="1"/>
  <c r="N128" i="5"/>
  <c r="O128" i="5" s="1"/>
  <c r="N129" i="5"/>
  <c r="O129" i="5" s="1"/>
  <c r="N130" i="5"/>
  <c r="O130" i="5" s="1"/>
  <c r="N131" i="5"/>
  <c r="O131" i="5" s="1"/>
  <c r="N132" i="5"/>
  <c r="O132" i="5" s="1"/>
  <c r="N133" i="5"/>
  <c r="O133" i="5" s="1"/>
  <c r="N134" i="5"/>
  <c r="O134" i="5" s="1"/>
  <c r="N135" i="5"/>
  <c r="O135" i="5" s="1"/>
  <c r="N136" i="5"/>
  <c r="O136" i="5" s="1"/>
  <c r="N137" i="5"/>
  <c r="O137" i="5" s="1"/>
  <c r="N138" i="5"/>
  <c r="O138" i="5" s="1"/>
  <c r="N139" i="5"/>
  <c r="O139" i="5" s="1"/>
  <c r="N140" i="5"/>
  <c r="O140" i="5" s="1"/>
  <c r="N141" i="5"/>
  <c r="O141" i="5" s="1"/>
  <c r="N142" i="5"/>
  <c r="O142" i="5" s="1"/>
  <c r="N143" i="5"/>
  <c r="O143" i="5" s="1"/>
  <c r="N144" i="5"/>
  <c r="O144" i="5" s="1"/>
  <c r="N145" i="5"/>
  <c r="O145" i="5" s="1"/>
  <c r="N146" i="5"/>
  <c r="O146" i="5" s="1"/>
  <c r="N147" i="5"/>
  <c r="O147" i="5" s="1"/>
  <c r="N148" i="5"/>
  <c r="O148" i="5" s="1"/>
  <c r="N149" i="5"/>
  <c r="O149" i="5" s="1"/>
  <c r="N150" i="5"/>
  <c r="O150" i="5" s="1"/>
  <c r="N151" i="5"/>
  <c r="O151" i="5" s="1"/>
  <c r="N152" i="5"/>
  <c r="O152" i="5" s="1"/>
  <c r="N153" i="5"/>
  <c r="O153" i="5" s="1"/>
  <c r="N154" i="5"/>
  <c r="O154" i="5" s="1"/>
  <c r="N155" i="5"/>
  <c r="O155" i="5" s="1"/>
  <c r="N156" i="5"/>
  <c r="O156" i="5" s="1"/>
  <c r="N157" i="5"/>
  <c r="O157" i="5" s="1"/>
  <c r="N158" i="5"/>
  <c r="O158" i="5" s="1"/>
  <c r="N159" i="5"/>
  <c r="O159" i="5" s="1"/>
  <c r="N160" i="5"/>
  <c r="O160" i="5" s="1"/>
  <c r="N161" i="5"/>
  <c r="O161" i="5" s="1"/>
  <c r="N162" i="5"/>
  <c r="O162" i="5" s="1"/>
  <c r="N163" i="5"/>
  <c r="O163" i="5" s="1"/>
  <c r="N164" i="5"/>
  <c r="O164" i="5" s="1"/>
  <c r="N165" i="5"/>
  <c r="O165" i="5" s="1"/>
  <c r="N166" i="5"/>
  <c r="O166" i="5" s="1"/>
  <c r="N167" i="5"/>
  <c r="O167" i="5" s="1"/>
  <c r="N168" i="5"/>
  <c r="O168" i="5" s="1"/>
  <c r="N169" i="5"/>
  <c r="O169" i="5" s="1"/>
  <c r="N170" i="5"/>
  <c r="O170" i="5" s="1"/>
  <c r="N171" i="5"/>
  <c r="O171" i="5" s="1"/>
  <c r="N172" i="5"/>
  <c r="O172" i="5" s="1"/>
  <c r="N173" i="5"/>
  <c r="O173" i="5" s="1"/>
  <c r="N174" i="5"/>
  <c r="O174" i="5" s="1"/>
  <c r="N175" i="5"/>
  <c r="O175" i="5" s="1"/>
  <c r="N176" i="5"/>
  <c r="O176" i="5" s="1"/>
  <c r="N177" i="5"/>
  <c r="O177" i="5" s="1"/>
  <c r="N178" i="5"/>
  <c r="O178" i="5" s="1"/>
  <c r="N179" i="5"/>
  <c r="O179" i="5" s="1"/>
  <c r="N180" i="5"/>
  <c r="O180" i="5" s="1"/>
  <c r="N181" i="5"/>
  <c r="O181" i="5" s="1"/>
  <c r="N182" i="5"/>
  <c r="O182" i="5" s="1"/>
  <c r="N183" i="5"/>
  <c r="O183" i="5" s="1"/>
  <c r="N184" i="5"/>
  <c r="O184" i="5" s="1"/>
  <c r="L185" i="5"/>
  <c r="N185" i="5" s="1"/>
  <c r="O185" i="5" s="1"/>
  <c r="N186" i="5"/>
  <c r="O186" i="5" s="1"/>
  <c r="N187" i="5"/>
  <c r="O187" i="5" s="1"/>
  <c r="N188" i="5"/>
  <c r="O188" i="5" s="1"/>
  <c r="N189" i="5"/>
  <c r="O189" i="5" s="1"/>
  <c r="N190" i="5"/>
  <c r="O190" i="5" s="1"/>
  <c r="N191" i="5"/>
  <c r="O191" i="5" s="1"/>
  <c r="N192" i="5"/>
  <c r="O192" i="5" s="1"/>
  <c r="N193" i="5"/>
  <c r="O193" i="5" s="1"/>
  <c r="N194" i="5"/>
  <c r="O194" i="5" s="1"/>
  <c r="N195" i="5"/>
  <c r="O195" i="5" s="1"/>
  <c r="N196" i="5"/>
  <c r="O196" i="5" s="1"/>
  <c r="N197" i="5"/>
  <c r="O197" i="5" s="1"/>
  <c r="N198" i="5"/>
  <c r="O198" i="5" s="1"/>
  <c r="N199" i="5"/>
  <c r="O199" i="5" s="1"/>
  <c r="N200" i="5"/>
  <c r="O200" i="5" s="1"/>
  <c r="N201" i="5"/>
  <c r="O201" i="5" s="1"/>
  <c r="N202" i="5"/>
  <c r="O202" i="5" s="1"/>
  <c r="N203" i="5"/>
  <c r="O203" i="5" s="1"/>
  <c r="N204" i="5"/>
  <c r="O204" i="5" s="1"/>
  <c r="N205" i="5"/>
  <c r="O205" i="5" s="1"/>
  <c r="N206" i="5"/>
  <c r="O206" i="5" s="1"/>
  <c r="N207" i="5"/>
  <c r="O207" i="5" s="1"/>
  <c r="N208" i="5"/>
  <c r="O208" i="5" s="1"/>
  <c r="N209" i="5"/>
  <c r="O209" i="5" s="1"/>
  <c r="N210" i="5"/>
  <c r="O210" i="5" s="1"/>
  <c r="N211" i="5"/>
  <c r="O211" i="5" s="1"/>
  <c r="N212" i="5"/>
  <c r="O212" i="5" s="1"/>
  <c r="N213" i="5"/>
  <c r="O213" i="5" s="1"/>
  <c r="N214" i="5"/>
  <c r="O214" i="5" s="1"/>
  <c r="N215" i="5"/>
  <c r="O215" i="5" s="1"/>
  <c r="N216" i="5"/>
  <c r="O216" i="5" s="1"/>
  <c r="N217" i="5"/>
  <c r="O217" i="5" s="1"/>
  <c r="N218" i="5"/>
  <c r="O218" i="5" s="1"/>
  <c r="N219" i="5"/>
  <c r="O219" i="5" s="1"/>
  <c r="N220" i="5"/>
  <c r="O220" i="5" s="1"/>
  <c r="N221" i="5"/>
  <c r="O221" i="5" s="1"/>
  <c r="N222" i="5"/>
  <c r="O222" i="5" s="1"/>
  <c r="N223" i="5"/>
  <c r="O223" i="5" s="1"/>
  <c r="M224" i="5"/>
  <c r="N224" i="5"/>
  <c r="N225" i="5"/>
  <c r="O225" i="5" s="1"/>
  <c r="N226" i="5"/>
  <c r="O226" i="5" s="1"/>
  <c r="M227" i="5"/>
  <c r="N227" i="5"/>
  <c r="N228" i="5"/>
  <c r="O228" i="5" s="1"/>
  <c r="M229" i="5"/>
  <c r="N229" i="5"/>
  <c r="N230" i="5"/>
  <c r="O230" i="5" s="1"/>
  <c r="M231" i="5"/>
  <c r="N231" i="5"/>
  <c r="M232" i="5"/>
  <c r="N232" i="5"/>
  <c r="N233" i="5"/>
  <c r="O233" i="5" s="1"/>
  <c r="N234" i="5"/>
  <c r="O234" i="5" s="1"/>
  <c r="N235" i="5"/>
  <c r="O235" i="5" s="1"/>
  <c r="N236" i="5"/>
  <c r="O236" i="5" s="1"/>
  <c r="N237" i="5"/>
  <c r="O237" i="5" s="1"/>
  <c r="N238" i="5"/>
  <c r="O238" i="5" s="1"/>
  <c r="L239" i="5"/>
  <c r="N239" i="5" s="1"/>
  <c r="M239" i="5"/>
  <c r="N240" i="5"/>
  <c r="O240" i="5" s="1"/>
  <c r="N241" i="5"/>
  <c r="O241" i="5" s="1"/>
  <c r="N242" i="5"/>
  <c r="O242" i="5" s="1"/>
  <c r="N243" i="5"/>
  <c r="O243" i="5" s="1"/>
  <c r="N244" i="5"/>
  <c r="O244" i="5" s="1"/>
  <c r="L245" i="5"/>
  <c r="N245" i="5" s="1"/>
  <c r="M245" i="5"/>
  <c r="N246" i="5"/>
  <c r="O246" i="5" s="1"/>
  <c r="N247" i="5"/>
  <c r="O247" i="5" s="1"/>
  <c r="N248" i="5"/>
  <c r="O248" i="5" s="1"/>
  <c r="N249" i="5"/>
  <c r="O249" i="5" s="1"/>
  <c r="N250" i="5"/>
  <c r="O250" i="5" s="1"/>
  <c r="N251" i="5"/>
  <c r="O251" i="5" s="1"/>
  <c r="N252" i="5"/>
  <c r="O252" i="5" s="1"/>
  <c r="N253" i="5"/>
  <c r="O253" i="5" s="1"/>
  <c r="N254" i="5"/>
  <c r="O254" i="5" s="1"/>
  <c r="N255" i="5"/>
  <c r="O255" i="5" s="1"/>
  <c r="N256" i="5"/>
  <c r="O256" i="5" s="1"/>
  <c r="M257" i="5"/>
  <c r="N257" i="5"/>
  <c r="M258" i="5"/>
  <c r="N258" i="5"/>
  <c r="L259" i="5"/>
  <c r="N259" i="5" s="1"/>
  <c r="O259" i="5" s="1"/>
  <c r="L260" i="5"/>
  <c r="N260" i="5" s="1"/>
  <c r="O260" i="5" s="1"/>
  <c r="N261" i="5"/>
  <c r="O261" i="5" s="1"/>
  <c r="N262" i="5"/>
  <c r="O262" i="5" s="1"/>
  <c r="L263" i="5"/>
  <c r="N263" i="5" s="1"/>
  <c r="O263" i="5" s="1"/>
  <c r="N264" i="5"/>
  <c r="O264" i="5" s="1"/>
  <c r="N265" i="5"/>
  <c r="O265" i="5" s="1"/>
  <c r="N266" i="5"/>
  <c r="O266" i="5" s="1"/>
  <c r="M267" i="5"/>
  <c r="N267" i="5"/>
  <c r="N268" i="5"/>
  <c r="O268" i="5" s="1"/>
  <c r="N269" i="5"/>
  <c r="O269" i="5" s="1"/>
  <c r="M270" i="5"/>
  <c r="N270" i="5"/>
  <c r="N271" i="5"/>
  <c r="O271" i="5" s="1"/>
  <c r="N272" i="5"/>
  <c r="O272" i="5" s="1"/>
  <c r="M273" i="5"/>
  <c r="N273" i="5"/>
  <c r="N274" i="5"/>
  <c r="O274" i="5" s="1"/>
  <c r="L275" i="5"/>
  <c r="N275" i="5" s="1"/>
  <c r="O275" i="5" s="1"/>
  <c r="N276" i="5"/>
  <c r="O276" i="5" s="1"/>
  <c r="M277" i="5"/>
  <c r="N277" i="5"/>
  <c r="N278" i="5"/>
  <c r="O278" i="5" s="1"/>
  <c r="N279" i="5"/>
  <c r="O279" i="5" s="1"/>
  <c r="N280" i="5"/>
  <c r="O280" i="5" s="1"/>
  <c r="N281" i="5"/>
  <c r="O281" i="5" s="1"/>
  <c r="N282" i="5"/>
  <c r="O282" i="5" s="1"/>
  <c r="N283" i="5"/>
  <c r="O283" i="5" s="1"/>
  <c r="N284" i="5"/>
  <c r="O284" i="5" s="1"/>
  <c r="N285" i="5"/>
  <c r="O285" i="5" s="1"/>
  <c r="M286" i="5"/>
  <c r="N286" i="5"/>
  <c r="N287" i="5"/>
  <c r="O287" i="5" s="1"/>
  <c r="N288" i="5"/>
  <c r="O288" i="5" s="1"/>
  <c r="N289" i="5"/>
  <c r="O289" i="5" s="1"/>
  <c r="N290" i="5"/>
  <c r="O290" i="5" s="1"/>
  <c r="N291" i="5"/>
  <c r="O291" i="5" s="1"/>
  <c r="N292" i="5"/>
  <c r="O292" i="5" s="1"/>
  <c r="N293" i="5"/>
  <c r="O293" i="5" s="1"/>
  <c r="N294" i="5"/>
  <c r="O294" i="5" s="1"/>
  <c r="N295" i="5"/>
  <c r="O295" i="5" s="1"/>
  <c r="N296" i="5"/>
  <c r="O296" i="5" s="1"/>
  <c r="N297" i="5"/>
  <c r="O297" i="5" s="1"/>
  <c r="N298" i="5"/>
  <c r="O298" i="5" s="1"/>
  <c r="N299" i="5"/>
  <c r="O299" i="5" s="1"/>
  <c r="N300" i="5"/>
  <c r="O300" i="5" s="1"/>
  <c r="N301" i="5"/>
  <c r="O301" i="5" s="1"/>
  <c r="N302" i="5"/>
  <c r="O302" i="5" s="1"/>
  <c r="N303" i="5"/>
  <c r="O303" i="5" s="1"/>
  <c r="N304" i="5"/>
  <c r="O304" i="5" s="1"/>
  <c r="N305" i="5"/>
  <c r="O305" i="5" s="1"/>
  <c r="N306" i="5"/>
  <c r="O306" i="5" s="1"/>
  <c r="N307" i="5"/>
  <c r="O307" i="5" s="1"/>
  <c r="N308" i="5"/>
  <c r="O308" i="5" s="1"/>
  <c r="N309" i="5"/>
  <c r="O309" i="5" s="1"/>
  <c r="N310" i="5"/>
  <c r="O310" i="5" s="1"/>
  <c r="N311" i="5"/>
  <c r="O311" i="5" s="1"/>
  <c r="N312" i="5"/>
  <c r="O312" i="5" s="1"/>
  <c r="M313" i="5"/>
  <c r="N313" i="5"/>
  <c r="N314" i="5"/>
  <c r="O314" i="5" s="1"/>
  <c r="N315" i="5"/>
  <c r="O315" i="5" s="1"/>
  <c r="N316" i="5"/>
  <c r="O316" i="5" s="1"/>
  <c r="N317" i="5"/>
  <c r="O317" i="5" s="1"/>
  <c r="N318" i="5"/>
  <c r="O318" i="5" s="1"/>
  <c r="N319" i="5"/>
  <c r="O319" i="5" s="1"/>
  <c r="N320" i="5"/>
  <c r="O320" i="5" s="1"/>
  <c r="N321" i="5"/>
  <c r="O321" i="5" s="1"/>
  <c r="N322" i="5"/>
  <c r="O322" i="5" s="1"/>
  <c r="N323" i="5"/>
  <c r="O323" i="5" s="1"/>
  <c r="N324" i="5"/>
  <c r="O324" i="5" s="1"/>
  <c r="N325" i="5"/>
  <c r="O325" i="5" s="1"/>
  <c r="N326" i="5"/>
  <c r="O326" i="5" s="1"/>
  <c r="N327" i="5"/>
  <c r="O327" i="5" s="1"/>
  <c r="N328" i="5"/>
  <c r="O328" i="5" s="1"/>
  <c r="N329" i="5"/>
  <c r="O329" i="5" s="1"/>
  <c r="N330" i="5"/>
  <c r="O330" i="5" s="1"/>
  <c r="N331" i="5"/>
  <c r="O331" i="5" s="1"/>
  <c r="N332" i="5"/>
  <c r="O332" i="5" s="1"/>
  <c r="N333" i="5"/>
  <c r="O333" i="5" s="1"/>
  <c r="N334" i="5"/>
  <c r="O334" i="5" s="1"/>
  <c r="N335" i="5"/>
  <c r="O335" i="5" s="1"/>
  <c r="N336" i="5"/>
  <c r="O336" i="5" s="1"/>
  <c r="N337" i="5"/>
  <c r="O337" i="5" s="1"/>
  <c r="N338" i="5"/>
  <c r="O338" i="5" s="1"/>
  <c r="N339" i="5"/>
  <c r="O339" i="5" s="1"/>
  <c r="N340" i="5"/>
  <c r="O340" i="5" s="1"/>
  <c r="N341" i="5"/>
  <c r="O341" i="5" s="1"/>
  <c r="N342" i="5"/>
  <c r="O342" i="5" s="1"/>
  <c r="N343" i="5"/>
  <c r="O343" i="5" s="1"/>
  <c r="N344" i="5"/>
  <c r="O344" i="5" s="1"/>
  <c r="N345" i="5"/>
  <c r="O345" i="5" s="1"/>
  <c r="N346" i="5"/>
  <c r="O346" i="5" s="1"/>
  <c r="N347" i="5"/>
  <c r="O347" i="5" s="1"/>
  <c r="N348" i="5"/>
  <c r="O348" i="5" s="1"/>
  <c r="N349" i="5"/>
  <c r="O349" i="5" s="1"/>
  <c r="N350" i="5"/>
  <c r="O350" i="5" s="1"/>
  <c r="N351" i="5"/>
  <c r="O351" i="5" s="1"/>
  <c r="N352" i="5"/>
  <c r="O352" i="5" s="1"/>
  <c r="N353" i="5"/>
  <c r="O353" i="5" s="1"/>
  <c r="N354" i="5"/>
  <c r="O354" i="5" s="1"/>
  <c r="N355" i="5"/>
  <c r="O355" i="5" s="1"/>
  <c r="N356" i="5"/>
  <c r="O356" i="5" s="1"/>
  <c r="N357" i="5"/>
  <c r="O357" i="5" s="1"/>
  <c r="N358" i="5"/>
  <c r="O358" i="5" s="1"/>
  <c r="N359" i="5"/>
  <c r="O359" i="5" s="1"/>
  <c r="N360" i="5"/>
  <c r="O360" i="5" s="1"/>
  <c r="N361" i="5"/>
  <c r="O361" i="5" s="1"/>
  <c r="N362" i="5"/>
  <c r="O362" i="5" s="1"/>
  <c r="N363" i="5"/>
  <c r="O363" i="5" s="1"/>
  <c r="N364" i="5"/>
  <c r="O364" i="5" s="1"/>
  <c r="N365" i="5"/>
  <c r="O365" i="5" s="1"/>
  <c r="M366" i="5"/>
  <c r="N366" i="5"/>
  <c r="O366" i="5" s="1"/>
  <c r="M367" i="5"/>
  <c r="N367" i="5"/>
  <c r="N368" i="5"/>
  <c r="O368" i="5" s="1"/>
  <c r="M369" i="5"/>
  <c r="N369" i="5"/>
  <c r="M370" i="5"/>
  <c r="N370" i="5"/>
  <c r="N371" i="5"/>
  <c r="O371" i="5" s="1"/>
  <c r="N372" i="5"/>
  <c r="O372" i="5" s="1"/>
  <c r="N373" i="5"/>
  <c r="O373" i="5" s="1"/>
  <c r="N374" i="5"/>
  <c r="O374" i="5" s="1"/>
  <c r="N375" i="5"/>
  <c r="O375" i="5" s="1"/>
  <c r="N376" i="5"/>
  <c r="O376" i="5" s="1"/>
  <c r="M377" i="5"/>
  <c r="N377" i="5"/>
  <c r="N378" i="5"/>
  <c r="O378" i="5" s="1"/>
  <c r="N379" i="5"/>
  <c r="O379" i="5" s="1"/>
  <c r="M380" i="5"/>
  <c r="N380" i="5"/>
  <c r="N381" i="5"/>
  <c r="O381" i="5" s="1"/>
  <c r="N382" i="5"/>
  <c r="O382" i="5" s="1"/>
  <c r="N383" i="5"/>
  <c r="O383" i="5" s="1"/>
  <c r="M384" i="5"/>
  <c r="N384" i="5"/>
  <c r="M385" i="5"/>
  <c r="N385" i="5"/>
  <c r="M386" i="5"/>
  <c r="N386" i="5"/>
  <c r="N387" i="5"/>
  <c r="O387" i="5" s="1"/>
  <c r="M388" i="5"/>
  <c r="N388" i="5"/>
  <c r="M389" i="5"/>
  <c r="N389" i="5"/>
  <c r="M390" i="5"/>
  <c r="N390" i="5"/>
  <c r="M391" i="5"/>
  <c r="N391" i="5"/>
  <c r="M392" i="5"/>
  <c r="N392" i="5"/>
  <c r="M393" i="5"/>
  <c r="N393" i="5"/>
  <c r="N394" i="5"/>
  <c r="O394" i="5" s="1"/>
  <c r="N395" i="5"/>
  <c r="O395" i="5" s="1"/>
  <c r="M396" i="5"/>
  <c r="N396" i="5"/>
  <c r="M397" i="5"/>
  <c r="N397" i="5"/>
  <c r="L398" i="5"/>
  <c r="N398" i="5" s="1"/>
  <c r="M398" i="5"/>
  <c r="M399" i="5"/>
  <c r="N399" i="5"/>
  <c r="M400" i="5"/>
  <c r="N400" i="5"/>
  <c r="M401" i="5"/>
  <c r="N401" i="5"/>
  <c r="M402" i="5"/>
  <c r="N402" i="5"/>
  <c r="M403" i="5"/>
  <c r="N403" i="5"/>
  <c r="M404" i="5"/>
  <c r="N404" i="5"/>
  <c r="M405" i="5"/>
  <c r="N405" i="5"/>
  <c r="M406" i="5"/>
  <c r="N406" i="5"/>
  <c r="N407" i="5"/>
  <c r="O407" i="5" s="1"/>
  <c r="M408" i="5"/>
  <c r="N408" i="5"/>
  <c r="M409" i="5"/>
  <c r="N409" i="5"/>
  <c r="N410" i="5"/>
  <c r="O410" i="5" s="1"/>
  <c r="M411" i="5"/>
  <c r="N411" i="5"/>
  <c r="M412" i="5"/>
  <c r="N412" i="5"/>
  <c r="N413" i="5"/>
  <c r="O413" i="5" s="1"/>
  <c r="M414" i="5"/>
  <c r="N414" i="5"/>
  <c r="N415" i="5"/>
  <c r="O415" i="5" s="1"/>
  <c r="M416" i="5"/>
  <c r="N416" i="5"/>
  <c r="N417" i="5"/>
  <c r="O417" i="5" s="1"/>
  <c r="N418" i="5"/>
  <c r="O418" i="5" s="1"/>
  <c r="M419" i="5"/>
  <c r="N419" i="5"/>
  <c r="N420" i="5"/>
  <c r="O420" i="5" s="1"/>
  <c r="N421" i="5"/>
  <c r="O421" i="5" s="1"/>
  <c r="M422" i="5"/>
  <c r="N422" i="5"/>
  <c r="M423" i="5"/>
  <c r="N423" i="5"/>
  <c r="M424" i="5"/>
  <c r="N424" i="5"/>
  <c r="N425" i="5"/>
  <c r="O425" i="5" s="1"/>
  <c r="L426" i="5"/>
  <c r="N426" i="5"/>
  <c r="O426" i="5" s="1"/>
  <c r="M427" i="5"/>
  <c r="N427" i="5"/>
  <c r="M428" i="5"/>
  <c r="N428" i="5"/>
  <c r="M429" i="5"/>
  <c r="N429" i="5"/>
  <c r="M430" i="5"/>
  <c r="N430" i="5"/>
  <c r="O430" i="5" s="1"/>
  <c r="L431" i="5"/>
  <c r="N431" i="5" s="1"/>
  <c r="M431" i="5"/>
  <c r="L432" i="5"/>
  <c r="N432" i="5" s="1"/>
  <c r="M432" i="5"/>
  <c r="M433" i="5"/>
  <c r="N433" i="5"/>
  <c r="M434" i="5"/>
  <c r="N434" i="5"/>
  <c r="O434" i="5" s="1"/>
  <c r="N435" i="5"/>
  <c r="O435" i="5" s="1"/>
  <c r="M436" i="5"/>
  <c r="N436" i="5"/>
  <c r="M437" i="5"/>
  <c r="N437" i="5"/>
  <c r="L438" i="5"/>
  <c r="N438" i="5" s="1"/>
  <c r="M438" i="5"/>
  <c r="N439" i="5"/>
  <c r="O439" i="5" s="1"/>
  <c r="N440" i="5"/>
  <c r="O440" i="5" s="1"/>
  <c r="N441" i="5"/>
  <c r="O441" i="5" s="1"/>
  <c r="N442" i="5"/>
  <c r="O442" i="5" s="1"/>
  <c r="N443" i="5"/>
  <c r="O443" i="5" s="1"/>
  <c r="N444" i="5"/>
  <c r="O444" i="5" s="1"/>
  <c r="M445" i="5"/>
  <c r="N445" i="5"/>
  <c r="N446" i="5"/>
  <c r="O446" i="5" s="1"/>
  <c r="N447" i="5"/>
  <c r="O447" i="5" s="1"/>
  <c r="M448" i="5"/>
  <c r="N448" i="5"/>
  <c r="L449" i="5"/>
  <c r="N449" i="5" s="1"/>
  <c r="M449" i="5"/>
  <c r="M450" i="5"/>
  <c r="N450" i="5"/>
  <c r="M451" i="5"/>
  <c r="N451" i="5"/>
  <c r="N452" i="5"/>
  <c r="O452" i="5" s="1"/>
  <c r="L453" i="5"/>
  <c r="N453" i="5" s="1"/>
  <c r="M453" i="5"/>
  <c r="M454" i="5"/>
  <c r="N454" i="5"/>
  <c r="M455" i="5"/>
  <c r="N455" i="5"/>
  <c r="O455" i="5" s="1"/>
  <c r="M456" i="5"/>
  <c r="N456" i="5"/>
  <c r="M457" i="5"/>
  <c r="N457" i="5"/>
  <c r="L458" i="5"/>
  <c r="M458" i="5"/>
  <c r="N458" i="5"/>
  <c r="O458" i="5" s="1"/>
  <c r="L459" i="5"/>
  <c r="N459" i="5" s="1"/>
  <c r="O459" i="5" s="1"/>
  <c r="M459" i="5"/>
  <c r="M460" i="5"/>
  <c r="N460" i="5"/>
  <c r="M461" i="5"/>
  <c r="N461" i="5"/>
  <c r="O461" i="5" s="1"/>
  <c r="M462" i="5"/>
  <c r="N462" i="5"/>
  <c r="M463" i="5"/>
  <c r="N463" i="5"/>
  <c r="M464" i="5"/>
  <c r="N464" i="5"/>
  <c r="M465" i="5"/>
  <c r="N465" i="5"/>
  <c r="O465" i="5" s="1"/>
  <c r="M466" i="5"/>
  <c r="N466" i="5"/>
  <c r="M467" i="5"/>
  <c r="N467" i="5"/>
  <c r="M468" i="5"/>
  <c r="N468" i="5"/>
  <c r="M469" i="5"/>
  <c r="N469" i="5"/>
  <c r="O469" i="5" s="1"/>
  <c r="N470" i="5"/>
  <c r="O470" i="5" s="1"/>
  <c r="M471" i="5"/>
  <c r="N471" i="5"/>
  <c r="L472" i="5"/>
  <c r="N472" i="5" s="1"/>
  <c r="O472" i="5" s="1"/>
  <c r="M472" i="5"/>
  <c r="N473" i="5"/>
  <c r="O473" i="5" s="1"/>
  <c r="M474" i="5"/>
  <c r="N474" i="5"/>
  <c r="N475" i="5"/>
  <c r="O475" i="5" s="1"/>
  <c r="L476" i="5"/>
  <c r="N476" i="5" s="1"/>
  <c r="M476" i="5"/>
  <c r="N477" i="5"/>
  <c r="O477" i="5" s="1"/>
  <c r="N478" i="5"/>
  <c r="O478" i="5" s="1"/>
  <c r="N479" i="5"/>
  <c r="O479" i="5" s="1"/>
  <c r="L480" i="5"/>
  <c r="M480" i="5"/>
  <c r="N480" i="5"/>
  <c r="O480" i="5" s="1"/>
  <c r="M481" i="5"/>
  <c r="N481" i="5"/>
  <c r="M482" i="5"/>
  <c r="N482" i="5"/>
  <c r="N483" i="5"/>
  <c r="O483" i="5" s="1"/>
  <c r="N484" i="5"/>
  <c r="O484" i="5" s="1"/>
  <c r="M485" i="5"/>
  <c r="N485" i="5"/>
  <c r="M486" i="5"/>
  <c r="N486" i="5"/>
  <c r="L487" i="5"/>
  <c r="N487" i="5" s="1"/>
  <c r="O487" i="5" s="1"/>
  <c r="M487" i="5"/>
  <c r="N488" i="5"/>
  <c r="O488" i="5" s="1"/>
  <c r="L489" i="5"/>
  <c r="N489" i="5" s="1"/>
  <c r="M489" i="5"/>
  <c r="N490" i="5"/>
  <c r="O490" i="5" s="1"/>
  <c r="L491" i="5"/>
  <c r="N491" i="5" s="1"/>
  <c r="O491" i="5" s="1"/>
  <c r="N492" i="5"/>
  <c r="O492" i="5" s="1"/>
  <c r="N493" i="5"/>
  <c r="O493" i="5" s="1"/>
  <c r="L494" i="5"/>
  <c r="N494" i="5" s="1"/>
  <c r="M494" i="5"/>
  <c r="N495" i="5"/>
  <c r="O495" i="5" s="1"/>
  <c r="N496" i="5"/>
  <c r="O496" i="5" s="1"/>
  <c r="N497" i="5"/>
  <c r="O497" i="5" s="1"/>
  <c r="N498" i="5"/>
  <c r="O498" i="5" s="1"/>
  <c r="N499" i="5"/>
  <c r="O499" i="5" s="1"/>
  <c r="N500" i="5"/>
  <c r="O500" i="5" s="1"/>
  <c r="N501" i="5"/>
  <c r="O501" i="5" s="1"/>
  <c r="N502" i="5"/>
  <c r="O502" i="5" s="1"/>
  <c r="N503" i="5"/>
  <c r="O503" i="5" s="1"/>
  <c r="N504" i="5"/>
  <c r="O504" i="5" s="1"/>
  <c r="N505" i="5"/>
  <c r="O505" i="5" s="1"/>
  <c r="N506" i="5"/>
  <c r="O506" i="5" s="1"/>
  <c r="N507" i="5"/>
  <c r="O507" i="5" s="1"/>
  <c r="N508" i="5"/>
  <c r="O508" i="5" s="1"/>
  <c r="N509" i="5"/>
  <c r="O509" i="5" s="1"/>
  <c r="N510" i="5"/>
  <c r="O510" i="5" s="1"/>
  <c r="N511" i="5"/>
  <c r="O511" i="5" s="1"/>
  <c r="N512" i="5"/>
  <c r="O512" i="5" s="1"/>
  <c r="N513" i="5"/>
  <c r="O513" i="5" s="1"/>
  <c r="N514" i="5"/>
  <c r="O514" i="5" s="1"/>
  <c r="N515" i="5"/>
  <c r="O515" i="5" s="1"/>
  <c r="L516" i="5"/>
  <c r="N516" i="5" s="1"/>
  <c r="M516" i="5"/>
  <c r="L517" i="5"/>
  <c r="N517" i="5" s="1"/>
  <c r="M517" i="5"/>
  <c r="L518" i="5"/>
  <c r="N518" i="5" s="1"/>
  <c r="M518" i="5"/>
  <c r="N519" i="5"/>
  <c r="O519" i="5" s="1"/>
  <c r="N520" i="5"/>
  <c r="O520" i="5" s="1"/>
  <c r="N521" i="5"/>
  <c r="O521" i="5" s="1"/>
  <c r="N522" i="5"/>
  <c r="O522" i="5" s="1"/>
  <c r="N523" i="5"/>
  <c r="O523" i="5" s="1"/>
  <c r="N524" i="5"/>
  <c r="O524" i="5" s="1"/>
  <c r="N525" i="5"/>
  <c r="O525" i="5" s="1"/>
  <c r="N526" i="5"/>
  <c r="O526" i="5" s="1"/>
  <c r="L527" i="5"/>
  <c r="N527" i="5" s="1"/>
  <c r="M527" i="5"/>
  <c r="N528" i="5"/>
  <c r="O528" i="5" s="1"/>
  <c r="N529" i="5"/>
  <c r="O529" i="5" s="1"/>
  <c r="N530" i="5"/>
  <c r="O530" i="5" s="1"/>
  <c r="N531" i="5"/>
  <c r="O531" i="5" s="1"/>
  <c r="N532" i="5"/>
  <c r="O532" i="5" s="1"/>
  <c r="N533" i="5"/>
  <c r="O533" i="5" s="1"/>
  <c r="N534" i="5"/>
  <c r="O534" i="5" s="1"/>
  <c r="N535" i="5"/>
  <c r="O535" i="5" s="1"/>
  <c r="N536" i="5"/>
  <c r="O536" i="5" s="1"/>
  <c r="N537" i="5"/>
  <c r="O537" i="5" s="1"/>
  <c r="N538" i="5"/>
  <c r="O538" i="5" s="1"/>
  <c r="N539" i="5"/>
  <c r="O539" i="5" s="1"/>
  <c r="M540" i="5"/>
  <c r="N540" i="5"/>
  <c r="O540" i="5" s="1"/>
  <c r="N541" i="5"/>
  <c r="O541" i="5" s="1"/>
  <c r="N542" i="5"/>
  <c r="O542" i="5" s="1"/>
  <c r="N543" i="5"/>
  <c r="O543" i="5" s="1"/>
  <c r="N544" i="5"/>
  <c r="O544" i="5" s="1"/>
  <c r="N545" i="5"/>
  <c r="O545" i="5" s="1"/>
  <c r="N546" i="5"/>
  <c r="O546" i="5" s="1"/>
  <c r="N547" i="5"/>
  <c r="O547" i="5" s="1"/>
  <c r="N548" i="5"/>
  <c r="O548" i="5" s="1"/>
  <c r="N549" i="5"/>
  <c r="O549" i="5" s="1"/>
  <c r="N550" i="5"/>
  <c r="O550" i="5" s="1"/>
  <c r="N551" i="5"/>
  <c r="O551" i="5" s="1"/>
  <c r="M552" i="5"/>
  <c r="N552" i="5"/>
  <c r="M553" i="5"/>
  <c r="N553" i="5"/>
  <c r="O553" i="5" s="1"/>
  <c r="N554" i="5"/>
  <c r="O554" i="5" s="1"/>
  <c r="N555" i="5"/>
  <c r="O555" i="5" s="1"/>
  <c r="N556" i="5"/>
  <c r="O556" i="5" s="1"/>
  <c r="N557" i="5"/>
  <c r="O557" i="5" s="1"/>
  <c r="N558" i="5"/>
  <c r="O558" i="5" s="1"/>
  <c r="N559" i="5"/>
  <c r="O559" i="5" s="1"/>
  <c r="N560" i="5"/>
  <c r="O560" i="5" s="1"/>
  <c r="N561" i="5"/>
  <c r="O561" i="5" s="1"/>
  <c r="L562" i="5"/>
  <c r="N562" i="5" s="1"/>
  <c r="M562" i="5"/>
  <c r="N563" i="5"/>
  <c r="O563" i="5" s="1"/>
  <c r="M564" i="5"/>
  <c r="N564" i="5"/>
  <c r="L565" i="5"/>
  <c r="N565" i="5" s="1"/>
  <c r="M565" i="5"/>
  <c r="N566" i="5"/>
  <c r="O566" i="5" s="1"/>
  <c r="L567" i="5"/>
  <c r="N567" i="5" s="1"/>
  <c r="M567" i="5"/>
  <c r="N568" i="5"/>
  <c r="O568" i="5" s="1"/>
  <c r="L569" i="5"/>
  <c r="N569" i="5" s="1"/>
  <c r="M569" i="5"/>
  <c r="N570" i="5"/>
  <c r="O570" i="5" s="1"/>
  <c r="L571" i="5"/>
  <c r="M571" i="5"/>
  <c r="N571" i="5"/>
  <c r="O571" i="5" s="1"/>
  <c r="N572" i="5"/>
  <c r="O572" i="5" s="1"/>
  <c r="M573" i="5"/>
  <c r="N573" i="5"/>
  <c r="M574" i="5"/>
  <c r="N574" i="5"/>
  <c r="M575" i="5"/>
  <c r="N575" i="5"/>
  <c r="O575" i="5" s="1"/>
  <c r="M576" i="5"/>
  <c r="N576" i="5"/>
  <c r="M577" i="5"/>
  <c r="N577" i="5"/>
  <c r="M578" i="5"/>
  <c r="N578" i="5"/>
  <c r="M579" i="5"/>
  <c r="N579" i="5"/>
  <c r="O579" i="5" s="1"/>
  <c r="L580" i="5"/>
  <c r="N580" i="5" s="1"/>
  <c r="M580" i="5"/>
  <c r="N581" i="5"/>
  <c r="O581" i="5" s="1"/>
  <c r="L582" i="5"/>
  <c r="N582" i="5" s="1"/>
  <c r="M582" i="5"/>
  <c r="N583" i="5"/>
  <c r="O583" i="5" s="1"/>
  <c r="N584" i="5"/>
  <c r="O584" i="5" s="1"/>
  <c r="N585" i="5"/>
  <c r="O585" i="5" s="1"/>
  <c r="L586" i="5"/>
  <c r="N586" i="5" s="1"/>
  <c r="M586" i="5"/>
  <c r="L587" i="5"/>
  <c r="N587" i="5" s="1"/>
  <c r="O587" i="5" s="1"/>
  <c r="M587" i="5"/>
  <c r="N588" i="5"/>
  <c r="O588" i="5" s="1"/>
  <c r="L589" i="5"/>
  <c r="N589" i="5" s="1"/>
  <c r="M589" i="5"/>
  <c r="N590" i="5"/>
  <c r="O590" i="5" s="1"/>
  <c r="N591" i="5"/>
  <c r="O591" i="5" s="1"/>
  <c r="N592" i="5"/>
  <c r="O592" i="5" s="1"/>
  <c r="N593" i="5"/>
  <c r="O593" i="5" s="1"/>
  <c r="M594" i="5"/>
  <c r="N594" i="5"/>
  <c r="M595" i="5"/>
  <c r="N595" i="5"/>
  <c r="N596" i="5"/>
  <c r="O596" i="5" s="1"/>
  <c r="N597" i="5"/>
  <c r="O597" i="5" s="1"/>
  <c r="M598" i="5"/>
  <c r="N598" i="5"/>
  <c r="L599" i="5"/>
  <c r="N599" i="5" s="1"/>
  <c r="M599" i="5"/>
  <c r="N600" i="5"/>
  <c r="O600" i="5" s="1"/>
  <c r="N601" i="5"/>
  <c r="O601" i="5" s="1"/>
  <c r="N602" i="5"/>
  <c r="O602" i="5" s="1"/>
  <c r="N603" i="5"/>
  <c r="O603" i="5" s="1"/>
  <c r="M604" i="5"/>
  <c r="N604" i="5"/>
  <c r="M605" i="5"/>
  <c r="N605" i="5"/>
  <c r="N606" i="5"/>
  <c r="O606" i="5" s="1"/>
  <c r="M607" i="5"/>
  <c r="N607" i="5"/>
  <c r="M608" i="5"/>
  <c r="N608" i="5"/>
  <c r="N609" i="5"/>
  <c r="O609" i="5" s="1"/>
  <c r="N610" i="5"/>
  <c r="O610" i="5" s="1"/>
  <c r="L611" i="5"/>
  <c r="N611" i="5" s="1"/>
  <c r="M611" i="5"/>
  <c r="M612" i="5"/>
  <c r="N612" i="5"/>
  <c r="O612" i="5" s="1"/>
  <c r="L613" i="5"/>
  <c r="N613" i="5" s="1"/>
  <c r="M613" i="5"/>
  <c r="M614" i="5"/>
  <c r="N614" i="5"/>
  <c r="M615" i="5"/>
  <c r="N615" i="5"/>
  <c r="N616" i="5"/>
  <c r="O616" i="5" s="1"/>
  <c r="N617" i="5"/>
  <c r="O617" i="5" s="1"/>
  <c r="L618" i="5"/>
  <c r="N618" i="5" s="1"/>
  <c r="M618" i="5"/>
  <c r="N619" i="5"/>
  <c r="O619" i="5" s="1"/>
  <c r="N620" i="5"/>
  <c r="O620" i="5" s="1"/>
  <c r="N621" i="5"/>
  <c r="O621" i="5" s="1"/>
  <c r="N622" i="5"/>
  <c r="O622" i="5" s="1"/>
  <c r="M623" i="5"/>
  <c r="N623" i="5"/>
  <c r="N624" i="5"/>
  <c r="O624" i="5" s="1"/>
  <c r="N625" i="5"/>
  <c r="O625" i="5" s="1"/>
  <c r="N626" i="5"/>
  <c r="O626" i="5" s="1"/>
  <c r="N627" i="5"/>
  <c r="O627" i="5" s="1"/>
  <c r="N628" i="5"/>
  <c r="O628" i="5" s="1"/>
  <c r="N629" i="5"/>
  <c r="O629" i="5" s="1"/>
  <c r="L630" i="5"/>
  <c r="N630" i="5" s="1"/>
  <c r="M630" i="5"/>
  <c r="N631" i="5"/>
  <c r="O631" i="5" s="1"/>
  <c r="N632" i="5"/>
  <c r="O632" i="5" s="1"/>
  <c r="M633" i="5"/>
  <c r="N633" i="5"/>
  <c r="M634" i="5"/>
  <c r="N634" i="5"/>
  <c r="O634" i="5" s="1"/>
  <c r="N635" i="5"/>
  <c r="O635" i="5" s="1"/>
  <c r="M636" i="5"/>
  <c r="N636" i="5"/>
  <c r="N637" i="5"/>
  <c r="O637" i="5" s="1"/>
  <c r="N638" i="5"/>
  <c r="O638" i="5" s="1"/>
  <c r="N639" i="5"/>
  <c r="O639" i="5" s="1"/>
  <c r="N640" i="5"/>
  <c r="O640" i="5" s="1"/>
  <c r="N641" i="5"/>
  <c r="O641" i="5" s="1"/>
  <c r="N642" i="5"/>
  <c r="O642" i="5" s="1"/>
  <c r="N643" i="5"/>
  <c r="O643" i="5" s="1"/>
  <c r="N644" i="5"/>
  <c r="O644" i="5" s="1"/>
  <c r="N645" i="5"/>
  <c r="O645" i="5" s="1"/>
  <c r="N646" i="5"/>
  <c r="O646" i="5" s="1"/>
  <c r="N647" i="5"/>
  <c r="O647" i="5" s="1"/>
  <c r="N648" i="5"/>
  <c r="O648" i="5" s="1"/>
  <c r="N649" i="5"/>
  <c r="O649" i="5" s="1"/>
  <c r="L650" i="5"/>
  <c r="N650" i="5" s="1"/>
  <c r="M650" i="5"/>
  <c r="N651" i="5"/>
  <c r="O651" i="5" s="1"/>
  <c r="N652" i="5"/>
  <c r="O652" i="5" s="1"/>
  <c r="L653" i="5"/>
  <c r="N653" i="5" s="1"/>
  <c r="M653" i="5"/>
  <c r="N654" i="5"/>
  <c r="O654" i="5" s="1"/>
  <c r="N655" i="5"/>
  <c r="O655" i="5" s="1"/>
  <c r="N656" i="5"/>
  <c r="O656" i="5" s="1"/>
  <c r="N657" i="5"/>
  <c r="O657" i="5" s="1"/>
  <c r="L658" i="5"/>
  <c r="N658" i="5" s="1"/>
  <c r="M658" i="5"/>
  <c r="N659" i="5"/>
  <c r="O659" i="5" s="1"/>
  <c r="L660" i="5"/>
  <c r="N660" i="5" s="1"/>
  <c r="M660" i="5"/>
  <c r="L661" i="5"/>
  <c r="M661" i="5"/>
  <c r="N661" i="5"/>
  <c r="O661" i="5" s="1"/>
  <c r="L662" i="5"/>
  <c r="N662" i="5" s="1"/>
  <c r="M662" i="5"/>
  <c r="N663" i="5"/>
  <c r="O663" i="5" s="1"/>
  <c r="N664" i="5"/>
  <c r="O664" i="5" s="1"/>
  <c r="L665" i="5"/>
  <c r="N665" i="5" s="1"/>
  <c r="O665" i="5" s="1"/>
  <c r="L666" i="5"/>
  <c r="N666" i="5" s="1"/>
  <c r="M666" i="5"/>
  <c r="N667" i="5"/>
  <c r="O667" i="5" s="1"/>
  <c r="N668" i="5"/>
  <c r="O668" i="5" s="1"/>
  <c r="N669" i="5"/>
  <c r="O669" i="5" s="1"/>
  <c r="N670" i="5"/>
  <c r="O670" i="5" s="1"/>
  <c r="N671" i="5"/>
  <c r="O671" i="5" s="1"/>
  <c r="N672" i="5"/>
  <c r="O672" i="5" s="1"/>
  <c r="N673" i="5"/>
  <c r="O673" i="5" s="1"/>
  <c r="L674" i="5"/>
  <c r="N674" i="5" s="1"/>
  <c r="M674" i="5"/>
  <c r="L675" i="5"/>
  <c r="N675" i="5" s="1"/>
  <c r="M675" i="5"/>
  <c r="N676" i="5"/>
  <c r="O676" i="5" s="1"/>
  <c r="N677" i="5"/>
  <c r="O677" i="5" s="1"/>
  <c r="N678" i="5"/>
  <c r="O678" i="5" s="1"/>
  <c r="N679" i="5"/>
  <c r="O679" i="5" s="1"/>
  <c r="L680" i="5"/>
  <c r="N680" i="5" s="1"/>
  <c r="M680" i="5"/>
  <c r="M681" i="5"/>
  <c r="N681" i="5"/>
  <c r="N682" i="5"/>
  <c r="O682" i="5" s="1"/>
  <c r="N683" i="5"/>
  <c r="O683" i="5" s="1"/>
  <c r="N684" i="5"/>
  <c r="O684" i="5" s="1"/>
  <c r="N685" i="5"/>
  <c r="O685" i="5" s="1"/>
  <c r="N686" i="5"/>
  <c r="O686" i="5" s="1"/>
  <c r="N687" i="5"/>
  <c r="O687" i="5" s="1"/>
  <c r="L688" i="5"/>
  <c r="N688" i="5" s="1"/>
  <c r="M688" i="5"/>
  <c r="N689" i="5"/>
  <c r="O689" i="5" s="1"/>
  <c r="N690" i="5"/>
  <c r="O690" i="5" s="1"/>
  <c r="N691" i="5"/>
  <c r="O691" i="5" s="1"/>
  <c r="N692" i="5"/>
  <c r="O692" i="5" s="1"/>
  <c r="N693" i="5"/>
  <c r="O693" i="5" s="1"/>
  <c r="N694" i="5"/>
  <c r="O694" i="5" s="1"/>
  <c r="N695" i="5"/>
  <c r="O695" i="5" s="1"/>
  <c r="N696" i="5"/>
  <c r="O696" i="5" s="1"/>
  <c r="N697" i="5"/>
  <c r="O697" i="5" s="1"/>
  <c r="N698" i="5"/>
  <c r="O698" i="5" s="1"/>
  <c r="N699" i="5"/>
  <c r="O699" i="5" s="1"/>
  <c r="N700" i="5"/>
  <c r="O700" i="5" s="1"/>
  <c r="N701" i="5"/>
  <c r="O701" i="5" s="1"/>
  <c r="N702" i="5"/>
  <c r="O702" i="5" s="1"/>
  <c r="N703" i="5"/>
  <c r="O703" i="5" s="1"/>
  <c r="N704" i="5"/>
  <c r="O704" i="5" s="1"/>
  <c r="N705" i="5"/>
  <c r="O705" i="5" s="1"/>
  <c r="N706" i="5"/>
  <c r="O706" i="5" s="1"/>
  <c r="L707" i="5"/>
  <c r="N707" i="5" s="1"/>
  <c r="M707" i="5"/>
  <c r="N708" i="5"/>
  <c r="O708" i="5" s="1"/>
  <c r="L709" i="5"/>
  <c r="N709" i="5" s="1"/>
  <c r="M709" i="5"/>
  <c r="N710" i="5"/>
  <c r="O710" i="5" s="1"/>
  <c r="N711" i="5"/>
  <c r="O711" i="5" s="1"/>
  <c r="N712" i="5"/>
  <c r="O712" i="5" s="1"/>
  <c r="N713" i="5"/>
  <c r="O713" i="5" s="1"/>
  <c r="N714" i="5"/>
  <c r="O714" i="5" s="1"/>
  <c r="N715" i="5"/>
  <c r="O715" i="5" s="1"/>
  <c r="N716" i="5"/>
  <c r="O716" i="5" s="1"/>
  <c r="N717" i="5"/>
  <c r="O717" i="5" s="1"/>
  <c r="N718" i="5"/>
  <c r="O718" i="5" s="1"/>
  <c r="N719" i="5"/>
  <c r="O719" i="5" s="1"/>
  <c r="N720" i="5"/>
  <c r="O720" i="5" s="1"/>
  <c r="N721" i="5"/>
  <c r="O721" i="5" s="1"/>
  <c r="N722" i="5"/>
  <c r="O722" i="5" s="1"/>
  <c r="N723" i="5"/>
  <c r="O723" i="5" s="1"/>
  <c r="N724" i="5"/>
  <c r="O724" i="5" s="1"/>
  <c r="N725" i="5"/>
  <c r="O725" i="5" s="1"/>
  <c r="N726" i="5"/>
  <c r="O726" i="5" s="1"/>
  <c r="N727" i="5"/>
  <c r="O727" i="5" s="1"/>
  <c r="N728" i="5"/>
  <c r="O728" i="5" s="1"/>
  <c r="N729" i="5"/>
  <c r="O729" i="5" s="1"/>
  <c r="N730" i="5"/>
  <c r="O730" i="5" s="1"/>
  <c r="N731" i="5"/>
  <c r="O731" i="5" s="1"/>
  <c r="N732" i="5"/>
  <c r="O732" i="5" s="1"/>
  <c r="N733" i="5"/>
  <c r="O733" i="5" s="1"/>
  <c r="N734" i="5"/>
  <c r="O734" i="5" s="1"/>
  <c r="N735" i="5"/>
  <c r="O735" i="5" s="1"/>
  <c r="N736" i="5"/>
  <c r="O736" i="5" s="1"/>
  <c r="N737" i="5"/>
  <c r="O737" i="5" s="1"/>
  <c r="N738" i="5"/>
  <c r="O738" i="5" s="1"/>
  <c r="N739" i="5"/>
  <c r="O739" i="5" s="1"/>
  <c r="N740" i="5"/>
  <c r="O740" i="5" s="1"/>
  <c r="N741" i="5"/>
  <c r="O741" i="5" s="1"/>
  <c r="N742" i="5"/>
  <c r="O742" i="5" s="1"/>
  <c r="N743" i="5"/>
  <c r="O743" i="5" s="1"/>
  <c r="N744" i="5"/>
  <c r="O744" i="5" s="1"/>
  <c r="N745" i="5"/>
  <c r="O745" i="5" s="1"/>
  <c r="N746" i="5"/>
  <c r="O746" i="5" s="1"/>
  <c r="N747" i="5"/>
  <c r="O747" i="5" s="1"/>
  <c r="N748" i="5"/>
  <c r="O748" i="5" s="1"/>
  <c r="M749" i="5"/>
  <c r="N749" i="5"/>
  <c r="M750" i="5"/>
  <c r="N750" i="5"/>
  <c r="N751" i="5"/>
  <c r="O751" i="5" s="1"/>
  <c r="N752" i="5"/>
  <c r="O752" i="5" s="1"/>
  <c r="N753" i="5"/>
  <c r="O753" i="5" s="1"/>
  <c r="L754" i="5"/>
  <c r="N754" i="5" s="1"/>
  <c r="M754" i="5"/>
  <c r="N755" i="5"/>
  <c r="O755" i="5" s="1"/>
  <c r="N756" i="5"/>
  <c r="O756" i="5" s="1"/>
  <c r="N757" i="5"/>
  <c r="O757" i="5" s="1"/>
  <c r="L758" i="5"/>
  <c r="N758" i="5" s="1"/>
  <c r="M758" i="5"/>
  <c r="N759" i="5"/>
  <c r="O759" i="5" s="1"/>
  <c r="N760" i="5"/>
  <c r="O760" i="5" s="1"/>
  <c r="N761" i="5"/>
  <c r="O761" i="5" s="1"/>
  <c r="N762" i="5"/>
  <c r="O762" i="5" s="1"/>
  <c r="N763" i="5"/>
  <c r="O763" i="5" s="1"/>
  <c r="N764" i="5"/>
  <c r="O764" i="5" s="1"/>
  <c r="N765" i="5"/>
  <c r="O765" i="5" s="1"/>
  <c r="N766" i="5"/>
  <c r="O766" i="5" s="1"/>
  <c r="N767" i="5"/>
  <c r="O767" i="5" s="1"/>
  <c r="M768" i="5"/>
  <c r="N768" i="5"/>
  <c r="N769" i="5"/>
  <c r="O769" i="5" s="1"/>
  <c r="N770" i="5"/>
  <c r="O770" i="5" s="1"/>
  <c r="N771" i="5"/>
  <c r="O771" i="5" s="1"/>
  <c r="N772" i="5"/>
  <c r="O772" i="5" s="1"/>
  <c r="L773" i="5"/>
  <c r="N773" i="5" s="1"/>
  <c r="M773" i="5"/>
  <c r="N774" i="5"/>
  <c r="O774" i="5" s="1"/>
  <c r="N775" i="5"/>
  <c r="O775" i="5" s="1"/>
  <c r="N776" i="5"/>
  <c r="O776" i="5" s="1"/>
  <c r="N777" i="5"/>
  <c r="O777" i="5" s="1"/>
  <c r="N778" i="5"/>
  <c r="O778" i="5" s="1"/>
  <c r="N779" i="5"/>
  <c r="O779" i="5" s="1"/>
  <c r="N780" i="5"/>
  <c r="O780" i="5" s="1"/>
  <c r="N781" i="5"/>
  <c r="O781" i="5" s="1"/>
  <c r="N782" i="5"/>
  <c r="O782" i="5" s="1"/>
  <c r="N783" i="5"/>
  <c r="O783" i="5" s="1"/>
  <c r="N784" i="5"/>
  <c r="O784" i="5" s="1"/>
  <c r="N785" i="5"/>
  <c r="O785" i="5" s="1"/>
  <c r="N786" i="5"/>
  <c r="O786" i="5" s="1"/>
  <c r="N787" i="5"/>
  <c r="O787" i="5" s="1"/>
  <c r="N788" i="5"/>
  <c r="O788" i="5" s="1"/>
  <c r="N789" i="5"/>
  <c r="O789" i="5" s="1"/>
  <c r="N790" i="5"/>
  <c r="O790" i="5" s="1"/>
  <c r="N791" i="5"/>
  <c r="O791" i="5" s="1"/>
  <c r="N792" i="5"/>
  <c r="O792" i="5" s="1"/>
  <c r="N793" i="5"/>
  <c r="O793" i="5" s="1"/>
  <c r="N794" i="5"/>
  <c r="O794" i="5" s="1"/>
  <c r="N795" i="5"/>
  <c r="O795" i="5" s="1"/>
  <c r="N796" i="5"/>
  <c r="O796" i="5" s="1"/>
  <c r="N797" i="5"/>
  <c r="O797" i="5" s="1"/>
  <c r="N798" i="5"/>
  <c r="O798" i="5" s="1"/>
  <c r="N799" i="5"/>
  <c r="O799" i="5" s="1"/>
  <c r="N800" i="5"/>
  <c r="O800" i="5" s="1"/>
  <c r="N801" i="5"/>
  <c r="O801" i="5" s="1"/>
  <c r="N802" i="5"/>
  <c r="O802" i="5" s="1"/>
  <c r="N803" i="5"/>
  <c r="O803" i="5" s="1"/>
  <c r="N804" i="5"/>
  <c r="O804" i="5" s="1"/>
  <c r="L805" i="5"/>
  <c r="N805" i="5" s="1"/>
  <c r="M805" i="5"/>
  <c r="N806" i="5"/>
  <c r="O806" i="5" s="1"/>
  <c r="N807" i="5"/>
  <c r="O807" i="5" s="1"/>
  <c r="N808" i="5"/>
  <c r="O808" i="5" s="1"/>
  <c r="N809" i="5"/>
  <c r="O809" i="5" s="1"/>
  <c r="N810" i="5"/>
  <c r="O810" i="5" s="1"/>
  <c r="N811" i="5"/>
  <c r="O811" i="5" s="1"/>
  <c r="N812" i="5"/>
  <c r="O812" i="5" s="1"/>
  <c r="L813" i="5"/>
  <c r="N813" i="5" s="1"/>
  <c r="M813" i="5"/>
  <c r="L814" i="5"/>
  <c r="N814" i="5" s="1"/>
  <c r="M814" i="5"/>
  <c r="L815" i="5"/>
  <c r="N815" i="5" s="1"/>
  <c r="M815" i="5"/>
  <c r="N816" i="5"/>
  <c r="O816" i="5" s="1"/>
  <c r="L817" i="5"/>
  <c r="N817" i="5" s="1"/>
  <c r="O817" i="5" s="1"/>
  <c r="N818" i="5"/>
  <c r="O818" i="5" s="1"/>
  <c r="N819" i="5"/>
  <c r="O819" i="5" s="1"/>
  <c r="N820" i="5"/>
  <c r="O820" i="5" s="1"/>
  <c r="M821" i="5"/>
  <c r="N821" i="5"/>
  <c r="N822" i="5"/>
  <c r="O822" i="5" s="1"/>
  <c r="N823" i="5"/>
  <c r="O823" i="5" s="1"/>
  <c r="N824" i="5"/>
  <c r="O824" i="5" s="1"/>
  <c r="N825" i="5"/>
  <c r="O825" i="5" s="1"/>
  <c r="N826" i="5"/>
  <c r="O826" i="5" s="1"/>
  <c r="L827" i="5"/>
  <c r="N827" i="5" s="1"/>
  <c r="M827" i="5"/>
  <c r="N828" i="5"/>
  <c r="O828" i="5" s="1"/>
  <c r="L829" i="5"/>
  <c r="N829" i="5" s="1"/>
  <c r="M829" i="5"/>
  <c r="N830" i="5"/>
  <c r="O830" i="5" s="1"/>
  <c r="N831" i="5"/>
  <c r="O831" i="5" s="1"/>
  <c r="N832" i="5"/>
  <c r="O832" i="5" s="1"/>
  <c r="N833" i="5"/>
  <c r="O833" i="5" s="1"/>
  <c r="N834" i="5"/>
  <c r="O834" i="5" s="1"/>
  <c r="N835" i="5"/>
  <c r="O835" i="5" s="1"/>
  <c r="N836" i="5"/>
  <c r="O836" i="5" s="1"/>
  <c r="N837" i="5"/>
  <c r="O837" i="5" s="1"/>
  <c r="N838" i="5"/>
  <c r="O838" i="5" s="1"/>
  <c r="N839" i="5"/>
  <c r="O839" i="5" s="1"/>
  <c r="N840" i="5"/>
  <c r="O840" i="5" s="1"/>
  <c r="N841" i="5"/>
  <c r="O841" i="5" s="1"/>
  <c r="N842" i="5"/>
  <c r="O842" i="5" s="1"/>
  <c r="N843" i="5"/>
  <c r="O843" i="5" s="1"/>
  <c r="N844" i="5"/>
  <c r="O844" i="5" s="1"/>
  <c r="N845" i="5"/>
  <c r="O845" i="5" s="1"/>
  <c r="N846" i="5"/>
  <c r="O846" i="5" s="1"/>
  <c r="L847" i="5"/>
  <c r="N847" i="5" s="1"/>
  <c r="M847" i="5"/>
  <c r="N848" i="5"/>
  <c r="O848" i="5" s="1"/>
  <c r="N849" i="5"/>
  <c r="O849" i="5" s="1"/>
  <c r="N850" i="5"/>
  <c r="O850" i="5" s="1"/>
  <c r="N851" i="5"/>
  <c r="O851" i="5" s="1"/>
  <c r="L852" i="5"/>
  <c r="M852" i="5"/>
  <c r="N852" i="5"/>
  <c r="N853" i="5"/>
  <c r="O853" i="5" s="1"/>
  <c r="N854" i="5"/>
  <c r="O854" i="5" s="1"/>
  <c r="L855" i="5"/>
  <c r="N855" i="5" s="1"/>
  <c r="M855" i="5"/>
  <c r="N856" i="5"/>
  <c r="O856" i="5" s="1"/>
  <c r="L857" i="5"/>
  <c r="N857" i="5" s="1"/>
  <c r="M857" i="5"/>
  <c r="N858" i="5"/>
  <c r="O858" i="5" s="1"/>
  <c r="L859" i="5"/>
  <c r="N859" i="5" s="1"/>
  <c r="M859" i="5"/>
  <c r="N860" i="5"/>
  <c r="O860" i="5" s="1"/>
  <c r="N861" i="5"/>
  <c r="O861" i="5" s="1"/>
  <c r="N862" i="5"/>
  <c r="O862" i="5" s="1"/>
  <c r="N863" i="5"/>
  <c r="O863" i="5" s="1"/>
  <c r="M864" i="5"/>
  <c r="N864" i="5"/>
  <c r="N865" i="5"/>
  <c r="O865" i="5" s="1"/>
  <c r="M866" i="5"/>
  <c r="N866" i="5"/>
  <c r="M867" i="5"/>
  <c r="N867" i="5"/>
  <c r="M868" i="5"/>
  <c r="N868" i="5"/>
  <c r="N869" i="5"/>
  <c r="O869" i="5" s="1"/>
  <c r="N870" i="5"/>
  <c r="O870" i="5" s="1"/>
  <c r="M871" i="5"/>
  <c r="N871" i="5"/>
  <c r="N872" i="5"/>
  <c r="O872" i="5" s="1"/>
  <c r="M873" i="5"/>
  <c r="N873" i="5"/>
  <c r="N874" i="5"/>
  <c r="O874" i="5" s="1"/>
  <c r="L875" i="5"/>
  <c r="N875" i="5" s="1"/>
  <c r="M875" i="5"/>
  <c r="N876" i="5"/>
  <c r="O876" i="5" s="1"/>
  <c r="N877" i="5"/>
  <c r="O877" i="5" s="1"/>
  <c r="N878" i="5"/>
  <c r="O878" i="5" s="1"/>
  <c r="N879" i="5"/>
  <c r="O879" i="5" s="1"/>
  <c r="N880" i="5"/>
  <c r="O880" i="5" s="1"/>
  <c r="N881" i="5"/>
  <c r="O881" i="5" s="1"/>
  <c r="N882" i="5"/>
  <c r="O882" i="5" s="1"/>
  <c r="N883" i="5"/>
  <c r="O883" i="5" s="1"/>
  <c r="M884" i="5"/>
  <c r="N884" i="5"/>
  <c r="N885" i="5"/>
  <c r="O885" i="5" s="1"/>
  <c r="M886" i="5"/>
  <c r="N886" i="5"/>
  <c r="N887" i="5"/>
  <c r="O887" i="5" s="1"/>
  <c r="N888" i="5"/>
  <c r="O888" i="5" s="1"/>
  <c r="N889" i="5"/>
  <c r="O889" i="5" s="1"/>
  <c r="N890" i="5"/>
  <c r="O890" i="5" s="1"/>
  <c r="N891" i="5"/>
  <c r="O891" i="5" s="1"/>
  <c r="N892" i="5"/>
  <c r="O892" i="5" s="1"/>
  <c r="N893" i="5"/>
  <c r="O893" i="5" s="1"/>
  <c r="N894" i="5"/>
  <c r="O894" i="5" s="1"/>
  <c r="N895" i="5"/>
  <c r="O895" i="5" s="1"/>
  <c r="N896" i="5"/>
  <c r="O896" i="5" s="1"/>
  <c r="N897" i="5"/>
  <c r="O897" i="5" s="1"/>
  <c r="N898" i="5"/>
  <c r="O898" i="5" s="1"/>
  <c r="N899" i="5"/>
  <c r="O899" i="5" s="1"/>
  <c r="N900" i="5"/>
  <c r="O900" i="5" s="1"/>
  <c r="M901" i="5"/>
  <c r="N901" i="5"/>
  <c r="L902" i="5"/>
  <c r="N902" i="5" s="1"/>
  <c r="M902" i="5"/>
  <c r="N903" i="5"/>
  <c r="O903" i="5" s="1"/>
  <c r="N904" i="5"/>
  <c r="O904" i="5" s="1"/>
  <c r="N905" i="5"/>
  <c r="O905" i="5" s="1"/>
  <c r="L906" i="5"/>
  <c r="N906" i="5" s="1"/>
  <c r="M906" i="5"/>
  <c r="N907" i="5"/>
  <c r="O907" i="5" s="1"/>
  <c r="N908" i="5"/>
  <c r="O908" i="5" s="1"/>
  <c r="N909" i="5"/>
  <c r="O909" i="5" s="1"/>
  <c r="N910" i="5"/>
  <c r="O910" i="5" s="1"/>
  <c r="N911" i="5"/>
  <c r="O911" i="5" s="1"/>
  <c r="N912" i="5"/>
  <c r="O912" i="5" s="1"/>
  <c r="N913" i="5"/>
  <c r="O913" i="5" s="1"/>
  <c r="N914" i="5"/>
  <c r="O914" i="5" s="1"/>
  <c r="N915" i="5"/>
  <c r="O915" i="5" s="1"/>
  <c r="N916" i="5"/>
  <c r="O916" i="5" s="1"/>
  <c r="N917" i="5"/>
  <c r="O917" i="5" s="1"/>
  <c r="L918" i="5"/>
  <c r="N918" i="5" s="1"/>
  <c r="M918" i="5"/>
  <c r="N919" i="5"/>
  <c r="O919" i="5" s="1"/>
  <c r="N920" i="5"/>
  <c r="O920" i="5" s="1"/>
  <c r="L921" i="5"/>
  <c r="N921" i="5" s="1"/>
  <c r="M921" i="5"/>
  <c r="N922" i="5"/>
  <c r="O922" i="5" s="1"/>
  <c r="N923" i="5"/>
  <c r="O923" i="5" s="1"/>
  <c r="N924" i="5"/>
  <c r="O924" i="5" s="1"/>
  <c r="N925" i="5"/>
  <c r="O925" i="5" s="1"/>
  <c r="L926" i="5"/>
  <c r="N926" i="5" s="1"/>
  <c r="O926" i="5" s="1"/>
  <c r="N927" i="5"/>
  <c r="O927" i="5" s="1"/>
  <c r="N928" i="5"/>
  <c r="O928" i="5" s="1"/>
  <c r="N929" i="5"/>
  <c r="O929" i="5" s="1"/>
  <c r="L930" i="5"/>
  <c r="N930" i="5" s="1"/>
  <c r="M930" i="5"/>
  <c r="N931" i="5"/>
  <c r="O931" i="5" s="1"/>
  <c r="L932" i="5"/>
  <c r="N932" i="5" s="1"/>
  <c r="M932" i="5"/>
  <c r="N933" i="5"/>
  <c r="O933" i="5" s="1"/>
  <c r="N934" i="5"/>
  <c r="O934" i="5" s="1"/>
  <c r="N935" i="5"/>
  <c r="O935" i="5" s="1"/>
  <c r="N936" i="5"/>
  <c r="O936" i="5" s="1"/>
  <c r="L937" i="5"/>
  <c r="M937" i="5"/>
  <c r="N937" i="5"/>
  <c r="N938" i="5"/>
  <c r="O938" i="5" s="1"/>
  <c r="M939" i="5"/>
  <c r="N939" i="5"/>
  <c r="N940" i="5"/>
  <c r="O940" i="5" s="1"/>
  <c r="N941" i="5"/>
  <c r="O941" i="5" s="1"/>
  <c r="N942" i="5"/>
  <c r="O942" i="5" s="1"/>
  <c r="N943" i="5"/>
  <c r="O943" i="5" s="1"/>
  <c r="N944" i="5"/>
  <c r="O944" i="5" s="1"/>
  <c r="N945" i="5"/>
  <c r="O945" i="5" s="1"/>
  <c r="N946" i="5"/>
  <c r="O946" i="5" s="1"/>
  <c r="N947" i="5"/>
  <c r="O947" i="5" s="1"/>
  <c r="N948" i="5"/>
  <c r="O948" i="5" s="1"/>
  <c r="L949" i="5"/>
  <c r="N949" i="5" s="1"/>
  <c r="M949" i="5"/>
  <c r="N950" i="5"/>
  <c r="O950" i="5" s="1"/>
  <c r="N951" i="5"/>
  <c r="O951" i="5" s="1"/>
  <c r="N952" i="5"/>
  <c r="O952" i="5" s="1"/>
  <c r="N953" i="5"/>
  <c r="O953" i="5" s="1"/>
  <c r="N954" i="5"/>
  <c r="O954" i="5" s="1"/>
  <c r="M955" i="5"/>
  <c r="N955" i="5"/>
  <c r="N956" i="5"/>
  <c r="O956" i="5" s="1"/>
  <c r="N957" i="5"/>
  <c r="O957" i="5" s="1"/>
  <c r="N958" i="5"/>
  <c r="O958" i="5" s="1"/>
  <c r="L959" i="5"/>
  <c r="N959" i="5" s="1"/>
  <c r="O959" i="5" s="1"/>
  <c r="M959" i="5"/>
  <c r="N960" i="5"/>
  <c r="O960" i="5" s="1"/>
  <c r="N961" i="5"/>
  <c r="O961" i="5" s="1"/>
  <c r="N962" i="5"/>
  <c r="O962" i="5" s="1"/>
  <c r="L963" i="5"/>
  <c r="N963" i="5" s="1"/>
  <c r="O963" i="5" s="1"/>
  <c r="N964" i="5"/>
  <c r="O964" i="5" s="1"/>
  <c r="N965" i="5"/>
  <c r="O965" i="5" s="1"/>
  <c r="N966" i="5"/>
  <c r="O966" i="5" s="1"/>
  <c r="N967" i="5"/>
  <c r="O967" i="5" s="1"/>
  <c r="N968" i="5"/>
  <c r="O968" i="5" s="1"/>
  <c r="N969" i="5"/>
  <c r="O969" i="5" s="1"/>
  <c r="N970" i="5"/>
  <c r="O970" i="5" s="1"/>
  <c r="N971" i="5"/>
  <c r="O971" i="5" s="1"/>
  <c r="N972" i="5"/>
  <c r="O972" i="5" s="1"/>
  <c r="N973" i="5"/>
  <c r="O973" i="5" s="1"/>
  <c r="N974" i="5"/>
  <c r="O974" i="5" s="1"/>
  <c r="N975" i="5"/>
  <c r="O975" i="5" s="1"/>
  <c r="M976" i="5"/>
  <c r="N976" i="5"/>
  <c r="N977" i="5"/>
  <c r="O977" i="5" s="1"/>
  <c r="M978" i="5"/>
  <c r="N978" i="5"/>
  <c r="O978" i="5" s="1"/>
  <c r="N979" i="5"/>
  <c r="O979" i="5" s="1"/>
  <c r="N980" i="5"/>
  <c r="O980" i="5" s="1"/>
  <c r="N981" i="5"/>
  <c r="O981" i="5" s="1"/>
  <c r="N982" i="5"/>
  <c r="O982" i="5" s="1"/>
  <c r="N983" i="5"/>
  <c r="O983" i="5" s="1"/>
  <c r="N984" i="5"/>
  <c r="O984" i="5" s="1"/>
  <c r="N985" i="5"/>
  <c r="O985" i="5" s="1"/>
  <c r="L986" i="5"/>
  <c r="N986" i="5" s="1"/>
  <c r="M986" i="5"/>
  <c r="N987" i="5"/>
  <c r="O987" i="5" s="1"/>
  <c r="N988" i="5"/>
  <c r="O988" i="5" s="1"/>
  <c r="N989" i="5"/>
  <c r="O989" i="5" s="1"/>
  <c r="N990" i="5"/>
  <c r="O990" i="5" s="1"/>
  <c r="N991" i="5"/>
  <c r="O991" i="5" s="1"/>
  <c r="N992" i="5"/>
  <c r="O992" i="5" s="1"/>
  <c r="N993" i="5"/>
  <c r="O993" i="5" s="1"/>
  <c r="N994" i="5"/>
  <c r="O994" i="5" s="1"/>
  <c r="N995" i="5"/>
  <c r="O995" i="5" s="1"/>
  <c r="L996" i="5"/>
  <c r="N996" i="5" s="1"/>
  <c r="M996" i="5"/>
  <c r="N997" i="5"/>
  <c r="O997" i="5" s="1"/>
  <c r="N998" i="5"/>
  <c r="O998" i="5" s="1"/>
  <c r="N999" i="5"/>
  <c r="O999" i="5" s="1"/>
  <c r="N1000" i="5"/>
  <c r="O1000" i="5" s="1"/>
  <c r="N1001" i="5"/>
  <c r="O1001" i="5" s="1"/>
  <c r="L1002" i="5"/>
  <c r="N1002" i="5" s="1"/>
  <c r="M1002" i="5"/>
  <c r="N1003" i="5"/>
  <c r="O1003" i="5" s="1"/>
  <c r="N1004" i="5"/>
  <c r="O1004" i="5" s="1"/>
  <c r="N1005" i="5"/>
  <c r="O1005" i="5" s="1"/>
  <c r="N1006" i="5"/>
  <c r="O1006" i="5" s="1"/>
  <c r="N1007" i="5"/>
  <c r="O1007" i="5" s="1"/>
  <c r="N1008" i="5"/>
  <c r="O1008" i="5" s="1"/>
  <c r="L1009" i="5"/>
  <c r="N1009" i="5" s="1"/>
  <c r="O1009" i="5" s="1"/>
  <c r="M1009" i="5"/>
  <c r="N1010" i="5"/>
  <c r="O1010" i="5" s="1"/>
  <c r="N1011" i="5"/>
  <c r="O1011" i="5" s="1"/>
  <c r="N1012" i="5"/>
  <c r="O1012" i="5" s="1"/>
  <c r="N1013" i="5"/>
  <c r="O1013" i="5" s="1"/>
  <c r="N1014" i="5"/>
  <c r="O1014" i="5" s="1"/>
  <c r="N1015" i="5"/>
  <c r="O1015" i="5" s="1"/>
  <c r="N1016" i="5"/>
  <c r="O1016" i="5" s="1"/>
  <c r="K1009" i="4"/>
  <c r="J1009" i="4"/>
  <c r="K1002" i="4"/>
  <c r="J1002" i="4"/>
  <c r="K996" i="4"/>
  <c r="J996" i="4"/>
  <c r="K986" i="4"/>
  <c r="J986" i="4"/>
  <c r="K978" i="4"/>
  <c r="K976" i="4"/>
  <c r="J963" i="4"/>
  <c r="K959" i="4"/>
  <c r="J959" i="4"/>
  <c r="K955" i="4"/>
  <c r="K949" i="4"/>
  <c r="J949" i="4"/>
  <c r="K939" i="4"/>
  <c r="K937" i="4"/>
  <c r="J937" i="4"/>
  <c r="K932" i="4"/>
  <c r="J932" i="4"/>
  <c r="K930" i="4"/>
  <c r="J930" i="4"/>
  <c r="J926" i="4"/>
  <c r="K921" i="4"/>
  <c r="J921" i="4"/>
  <c r="K918" i="4"/>
  <c r="J918" i="4"/>
  <c r="K906" i="4"/>
  <c r="J906" i="4"/>
  <c r="K902" i="4"/>
  <c r="J902" i="4"/>
  <c r="K901" i="4"/>
  <c r="K886" i="4"/>
  <c r="K884" i="4"/>
  <c r="K875" i="4"/>
  <c r="J875" i="4"/>
  <c r="K873" i="4"/>
  <c r="K871" i="4"/>
  <c r="K868" i="4"/>
  <c r="K867" i="4"/>
  <c r="K866" i="4"/>
  <c r="K864" i="4"/>
  <c r="K859" i="4"/>
  <c r="J859" i="4"/>
  <c r="K857" i="4"/>
  <c r="J857" i="4"/>
  <c r="K855" i="4"/>
  <c r="J855" i="4"/>
  <c r="K852" i="4"/>
  <c r="J852" i="4"/>
  <c r="K847" i="4"/>
  <c r="J847" i="4"/>
  <c r="K829" i="4"/>
  <c r="J829" i="4"/>
  <c r="K827" i="4"/>
  <c r="J827" i="4"/>
  <c r="K821" i="4"/>
  <c r="J817" i="4"/>
  <c r="K815" i="4"/>
  <c r="J815" i="4"/>
  <c r="K814" i="4"/>
  <c r="J814" i="4"/>
  <c r="K813" i="4"/>
  <c r="J813" i="4"/>
  <c r="K805" i="4"/>
  <c r="J805" i="4"/>
  <c r="K773" i="4"/>
  <c r="J773" i="4"/>
  <c r="K768" i="4"/>
  <c r="K758" i="4"/>
  <c r="J758" i="4"/>
  <c r="K754" i="4"/>
  <c r="J754" i="4"/>
  <c r="K750" i="4"/>
  <c r="K749" i="4"/>
  <c r="K709" i="4"/>
  <c r="J709" i="4"/>
  <c r="K707" i="4"/>
  <c r="J707" i="4"/>
  <c r="K688" i="4"/>
  <c r="J688" i="4"/>
  <c r="K681" i="4"/>
  <c r="K680" i="4"/>
  <c r="J680" i="4"/>
  <c r="K675" i="4"/>
  <c r="J675" i="4"/>
  <c r="K674" i="4"/>
  <c r="J674" i="4"/>
  <c r="K666" i="4"/>
  <c r="J666" i="4"/>
  <c r="J665" i="4"/>
  <c r="K662" i="4"/>
  <c r="J662" i="4"/>
  <c r="K661" i="4"/>
  <c r="J661" i="4"/>
  <c r="K660" i="4"/>
  <c r="J660" i="4"/>
  <c r="K658" i="4"/>
  <c r="J658" i="4"/>
  <c r="K653" i="4"/>
  <c r="J653" i="4"/>
  <c r="K650" i="4"/>
  <c r="J650" i="4"/>
  <c r="K636" i="4"/>
  <c r="K634" i="4"/>
  <c r="K633" i="4"/>
  <c r="K630" i="4"/>
  <c r="J630" i="4"/>
  <c r="K623" i="4"/>
  <c r="K618" i="4"/>
  <c r="J618" i="4"/>
  <c r="K615" i="4"/>
  <c r="K614" i="4"/>
  <c r="K613" i="4"/>
  <c r="J613" i="4"/>
  <c r="K612" i="4"/>
  <c r="K611" i="4"/>
  <c r="J611" i="4"/>
  <c r="K608" i="4"/>
  <c r="K607" i="4"/>
  <c r="K605" i="4"/>
  <c r="K604" i="4"/>
  <c r="K599" i="4"/>
  <c r="J599" i="4"/>
  <c r="K598" i="4"/>
  <c r="K595" i="4"/>
  <c r="K594" i="4"/>
  <c r="K589" i="4"/>
  <c r="J589" i="4"/>
  <c r="K587" i="4"/>
  <c r="J587" i="4" s="1"/>
  <c r="K586" i="4"/>
  <c r="J586" i="4"/>
  <c r="K582" i="4"/>
  <c r="J582" i="4"/>
  <c r="K580" i="4"/>
  <c r="J580" i="4"/>
  <c r="K579" i="4"/>
  <c r="K578" i="4"/>
  <c r="K577" i="4"/>
  <c r="K576" i="4"/>
  <c r="K575" i="4"/>
  <c r="K574" i="4"/>
  <c r="K573" i="4"/>
  <c r="K571" i="4"/>
  <c r="J571" i="4"/>
  <c r="K569" i="4"/>
  <c r="J569" i="4"/>
  <c r="K567" i="4"/>
  <c r="J567" i="4"/>
  <c r="K565" i="4"/>
  <c r="J565" i="4"/>
  <c r="K564" i="4"/>
  <c r="K562" i="4"/>
  <c r="J562" i="4"/>
  <c r="K553" i="4"/>
  <c r="K552" i="4"/>
  <c r="K540" i="4"/>
  <c r="K527" i="4"/>
  <c r="J527" i="4"/>
  <c r="K518" i="4"/>
  <c r="J518" i="4"/>
  <c r="K517" i="4"/>
  <c r="J517" i="4"/>
  <c r="K516" i="4"/>
  <c r="J516" i="4"/>
  <c r="K494" i="4"/>
  <c r="J494" i="4"/>
  <c r="J491" i="4"/>
  <c r="K489" i="4"/>
  <c r="J489" i="4"/>
  <c r="K487" i="4"/>
  <c r="J487" i="4"/>
  <c r="K486" i="4"/>
  <c r="K485" i="4"/>
  <c r="K482" i="4"/>
  <c r="K481" i="4"/>
  <c r="K480" i="4"/>
  <c r="J480" i="4"/>
  <c r="K476" i="4"/>
  <c r="J476" i="4"/>
  <c r="K474" i="4"/>
  <c r="K472" i="4"/>
  <c r="J472" i="4"/>
  <c r="K471" i="4"/>
  <c r="K469" i="4"/>
  <c r="K468" i="4"/>
  <c r="K467" i="4"/>
  <c r="K466" i="4"/>
  <c r="K465" i="4"/>
  <c r="K464" i="4"/>
  <c r="K463" i="4"/>
  <c r="K462" i="4"/>
  <c r="K461" i="4"/>
  <c r="K460" i="4"/>
  <c r="K459" i="4"/>
  <c r="J459" i="4"/>
  <c r="K458" i="4"/>
  <c r="J458" i="4"/>
  <c r="K457" i="4"/>
  <c r="K456" i="4"/>
  <c r="K455" i="4"/>
  <c r="K454" i="4"/>
  <c r="K453" i="4"/>
  <c r="J453" i="4"/>
  <c r="K451" i="4"/>
  <c r="K450" i="4"/>
  <c r="K449" i="4"/>
  <c r="J449" i="4"/>
  <c r="K448" i="4"/>
  <c r="K445" i="4"/>
  <c r="K438" i="4"/>
  <c r="J438" i="4"/>
  <c r="K437" i="4"/>
  <c r="K436" i="4"/>
  <c r="K434" i="4"/>
  <c r="K433" i="4"/>
  <c r="K432" i="4"/>
  <c r="J432" i="4"/>
  <c r="K431" i="4"/>
  <c r="J431" i="4"/>
  <c r="K430" i="4"/>
  <c r="K429" i="4"/>
  <c r="K428" i="4"/>
  <c r="K427" i="4"/>
  <c r="J426" i="4"/>
  <c r="K424" i="4"/>
  <c r="K423" i="4"/>
  <c r="K422" i="4"/>
  <c r="K419" i="4"/>
  <c r="K416" i="4"/>
  <c r="K414" i="4"/>
  <c r="K412" i="4"/>
  <c r="K411" i="4"/>
  <c r="K409" i="4"/>
  <c r="K408" i="4"/>
  <c r="K406" i="4"/>
  <c r="K405" i="4"/>
  <c r="K404" i="4"/>
  <c r="K403" i="4"/>
  <c r="K402" i="4"/>
  <c r="K401" i="4"/>
  <c r="K400" i="4"/>
  <c r="K399" i="4"/>
  <c r="K398" i="4"/>
  <c r="J398" i="4"/>
  <c r="K397" i="4"/>
  <c r="K396" i="4"/>
  <c r="K393" i="4"/>
  <c r="K392" i="4"/>
  <c r="K391" i="4"/>
  <c r="K390" i="4"/>
  <c r="K389" i="4"/>
  <c r="K388" i="4"/>
  <c r="K386" i="4"/>
  <c r="K385" i="4"/>
  <c r="K384" i="4"/>
  <c r="K380" i="4"/>
  <c r="K377" i="4"/>
  <c r="K370" i="4"/>
  <c r="K369" i="4"/>
  <c r="K367" i="4"/>
  <c r="K366" i="4"/>
  <c r="K313" i="4"/>
  <c r="K286" i="4"/>
  <c r="K277" i="4"/>
  <c r="J275" i="4"/>
  <c r="K273" i="4"/>
  <c r="K270" i="4"/>
  <c r="K267" i="4"/>
  <c r="J263" i="4"/>
  <c r="J260" i="4"/>
  <c r="J259" i="4"/>
  <c r="K258" i="4"/>
  <c r="K257" i="4"/>
  <c r="K245" i="4"/>
  <c r="J245" i="4"/>
  <c r="K239" i="4"/>
  <c r="J239" i="4"/>
  <c r="K232" i="4"/>
  <c r="K231" i="4"/>
  <c r="K229" i="4"/>
  <c r="K227" i="4"/>
  <c r="K224" i="4"/>
  <c r="J185" i="4"/>
  <c r="O986" i="5" l="1"/>
  <c r="O658" i="5"/>
  <c r="O239" i="5"/>
  <c r="O949" i="5"/>
  <c r="O451" i="5"/>
  <c r="O393" i="5"/>
  <c r="O389" i="5"/>
  <c r="O527" i="5"/>
  <c r="O688" i="5"/>
  <c r="O709" i="5"/>
  <c r="O805" i="5"/>
  <c r="O245" i="5"/>
  <c r="O675" i="5"/>
  <c r="O680" i="5"/>
  <c r="O453" i="5"/>
  <c r="O432" i="5"/>
  <c r="O930" i="5"/>
  <c r="O829" i="5"/>
  <c r="O494" i="5"/>
  <c r="O427" i="5"/>
  <c r="O367" i="5"/>
  <c r="O257" i="5"/>
  <c r="O224" i="5"/>
  <c r="O436" i="5"/>
  <c r="O758" i="5"/>
  <c r="O580" i="5"/>
  <c r="O630" i="5"/>
  <c r="O814" i="5"/>
  <c r="O633" i="5"/>
  <c r="O605" i="5"/>
  <c r="O594" i="5"/>
  <c r="O468" i="5"/>
  <c r="O464" i="5"/>
  <c r="O460" i="5"/>
  <c r="O457" i="5"/>
  <c r="O433" i="5"/>
  <c r="O429" i="5"/>
  <c r="O414" i="5"/>
  <c r="O409" i="5"/>
  <c r="O267" i="5"/>
  <c r="O815" i="5"/>
  <c r="O613" i="5"/>
  <c r="O871" i="5"/>
  <c r="O866" i="5"/>
  <c r="O614" i="5"/>
  <c r="O437" i="5"/>
  <c r="O467" i="5"/>
  <c r="O463" i="5"/>
  <c r="O481" i="5"/>
  <c r="O471" i="5"/>
  <c r="O567" i="5"/>
  <c r="O586" i="5"/>
  <c r="O847" i="5"/>
  <c r="O650" i="5"/>
  <c r="O450" i="5"/>
  <c r="O445" i="5"/>
  <c r="O397" i="5"/>
  <c r="O392" i="5"/>
  <c r="O388" i="5"/>
  <c r="O377" i="5"/>
  <c r="O370" i="5"/>
  <c r="O273" i="5"/>
  <c r="O231" i="5"/>
  <c r="O562" i="5"/>
  <c r="O449" i="5"/>
  <c r="O662" i="5"/>
  <c r="O398" i="5"/>
  <c r="O674" i="5"/>
  <c r="O707" i="5"/>
  <c r="O476" i="5"/>
  <c r="O518" i="5"/>
  <c r="O859" i="5"/>
  <c r="O666" i="5"/>
  <c r="O611" i="5"/>
  <c r="O565" i="5"/>
  <c r="O754" i="5"/>
  <c r="O996" i="5"/>
  <c r="O875" i="5"/>
  <c r="O1002" i="5"/>
  <c r="O955" i="5"/>
  <c r="O932" i="5"/>
  <c r="O906" i="5"/>
  <c r="O868" i="5"/>
  <c r="O852" i="5"/>
  <c r="O827" i="5"/>
  <c r="O773" i="5"/>
  <c r="O618" i="5"/>
  <c r="O582" i="5"/>
  <c r="O569" i="5"/>
  <c r="O564" i="5"/>
  <c r="O517" i="5"/>
  <c r="O489" i="5"/>
  <c r="O424" i="5"/>
  <c r="O419" i="5"/>
  <c r="O404" i="5"/>
  <c r="O400" i="5"/>
  <c r="O855" i="5"/>
  <c r="O813" i="5"/>
  <c r="O653" i="5"/>
  <c r="O857" i="5"/>
  <c r="O681" i="5"/>
  <c r="O576" i="5"/>
  <c r="O516" i="5"/>
  <c r="O482" i="5"/>
  <c r="O390" i="5"/>
  <c r="O380" i="5"/>
  <c r="O270" i="5"/>
  <c r="O921" i="5"/>
  <c r="O873" i="5"/>
  <c r="O749" i="5"/>
  <c r="O636" i="5"/>
  <c r="O615" i="5"/>
  <c r="O607" i="5"/>
  <c r="O577" i="5"/>
  <c r="O573" i="5"/>
  <c r="O552" i="5"/>
  <c r="O486" i="5"/>
  <c r="O448" i="5"/>
  <c r="O422" i="5"/>
  <c r="O416" i="5"/>
  <c r="O411" i="5"/>
  <c r="O406" i="5"/>
  <c r="O402" i="5"/>
  <c r="O385" i="5"/>
  <c r="O867" i="5"/>
  <c r="O821" i="5"/>
  <c r="O768" i="5"/>
  <c r="O595" i="5"/>
  <c r="O485" i="5"/>
  <c r="O454" i="5"/>
  <c r="O405" i="5"/>
  <c r="O401" i="5"/>
  <c r="O384" i="5"/>
  <c r="O286" i="5"/>
  <c r="O258" i="5"/>
  <c r="O229" i="5"/>
  <c r="O902" i="5"/>
  <c r="O599" i="5"/>
  <c r="O918" i="5"/>
  <c r="O901" i="5"/>
  <c r="O623" i="5"/>
  <c r="O604" i="5"/>
  <c r="O598" i="5"/>
  <c r="O466" i="5"/>
  <c r="O462" i="5"/>
  <c r="O456" i="5"/>
  <c r="O428" i="5"/>
  <c r="O408" i="5"/>
  <c r="O396" i="5"/>
  <c r="O391" i="5"/>
  <c r="O277" i="5"/>
  <c r="O232" i="5"/>
  <c r="O227" i="5"/>
  <c r="O589" i="5"/>
  <c r="O976" i="5"/>
  <c r="O937" i="5"/>
  <c r="O886" i="5"/>
  <c r="O864" i="5"/>
  <c r="O750" i="5"/>
  <c r="O660" i="5"/>
  <c r="O608" i="5"/>
  <c r="O578" i="5"/>
  <c r="O574" i="5"/>
  <c r="O474" i="5"/>
  <c r="O438" i="5"/>
  <c r="O431" i="5"/>
  <c r="O423" i="5"/>
  <c r="O412" i="5"/>
  <c r="O403" i="5"/>
  <c r="O399" i="5"/>
  <c r="O386" i="5"/>
  <c r="O369" i="5"/>
  <c r="O313" i="5"/>
  <c r="O939" i="5"/>
  <c r="O884" i="5"/>
</calcChain>
</file>

<file path=xl/sharedStrings.xml><?xml version="1.0" encoding="utf-8"?>
<sst xmlns="http://schemas.openxmlformats.org/spreadsheetml/2006/main" count="29515" uniqueCount="2830">
  <si>
    <t>30х37</t>
  </si>
  <si>
    <t>20х20</t>
  </si>
  <si>
    <t>25х31</t>
  </si>
  <si>
    <t>25х25</t>
  </si>
  <si>
    <t>qr code</t>
  </si>
  <si>
    <t>25x31</t>
  </si>
  <si>
    <t>25x25</t>
  </si>
  <si>
    <t>30x37</t>
  </si>
  <si>
    <t>20x20</t>
  </si>
  <si>
    <t>20х27</t>
  </si>
  <si>
    <t>Зелена</t>
  </si>
  <si>
    <t xml:space="preserve">25x25 </t>
  </si>
  <si>
    <t>30x30</t>
  </si>
  <si>
    <t>20x27</t>
  </si>
  <si>
    <t>10x10</t>
  </si>
  <si>
    <t>Чорна</t>
  </si>
  <si>
    <t xml:space="preserve">25x31 </t>
  </si>
  <si>
    <t>30х30</t>
  </si>
  <si>
    <t xml:space="preserve">25х31 </t>
  </si>
  <si>
    <t>30х9</t>
  </si>
  <si>
    <t>20х10</t>
  </si>
  <si>
    <t>hello</t>
  </si>
  <si>
    <t>55x42</t>
  </si>
  <si>
    <t>55x50</t>
  </si>
  <si>
    <t>40х15</t>
  </si>
  <si>
    <t>Vlad</t>
  </si>
  <si>
    <t>55x20</t>
  </si>
  <si>
    <t>60x80</t>
  </si>
  <si>
    <t>35x40</t>
  </si>
  <si>
    <t>50x20</t>
  </si>
  <si>
    <t>68x68</t>
  </si>
  <si>
    <t>Nel</t>
  </si>
  <si>
    <t>80x50</t>
  </si>
  <si>
    <t>100x50</t>
  </si>
  <si>
    <t>70x40</t>
  </si>
  <si>
    <t>60х45</t>
  </si>
  <si>
    <t>70x15</t>
  </si>
  <si>
    <t>50x60</t>
  </si>
  <si>
    <t>50х25</t>
  </si>
  <si>
    <t>60x15</t>
  </si>
  <si>
    <t>90x30</t>
  </si>
  <si>
    <t>60х60</t>
  </si>
  <si>
    <t>15х35</t>
  </si>
  <si>
    <t>17х70</t>
  </si>
  <si>
    <t>120х40</t>
  </si>
  <si>
    <t>100х25</t>
  </si>
  <si>
    <t>70x75</t>
  </si>
  <si>
    <t>126x48</t>
  </si>
  <si>
    <t>93x30</t>
  </si>
  <si>
    <t>70x24</t>
  </si>
  <si>
    <t>55х30</t>
  </si>
  <si>
    <t>40x40</t>
  </si>
  <si>
    <t>200x50</t>
  </si>
  <si>
    <t>50х70</t>
  </si>
  <si>
    <t>90x60</t>
  </si>
  <si>
    <t>80x17</t>
  </si>
  <si>
    <t>70х38</t>
  </si>
  <si>
    <t>40х30</t>
  </si>
  <si>
    <t>65x35</t>
  </si>
  <si>
    <t>110х15</t>
  </si>
  <si>
    <t>90х55</t>
  </si>
  <si>
    <t>100х100</t>
  </si>
  <si>
    <t>90x20</t>
  </si>
  <si>
    <t>150x75</t>
  </si>
  <si>
    <t>50x40</t>
  </si>
  <si>
    <t>70х75</t>
  </si>
  <si>
    <t>80х100</t>
  </si>
  <si>
    <t>100x35</t>
  </si>
  <si>
    <t>45x45</t>
  </si>
  <si>
    <t>65x25</t>
  </si>
  <si>
    <t>115х65</t>
  </si>
  <si>
    <t>20х135</t>
  </si>
  <si>
    <t>96x93</t>
  </si>
  <si>
    <t>125x70</t>
  </si>
  <si>
    <t>90х25</t>
  </si>
  <si>
    <t>45х65</t>
  </si>
  <si>
    <t>OBLAKA</t>
  </si>
  <si>
    <t>55x40</t>
  </si>
  <si>
    <t>Beauty STO</t>
  </si>
  <si>
    <t>50x50</t>
  </si>
  <si>
    <t>Youtube</t>
  </si>
  <si>
    <t>30x22</t>
  </si>
  <si>
    <t>інстамітка</t>
  </si>
  <si>
    <t>AntiSchool</t>
  </si>
  <si>
    <t>Spesivcevs fam</t>
  </si>
  <si>
    <t>50x30</t>
  </si>
  <si>
    <t>LAMOUR</t>
  </si>
  <si>
    <t>200x75</t>
  </si>
  <si>
    <t>Redwood</t>
  </si>
  <si>
    <t>110x30</t>
  </si>
  <si>
    <t>MAestro music</t>
  </si>
  <si>
    <t>60x30</t>
  </si>
  <si>
    <t>Protein cocktails</t>
  </si>
  <si>
    <t>100x100</t>
  </si>
  <si>
    <t>60x50</t>
  </si>
  <si>
    <t>110х20</t>
  </si>
  <si>
    <t>Fyria's 30</t>
  </si>
  <si>
    <t>100x66</t>
  </si>
  <si>
    <t>Lash vi vi</t>
  </si>
  <si>
    <t>120x30</t>
  </si>
  <si>
    <t>100х43</t>
  </si>
  <si>
    <t>120х50</t>
  </si>
  <si>
    <t>150х80</t>
  </si>
  <si>
    <t>fix mebli</t>
  </si>
  <si>
    <t>80x55</t>
  </si>
  <si>
    <t>52х20</t>
  </si>
  <si>
    <t>iryna karpenko</t>
  </si>
  <si>
    <t>90x55</t>
  </si>
  <si>
    <t>viles</t>
  </si>
  <si>
    <t>78x100</t>
  </si>
  <si>
    <t>family snail farm</t>
  </si>
  <si>
    <t>hookah shisha</t>
  </si>
  <si>
    <t>116x70</t>
  </si>
  <si>
    <t>60x16</t>
  </si>
  <si>
    <t>di nails</t>
  </si>
  <si>
    <t>35x13</t>
  </si>
  <si>
    <t>barbershop net head</t>
  </si>
  <si>
    <t>50x25</t>
  </si>
  <si>
    <t>welcome</t>
  </si>
  <si>
    <t>140x38</t>
  </si>
  <si>
    <t>outlet</t>
  </si>
  <si>
    <t>60x18</t>
  </si>
  <si>
    <t>hello beautiful</t>
  </si>
  <si>
    <t>120x20</t>
  </si>
  <si>
    <t>love yourself</t>
  </si>
  <si>
    <t>120x96</t>
  </si>
  <si>
    <t>vmo.menti</t>
  </si>
  <si>
    <t>100x20</t>
  </si>
  <si>
    <t>Nail Secret</t>
  </si>
  <si>
    <t>70x18</t>
  </si>
  <si>
    <t>Happy Birthday</t>
  </si>
  <si>
    <t>100x25</t>
  </si>
  <si>
    <t>45х31</t>
  </si>
  <si>
    <t>Maestro music</t>
  </si>
  <si>
    <t>50х28</t>
  </si>
  <si>
    <t>Domolux</t>
  </si>
  <si>
    <t>40x35</t>
  </si>
  <si>
    <t>45x90</t>
  </si>
  <si>
    <t>50х50</t>
  </si>
  <si>
    <t>49х49</t>
  </si>
  <si>
    <t>150x35</t>
  </si>
  <si>
    <t>150x36</t>
  </si>
  <si>
    <t>Sushi</t>
  </si>
  <si>
    <t>White space</t>
  </si>
  <si>
    <t>Clickmate</t>
  </si>
  <si>
    <t>200x39</t>
  </si>
  <si>
    <t>Ultraclick</t>
  </si>
  <si>
    <t>150x40,5</t>
  </si>
  <si>
    <t>145х62</t>
  </si>
  <si>
    <t>Natalia Kim</t>
  </si>
  <si>
    <t>100x40</t>
  </si>
  <si>
    <t>gori iasno</t>
  </si>
  <si>
    <t>40x11</t>
  </si>
  <si>
    <t>today is a good day</t>
  </si>
  <si>
    <t>140x150</t>
  </si>
  <si>
    <t>180х25</t>
  </si>
  <si>
    <t>furshet</t>
  </si>
  <si>
    <t>60x25</t>
  </si>
  <si>
    <t>jafarova</t>
  </si>
  <si>
    <t>95x38</t>
  </si>
  <si>
    <t>poosh store</t>
  </si>
  <si>
    <t>lotus</t>
  </si>
  <si>
    <t>145x60</t>
  </si>
  <si>
    <t>Kiss here</t>
  </si>
  <si>
    <t>75x55</t>
  </si>
  <si>
    <t>70х50</t>
  </si>
  <si>
    <t>BMW</t>
  </si>
  <si>
    <t>150x80</t>
  </si>
  <si>
    <t>70x52</t>
  </si>
  <si>
    <t>35х39</t>
  </si>
  <si>
    <t>morgikus</t>
  </si>
  <si>
    <t>60x19</t>
  </si>
  <si>
    <t>Show bar</t>
  </si>
  <si>
    <t>80x35</t>
  </si>
  <si>
    <t>62х70</t>
  </si>
  <si>
    <t>Keep avto</t>
  </si>
  <si>
    <t>100x60</t>
  </si>
  <si>
    <t>Band prodact</t>
  </si>
  <si>
    <t>51x29</t>
  </si>
  <si>
    <t>New Gen</t>
  </si>
  <si>
    <t>88x40</t>
  </si>
  <si>
    <t>80х30</t>
  </si>
  <si>
    <t>Texas</t>
  </si>
  <si>
    <t>50х35</t>
  </si>
  <si>
    <t>100x80</t>
  </si>
  <si>
    <t>Viki Home</t>
  </si>
  <si>
    <t>55x38</t>
  </si>
  <si>
    <t>kididani</t>
  </si>
  <si>
    <t>190x53</t>
  </si>
  <si>
    <t>Nike</t>
  </si>
  <si>
    <t>50x37</t>
  </si>
  <si>
    <t>prosecco terrace</t>
  </si>
  <si>
    <t>140x30</t>
  </si>
  <si>
    <t>70х17</t>
  </si>
  <si>
    <t xml:space="preserve">RVD Garage </t>
  </si>
  <si>
    <t>100х30</t>
  </si>
  <si>
    <t>70х20</t>
  </si>
  <si>
    <t>Home sweet home</t>
  </si>
  <si>
    <t>55х45</t>
  </si>
  <si>
    <t>Barvinok</t>
  </si>
  <si>
    <t>80x25</t>
  </si>
  <si>
    <t>21х28,5 i 15,5x20,5</t>
  </si>
  <si>
    <t>60х69</t>
  </si>
  <si>
    <t>38х50</t>
  </si>
  <si>
    <t>Art Roma</t>
  </si>
  <si>
    <t>Home map</t>
  </si>
  <si>
    <t>35х35</t>
  </si>
  <si>
    <t>Peer Party</t>
  </si>
  <si>
    <t>80x48</t>
  </si>
  <si>
    <t>all you need are lashes</t>
  </si>
  <si>
    <t>75x17</t>
  </si>
  <si>
    <t>55х38</t>
  </si>
  <si>
    <t>139х79</t>
  </si>
  <si>
    <t>Adam</t>
  </si>
  <si>
    <t>45x25</t>
  </si>
  <si>
    <t>Lilia</t>
  </si>
  <si>
    <t>Dani</t>
  </si>
  <si>
    <t>Dont worry eat sushi</t>
  </si>
  <si>
    <t>140x45</t>
  </si>
  <si>
    <t>110x14</t>
  </si>
  <si>
    <t>20х101</t>
  </si>
  <si>
    <t>Grim Tattoo</t>
  </si>
  <si>
    <t>100x47</t>
  </si>
  <si>
    <t>brows</t>
  </si>
  <si>
    <t>55x17</t>
  </si>
  <si>
    <t>D&amp;A studio</t>
  </si>
  <si>
    <t>80x30</t>
  </si>
  <si>
    <t>126х25</t>
  </si>
  <si>
    <t xml:space="preserve">Naked </t>
  </si>
  <si>
    <t>150x50</t>
  </si>
  <si>
    <t>unitech</t>
  </si>
  <si>
    <t>80x33</t>
  </si>
  <si>
    <t>cafe franco</t>
  </si>
  <si>
    <t>Keratin studio</t>
  </si>
  <si>
    <t>15х15</t>
  </si>
  <si>
    <t>Flower garden</t>
  </si>
  <si>
    <t>65x45</t>
  </si>
  <si>
    <t>You awesome</t>
  </si>
  <si>
    <t>55x13</t>
  </si>
  <si>
    <t>75х38</t>
  </si>
  <si>
    <t>Books and Coffe</t>
  </si>
  <si>
    <t>50x35</t>
  </si>
  <si>
    <t>Rak beauty bar</t>
  </si>
  <si>
    <t>beauty bar</t>
  </si>
  <si>
    <t>170х25</t>
  </si>
  <si>
    <t>yagel hub rgb</t>
  </si>
  <si>
    <t>32x23</t>
  </si>
  <si>
    <t xml:space="preserve">yagel hub </t>
  </si>
  <si>
    <t>32x24</t>
  </si>
  <si>
    <t>Hienglish</t>
  </si>
  <si>
    <t>60x40</t>
  </si>
  <si>
    <t>piercing&amp;tattoo</t>
  </si>
  <si>
    <t>76x53</t>
  </si>
  <si>
    <t>piercing</t>
  </si>
  <si>
    <t>18x127</t>
  </si>
  <si>
    <t>62х28</t>
  </si>
  <si>
    <t>TSVIT</t>
  </si>
  <si>
    <t>your beauty space</t>
  </si>
  <si>
    <t xml:space="preserve">qr code </t>
  </si>
  <si>
    <t>Caramel</t>
  </si>
  <si>
    <t>90х45</t>
  </si>
  <si>
    <t xml:space="preserve">f </t>
  </si>
  <si>
    <t>60x90</t>
  </si>
  <si>
    <t>140x40</t>
  </si>
  <si>
    <t>102x71</t>
  </si>
  <si>
    <t>The Durais</t>
  </si>
  <si>
    <t>90x26</t>
  </si>
  <si>
    <t>Nails</t>
  </si>
  <si>
    <t>81х76</t>
  </si>
  <si>
    <t>tattoo</t>
  </si>
  <si>
    <t>76x20</t>
  </si>
  <si>
    <t>Scapegoat</t>
  </si>
  <si>
    <t>15x125</t>
  </si>
  <si>
    <t>horiyume</t>
  </si>
  <si>
    <t>tattoo&amp;piersing</t>
  </si>
  <si>
    <t>one love tattoo</t>
  </si>
  <si>
    <t>89х38</t>
  </si>
  <si>
    <t>salads</t>
  </si>
  <si>
    <t>coffee</t>
  </si>
  <si>
    <t>50x31</t>
  </si>
  <si>
    <t>jek coffee</t>
  </si>
  <si>
    <t>230x60</t>
  </si>
  <si>
    <t>75x75</t>
  </si>
  <si>
    <t>13x13</t>
  </si>
  <si>
    <t>mars coffee</t>
  </si>
  <si>
    <t>70x20</t>
  </si>
  <si>
    <t>130x26</t>
  </si>
  <si>
    <t>vandal vape</t>
  </si>
  <si>
    <t>63x80</t>
  </si>
  <si>
    <t>Katty Flowers</t>
  </si>
  <si>
    <t>100x30</t>
  </si>
  <si>
    <t>55х70</t>
  </si>
  <si>
    <t>67х85</t>
  </si>
  <si>
    <t>40х50</t>
  </si>
  <si>
    <t>nezlamnist ukraine</t>
  </si>
  <si>
    <t>115x80</t>
  </si>
  <si>
    <t>77х110</t>
  </si>
  <si>
    <t>ASIA</t>
  </si>
  <si>
    <t>40x110</t>
  </si>
  <si>
    <t>noodles</t>
  </si>
  <si>
    <t>60x68</t>
  </si>
  <si>
    <t>ramen</t>
  </si>
  <si>
    <t>60x70</t>
  </si>
  <si>
    <t>save water drink wine</t>
  </si>
  <si>
    <t>45x100</t>
  </si>
  <si>
    <t>beef&amp;cake banquet hall</t>
  </si>
  <si>
    <t>120x50</t>
  </si>
  <si>
    <t>60x77</t>
  </si>
  <si>
    <t>110х40</t>
  </si>
  <si>
    <t>Nimble</t>
  </si>
  <si>
    <t>65x17</t>
  </si>
  <si>
    <t>35х45</t>
  </si>
  <si>
    <t>78x98</t>
  </si>
  <si>
    <t>home</t>
  </si>
  <si>
    <t>58х58</t>
  </si>
  <si>
    <t>Saint smm</t>
  </si>
  <si>
    <t>75x14</t>
  </si>
  <si>
    <t>50х12</t>
  </si>
  <si>
    <t>Marscoffee</t>
  </si>
  <si>
    <t>170x35</t>
  </si>
  <si>
    <t>20x105</t>
  </si>
  <si>
    <t>Katalina</t>
  </si>
  <si>
    <t>79x52</t>
  </si>
  <si>
    <t>coffee and cup</t>
  </si>
  <si>
    <t>55x100</t>
  </si>
  <si>
    <t>mafia</t>
  </si>
  <si>
    <t>90x25</t>
  </si>
  <si>
    <t>barbershop</t>
  </si>
  <si>
    <t>asup tattoo</t>
  </si>
  <si>
    <t>65x65</t>
  </si>
  <si>
    <t>pure</t>
  </si>
  <si>
    <t>amster</t>
  </si>
  <si>
    <t>110x27</t>
  </si>
  <si>
    <t>studbaza</t>
  </si>
  <si>
    <t>20x100</t>
  </si>
  <si>
    <t>20х100</t>
  </si>
  <si>
    <t>Chill</t>
  </si>
  <si>
    <t xml:space="preserve">trend device </t>
  </si>
  <si>
    <t>Only</t>
  </si>
  <si>
    <t>55x49</t>
  </si>
  <si>
    <t>52х22</t>
  </si>
  <si>
    <t>27х30</t>
  </si>
  <si>
    <t>Spayder_Stace</t>
  </si>
  <si>
    <t>40x60</t>
  </si>
  <si>
    <t>Map Ridni</t>
  </si>
  <si>
    <t>120x80</t>
  </si>
  <si>
    <t>playstation</t>
  </si>
  <si>
    <t>50x15</t>
  </si>
  <si>
    <t>Devil may cry</t>
  </si>
  <si>
    <t>permanent lash studio</t>
  </si>
  <si>
    <t>110x40</t>
  </si>
  <si>
    <t>Black Jack</t>
  </si>
  <si>
    <t>squirrels bag</t>
  </si>
  <si>
    <t>40x22</t>
  </si>
  <si>
    <t>Interior</t>
  </si>
  <si>
    <t>53х60</t>
  </si>
  <si>
    <t>90x15</t>
  </si>
  <si>
    <t>75x15</t>
  </si>
  <si>
    <t>70х27</t>
  </si>
  <si>
    <t xml:space="preserve">Play station </t>
  </si>
  <si>
    <t>40x25</t>
  </si>
  <si>
    <t>40x13</t>
  </si>
  <si>
    <t>colorupgrade</t>
  </si>
  <si>
    <t>25х170</t>
  </si>
  <si>
    <t>95х100</t>
  </si>
  <si>
    <t>70х70</t>
  </si>
  <si>
    <t>105x35</t>
  </si>
  <si>
    <t>75х67</t>
  </si>
  <si>
    <t>Kosmos food</t>
  </si>
  <si>
    <t>150x40</t>
  </si>
  <si>
    <t>twinhouse</t>
  </si>
  <si>
    <t>70x70</t>
  </si>
  <si>
    <t>130x19</t>
  </si>
  <si>
    <t>50x53</t>
  </si>
  <si>
    <t>Coffee</t>
  </si>
  <si>
    <t>87x27</t>
  </si>
  <si>
    <t>80х11</t>
  </si>
  <si>
    <t>55х12</t>
  </si>
  <si>
    <t>Mickey ZBS CAR</t>
  </si>
  <si>
    <t>158x168</t>
  </si>
  <si>
    <t>190x40</t>
  </si>
  <si>
    <t>58x74</t>
  </si>
  <si>
    <t>50х27</t>
  </si>
  <si>
    <t>44x57</t>
  </si>
  <si>
    <t>Happy birthday</t>
  </si>
  <si>
    <t>80х27</t>
  </si>
  <si>
    <t>andrvet</t>
  </si>
  <si>
    <t>137x71</t>
  </si>
  <si>
    <t>mariamchic tattoo</t>
  </si>
  <si>
    <t>90x35</t>
  </si>
  <si>
    <t>Sunny deserts</t>
  </si>
  <si>
    <t>137x88</t>
  </si>
  <si>
    <t>lerros beauty studio</t>
  </si>
  <si>
    <t>140x55</t>
  </si>
  <si>
    <t>salon urody</t>
  </si>
  <si>
    <t>140x27</t>
  </si>
  <si>
    <t>anna_lash_paris</t>
  </si>
  <si>
    <t>80x15</t>
  </si>
  <si>
    <t>the art of everyday life</t>
  </si>
  <si>
    <t>60x75</t>
  </si>
  <si>
    <t xml:space="preserve">Hookah </t>
  </si>
  <si>
    <t>75x115</t>
  </si>
  <si>
    <t>lubko stasiv and shahid</t>
  </si>
  <si>
    <t>105x75</t>
  </si>
  <si>
    <t>15x15</t>
  </si>
  <si>
    <t>Amperd</t>
  </si>
  <si>
    <t>75x62</t>
  </si>
  <si>
    <t>simpson</t>
  </si>
  <si>
    <t>50x33</t>
  </si>
  <si>
    <t>145х145</t>
  </si>
  <si>
    <t>peony beauty</t>
  </si>
  <si>
    <t>Lamarch</t>
  </si>
  <si>
    <t>120x35</t>
  </si>
  <si>
    <t>Vandal Vape</t>
  </si>
  <si>
    <t>67x85</t>
  </si>
  <si>
    <t>Bufalo.ua</t>
  </si>
  <si>
    <t>75x32</t>
  </si>
  <si>
    <t>baby esti wow</t>
  </si>
  <si>
    <t>80x47</t>
  </si>
  <si>
    <t>prosecco bar</t>
  </si>
  <si>
    <t>light bar</t>
  </si>
  <si>
    <t>80x82</t>
  </si>
  <si>
    <t>150х143</t>
  </si>
  <si>
    <t>autolux</t>
  </si>
  <si>
    <t>skymusic</t>
  </si>
  <si>
    <t>170x40</t>
  </si>
  <si>
    <t>everyday is rock day</t>
  </si>
  <si>
    <t>145x75</t>
  </si>
  <si>
    <t>alla beauty</t>
  </si>
  <si>
    <t>Family smile</t>
  </si>
  <si>
    <t>120x40</t>
  </si>
  <si>
    <t>75x95</t>
  </si>
  <si>
    <t>dominic pizza контурна</t>
  </si>
  <si>
    <t>Topclimat</t>
  </si>
  <si>
    <t>60x60</t>
  </si>
  <si>
    <t>170x22</t>
  </si>
  <si>
    <t>nail agentka</t>
  </si>
  <si>
    <t>70x25</t>
  </si>
  <si>
    <t>anisia</t>
  </si>
  <si>
    <t>40x16</t>
  </si>
  <si>
    <t>mono laser</t>
  </si>
  <si>
    <t>take bike</t>
  </si>
  <si>
    <t>mosiy tattoo</t>
  </si>
  <si>
    <t>15x150</t>
  </si>
  <si>
    <t>55х57</t>
  </si>
  <si>
    <t>lets drink</t>
  </si>
  <si>
    <t>80x60</t>
  </si>
  <si>
    <t>junior kids</t>
  </si>
  <si>
    <t>85x42</t>
  </si>
  <si>
    <t>yana olman</t>
  </si>
  <si>
    <t>60x46</t>
  </si>
  <si>
    <t>lovebryk studio</t>
  </si>
  <si>
    <t>65x32</t>
  </si>
  <si>
    <t>70х18</t>
  </si>
  <si>
    <t>60х16</t>
  </si>
  <si>
    <t>90x115</t>
  </si>
  <si>
    <t>Pig</t>
  </si>
  <si>
    <t>45x37</t>
  </si>
  <si>
    <t>80x100</t>
  </si>
  <si>
    <t>Vn nails</t>
  </si>
  <si>
    <t>70x44</t>
  </si>
  <si>
    <t>42х21</t>
  </si>
  <si>
    <t>ESP motors</t>
  </si>
  <si>
    <t>100x63</t>
  </si>
  <si>
    <t>140х45</t>
  </si>
  <si>
    <t>caffesta</t>
  </si>
  <si>
    <t>65x76</t>
  </si>
  <si>
    <t>100х77</t>
  </si>
  <si>
    <t>flash</t>
  </si>
  <si>
    <t>150х40</t>
  </si>
  <si>
    <t>school by manhattan</t>
  </si>
  <si>
    <t>anastasia</t>
  </si>
  <si>
    <t>50x19</t>
  </si>
  <si>
    <t>80x49</t>
  </si>
  <si>
    <t>run&amp;drive</t>
  </si>
  <si>
    <t>100x65</t>
  </si>
  <si>
    <t>LVS garage</t>
  </si>
  <si>
    <t>Black Bunny</t>
  </si>
  <si>
    <t>60x45</t>
  </si>
  <si>
    <t>smile</t>
  </si>
  <si>
    <t>35x35</t>
  </si>
  <si>
    <t>insta</t>
  </si>
  <si>
    <t>55 house</t>
  </si>
  <si>
    <t>Vanilla nail studio</t>
  </si>
  <si>
    <t>100x31</t>
  </si>
  <si>
    <t>Never give up</t>
  </si>
  <si>
    <t>Coolbaba</t>
  </si>
  <si>
    <t>50x27</t>
  </si>
  <si>
    <t>Brow Space</t>
  </si>
  <si>
    <t>55x33</t>
  </si>
  <si>
    <t>Beauty House</t>
  </si>
  <si>
    <t>mali house</t>
  </si>
  <si>
    <t>88x57</t>
  </si>
  <si>
    <t>65х64</t>
  </si>
  <si>
    <t>60х65</t>
  </si>
  <si>
    <t>prosseco</t>
  </si>
  <si>
    <t>65x30</t>
  </si>
  <si>
    <t>Prosseco</t>
  </si>
  <si>
    <t>100х52</t>
  </si>
  <si>
    <t>100х41</t>
  </si>
  <si>
    <t>Utactic</t>
  </si>
  <si>
    <t>70x60</t>
  </si>
  <si>
    <t>mi cafe</t>
  </si>
  <si>
    <t>40x41</t>
  </si>
  <si>
    <t>svitlo</t>
  </si>
  <si>
    <t>70x32</t>
  </si>
  <si>
    <t>fresh tour</t>
  </si>
  <si>
    <t>105x53</t>
  </si>
  <si>
    <t>90х32</t>
  </si>
  <si>
    <t>80х49</t>
  </si>
  <si>
    <t>76х13</t>
  </si>
  <si>
    <t>88х13</t>
  </si>
  <si>
    <t>jumping party</t>
  </si>
  <si>
    <t>100x54</t>
  </si>
  <si>
    <t>tviy.dr</t>
  </si>
  <si>
    <t>35x15</t>
  </si>
  <si>
    <t>kseyonce</t>
  </si>
  <si>
    <t>90х30</t>
  </si>
  <si>
    <t>ravlykovy ray</t>
  </si>
  <si>
    <t>90x17</t>
  </si>
  <si>
    <t>maestro music</t>
  </si>
  <si>
    <t>65x33</t>
  </si>
  <si>
    <t>Freestyle</t>
  </si>
  <si>
    <t>Beauty Peach</t>
  </si>
  <si>
    <t>80x18</t>
  </si>
  <si>
    <t>100х22</t>
  </si>
  <si>
    <t>150х30</t>
  </si>
  <si>
    <t>Cosmetics</t>
  </si>
  <si>
    <t>66x47</t>
  </si>
  <si>
    <t>oh baby</t>
  </si>
  <si>
    <t>65х33</t>
  </si>
  <si>
    <t>paradse place</t>
  </si>
  <si>
    <t>75х48</t>
  </si>
  <si>
    <t>80х60</t>
  </si>
  <si>
    <t>100х15</t>
  </si>
  <si>
    <t>85х23</t>
  </si>
  <si>
    <t>Rhythm</t>
  </si>
  <si>
    <t>Alex media</t>
  </si>
  <si>
    <t>Art-Line</t>
  </si>
  <si>
    <t>85x75</t>
  </si>
  <si>
    <t>vape shop</t>
  </si>
  <si>
    <t>85x65</t>
  </si>
  <si>
    <t>43х95</t>
  </si>
  <si>
    <t>100х21</t>
  </si>
  <si>
    <t>100х65</t>
  </si>
  <si>
    <t>craft</t>
  </si>
  <si>
    <t>50x18</t>
  </si>
  <si>
    <t>legenda</t>
  </si>
  <si>
    <t>65x16</t>
  </si>
  <si>
    <t>flowers</t>
  </si>
  <si>
    <t>100x23</t>
  </si>
  <si>
    <t>Cosmos flowers</t>
  </si>
  <si>
    <t>220x40</t>
  </si>
  <si>
    <t>U Home</t>
  </si>
  <si>
    <t>open</t>
  </si>
  <si>
    <t>60x20</t>
  </si>
  <si>
    <t>PS</t>
  </si>
  <si>
    <t>23x23</t>
  </si>
  <si>
    <t>VR</t>
  </si>
  <si>
    <t>27x23</t>
  </si>
  <si>
    <t>VIP</t>
  </si>
  <si>
    <t>30x23</t>
  </si>
  <si>
    <t>Tennis</t>
  </si>
  <si>
    <t>64x23</t>
  </si>
  <si>
    <t>Racing</t>
  </si>
  <si>
    <t>63x23</t>
  </si>
  <si>
    <t>Comfort</t>
  </si>
  <si>
    <t>anomali sushi контур</t>
  </si>
  <si>
    <t>110х45</t>
  </si>
  <si>
    <t>Girls Space</t>
  </si>
  <si>
    <t>80x20</t>
  </si>
  <si>
    <t>slim project</t>
  </si>
  <si>
    <t>62x31</t>
  </si>
  <si>
    <t>180х64</t>
  </si>
  <si>
    <t>70х19</t>
  </si>
  <si>
    <t>21,8х100</t>
  </si>
  <si>
    <t>the teatr</t>
  </si>
  <si>
    <t>54x60</t>
  </si>
  <si>
    <t>merezh nails</t>
  </si>
  <si>
    <t>gas life</t>
  </si>
  <si>
    <t>Kevo</t>
  </si>
  <si>
    <t>dobra kava</t>
  </si>
  <si>
    <t>80x80</t>
  </si>
  <si>
    <t>19x25</t>
  </si>
  <si>
    <t>one</t>
  </si>
  <si>
    <t>45x28</t>
  </si>
  <si>
    <t>grl pwr</t>
  </si>
  <si>
    <t>moroz lingerie</t>
  </si>
  <si>
    <t>infinity lounge</t>
  </si>
  <si>
    <t>72x85</t>
  </si>
  <si>
    <t>45х68</t>
  </si>
  <si>
    <t>Laptopchik</t>
  </si>
  <si>
    <t>80х73</t>
  </si>
  <si>
    <t>48х80</t>
  </si>
  <si>
    <t>AM PM</t>
  </si>
  <si>
    <t>75x76</t>
  </si>
  <si>
    <t>90х18</t>
  </si>
  <si>
    <t>paw</t>
  </si>
  <si>
    <t>sharm</t>
  </si>
  <si>
    <t>soft english</t>
  </si>
  <si>
    <t>shalena shop</t>
  </si>
  <si>
    <t>100x45</t>
  </si>
  <si>
    <t>79х174</t>
  </si>
  <si>
    <t>vape hub</t>
  </si>
  <si>
    <t>100x70</t>
  </si>
  <si>
    <t>this is the sign</t>
  </si>
  <si>
    <t>30х22</t>
  </si>
  <si>
    <t>48х50</t>
  </si>
  <si>
    <t>20х25</t>
  </si>
  <si>
    <t>aesthetic room</t>
  </si>
  <si>
    <t>60x37</t>
  </si>
  <si>
    <t>m family</t>
  </si>
  <si>
    <t>david&amp;kristina</t>
  </si>
  <si>
    <t>150х65</t>
  </si>
  <si>
    <t>nexus</t>
  </si>
  <si>
    <t>120x47</t>
  </si>
  <si>
    <t>game zone</t>
  </si>
  <si>
    <t>70x45</t>
  </si>
  <si>
    <t>80х45</t>
  </si>
  <si>
    <t>barberry</t>
  </si>
  <si>
    <t>50x17</t>
  </si>
  <si>
    <t>coffee lab</t>
  </si>
  <si>
    <t>125x30</t>
  </si>
  <si>
    <t>120х120</t>
  </si>
  <si>
    <t>impro_kr</t>
  </si>
  <si>
    <t>100х40</t>
  </si>
  <si>
    <t>ukrainian travel</t>
  </si>
  <si>
    <t>85x39</t>
  </si>
  <si>
    <t>dobro</t>
  </si>
  <si>
    <t>200x45</t>
  </si>
  <si>
    <t>70х120</t>
  </si>
  <si>
    <t>120х80</t>
  </si>
  <si>
    <t>lashes</t>
  </si>
  <si>
    <t>40x15</t>
  </si>
  <si>
    <t>m music studio</t>
  </si>
  <si>
    <t>90x39</t>
  </si>
  <si>
    <t>dada dance</t>
  </si>
  <si>
    <t>80х80</t>
  </si>
  <si>
    <t>80х23</t>
  </si>
  <si>
    <t>malvy</t>
  </si>
  <si>
    <t>techstore</t>
  </si>
  <si>
    <t>poplavskiy shoes</t>
  </si>
  <si>
    <t>50x43</t>
  </si>
  <si>
    <t>snkrs</t>
  </si>
  <si>
    <t>the vibe</t>
  </si>
  <si>
    <t>keratin space</t>
  </si>
  <si>
    <t>119x14</t>
  </si>
  <si>
    <t>sunrise</t>
  </si>
  <si>
    <t>33x175</t>
  </si>
  <si>
    <t>54х60</t>
  </si>
  <si>
    <t>beautiful</t>
  </si>
  <si>
    <t>50x36</t>
  </si>
  <si>
    <t>120х51</t>
  </si>
  <si>
    <t>east side tattoo</t>
  </si>
  <si>
    <t>60х25</t>
  </si>
  <si>
    <t>Paradise room</t>
  </si>
  <si>
    <t>60x28</t>
  </si>
  <si>
    <t>75х40</t>
  </si>
  <si>
    <t>45х50</t>
  </si>
  <si>
    <t>110х120</t>
  </si>
  <si>
    <t>170х85</t>
  </si>
  <si>
    <t>65х67</t>
  </si>
  <si>
    <t>55x70</t>
  </si>
  <si>
    <t>28х155</t>
  </si>
  <si>
    <t>frisson tattoo</t>
  </si>
  <si>
    <t>coffee waffle</t>
  </si>
  <si>
    <t>50x44</t>
  </si>
  <si>
    <t>svoi coffee</t>
  </si>
  <si>
    <t>56x60</t>
  </si>
  <si>
    <t>enjoy yourself</t>
  </si>
  <si>
    <t>21st gold</t>
  </si>
  <si>
    <t>legendary shawarma</t>
  </si>
  <si>
    <t>165x30</t>
  </si>
  <si>
    <t>VS studio</t>
  </si>
  <si>
    <t>55x25</t>
  </si>
  <si>
    <t>nike</t>
  </si>
  <si>
    <t>kava</t>
  </si>
  <si>
    <t>150x110</t>
  </si>
  <si>
    <t>80х20</t>
  </si>
  <si>
    <t>relax zone</t>
  </si>
  <si>
    <t>85х20</t>
  </si>
  <si>
    <t>80x16</t>
  </si>
  <si>
    <t>lia</t>
  </si>
  <si>
    <t>TD_kava</t>
  </si>
  <si>
    <t>180х40</t>
  </si>
  <si>
    <t>think</t>
  </si>
  <si>
    <t>100x41</t>
  </si>
  <si>
    <t>33x23</t>
  </si>
  <si>
    <t>happy new year</t>
  </si>
  <si>
    <t>wape shop</t>
  </si>
  <si>
    <t>125x20</t>
  </si>
  <si>
    <t>li tactil</t>
  </si>
  <si>
    <t>cognitie</t>
  </si>
  <si>
    <t>45x11</t>
  </si>
  <si>
    <t>87х100</t>
  </si>
  <si>
    <t>lexus bar</t>
  </si>
  <si>
    <t>sushi</t>
  </si>
  <si>
    <t>38x45</t>
  </si>
  <si>
    <t>16х23</t>
  </si>
  <si>
    <t>50x55</t>
  </si>
  <si>
    <t>COTTEE</t>
  </si>
  <si>
    <t>97x27</t>
  </si>
  <si>
    <t>twoje pazurki</t>
  </si>
  <si>
    <t>70x48</t>
  </si>
  <si>
    <t>kiss me</t>
  </si>
  <si>
    <t>80x38</t>
  </si>
  <si>
    <t>kombo pizza</t>
  </si>
  <si>
    <t>160x40</t>
  </si>
  <si>
    <t>60х52</t>
  </si>
  <si>
    <t>40х40</t>
  </si>
  <si>
    <t>58х120</t>
  </si>
  <si>
    <t>jesus</t>
  </si>
  <si>
    <t>55х21</t>
  </si>
  <si>
    <t>amazing beauty</t>
  </si>
  <si>
    <t>127x40</t>
  </si>
  <si>
    <t>blackmanstream</t>
  </si>
  <si>
    <t>55x37</t>
  </si>
  <si>
    <t>but first coffee</t>
  </si>
  <si>
    <t>70x50</t>
  </si>
  <si>
    <t>100х14</t>
  </si>
  <si>
    <t>vs studio</t>
  </si>
  <si>
    <t>130x55</t>
  </si>
  <si>
    <t>30x20</t>
  </si>
  <si>
    <t>beer speed</t>
  </si>
  <si>
    <t>100x87</t>
  </si>
  <si>
    <t>60х20</t>
  </si>
  <si>
    <t>50х55</t>
  </si>
  <si>
    <t>Copacabana</t>
  </si>
  <si>
    <t>90x51</t>
  </si>
  <si>
    <t>magic begins here</t>
  </si>
  <si>
    <t>80x57</t>
  </si>
  <si>
    <t>temari</t>
  </si>
  <si>
    <t>105х15</t>
  </si>
  <si>
    <t>life is not perfect</t>
  </si>
  <si>
    <t>98x80</t>
  </si>
  <si>
    <t>24х110</t>
  </si>
  <si>
    <t>60х11</t>
  </si>
  <si>
    <t>Dimazoer</t>
  </si>
  <si>
    <t>60x24</t>
  </si>
  <si>
    <t>105х45</t>
  </si>
  <si>
    <t>Lero</t>
  </si>
  <si>
    <t>70х55</t>
  </si>
  <si>
    <t>This is my happy place</t>
  </si>
  <si>
    <t>120х39</t>
  </si>
  <si>
    <t>le studio photostudio</t>
  </si>
  <si>
    <t>120x70</t>
  </si>
  <si>
    <t>soul dance</t>
  </si>
  <si>
    <t>160x30</t>
  </si>
  <si>
    <t>69х50</t>
  </si>
  <si>
    <t>dialog dia-dance</t>
  </si>
  <si>
    <t>150x90</t>
  </si>
  <si>
    <t>anna danilla</t>
  </si>
  <si>
    <t>95x43</t>
  </si>
  <si>
    <t xml:space="preserve">Happy birthday </t>
  </si>
  <si>
    <t>Happy birthday подвійни</t>
  </si>
  <si>
    <t xml:space="preserve">Fast gym </t>
  </si>
  <si>
    <t>PAB</t>
  </si>
  <si>
    <t>65x60</t>
  </si>
  <si>
    <t>dance</t>
  </si>
  <si>
    <t>70x21</t>
  </si>
  <si>
    <t>55х11</t>
  </si>
  <si>
    <t>beer&amp; fish</t>
  </si>
  <si>
    <t>200x60</t>
  </si>
  <si>
    <t>kosuli coffee</t>
  </si>
  <si>
    <t>95x42</t>
  </si>
  <si>
    <t>75х27</t>
  </si>
  <si>
    <t>Al marine</t>
  </si>
  <si>
    <t>230x50</t>
  </si>
  <si>
    <t>37х65</t>
  </si>
  <si>
    <t>maestro stage</t>
  </si>
  <si>
    <t>notes</t>
  </si>
  <si>
    <t>70х46</t>
  </si>
  <si>
    <t>brainity</t>
  </si>
  <si>
    <t>35x28</t>
  </si>
  <si>
    <t>lux cafe</t>
  </si>
  <si>
    <t>100x21</t>
  </si>
  <si>
    <t>100х27</t>
  </si>
  <si>
    <t>295х63</t>
  </si>
  <si>
    <t>zbs barber</t>
  </si>
  <si>
    <t>98x100</t>
  </si>
  <si>
    <t>b massage by</t>
  </si>
  <si>
    <t>70x27</t>
  </si>
  <si>
    <t>i centr</t>
  </si>
  <si>
    <t>74x90</t>
  </si>
  <si>
    <t>figma hub</t>
  </si>
  <si>
    <t>90x33</t>
  </si>
  <si>
    <t>dropmode</t>
  </si>
  <si>
    <t>neo fitness</t>
  </si>
  <si>
    <t>150x25</t>
  </si>
  <si>
    <t>kd</t>
  </si>
  <si>
    <t>80x45</t>
  </si>
  <si>
    <t>pro duck</t>
  </si>
  <si>
    <t>37x20</t>
  </si>
  <si>
    <t>180х33</t>
  </si>
  <si>
    <t>180х34</t>
  </si>
  <si>
    <t>Royal Space</t>
  </si>
  <si>
    <t>150х39</t>
  </si>
  <si>
    <t>craftroom</t>
  </si>
  <si>
    <t>150x72</t>
  </si>
  <si>
    <t>Buddy cloud</t>
  </si>
  <si>
    <t>82х39</t>
  </si>
  <si>
    <t>darling, you are beautiful</t>
  </si>
  <si>
    <t>63x26</t>
  </si>
  <si>
    <t>cosmos</t>
  </si>
  <si>
    <t>70x65</t>
  </si>
  <si>
    <t>NVNT</t>
  </si>
  <si>
    <t>by hairdressers</t>
  </si>
  <si>
    <t>your hair</t>
  </si>
  <si>
    <t>your way</t>
  </si>
  <si>
    <t>59x20</t>
  </si>
  <si>
    <t>pudra</t>
  </si>
  <si>
    <t>black jack</t>
  </si>
  <si>
    <t>Faza</t>
  </si>
  <si>
    <t>Sign name</t>
  </si>
  <si>
    <t>Color</t>
  </si>
  <si>
    <t>Price</t>
  </si>
  <si>
    <t>Unit cost</t>
  </si>
  <si>
    <t>Black</t>
  </si>
  <si>
    <t>Silver</t>
  </si>
  <si>
    <t>Зелено-Black</t>
  </si>
  <si>
    <t>Black qкод</t>
  </si>
  <si>
    <t>Gold</t>
  </si>
  <si>
    <t>Red</t>
  </si>
  <si>
    <t>Green</t>
  </si>
  <si>
    <t>Silver-Black</t>
  </si>
  <si>
    <t xml:space="preserve">Silver-Black </t>
  </si>
  <si>
    <t>Gold-Black</t>
  </si>
  <si>
    <t>З підста Gold</t>
  </si>
  <si>
    <t>Yellow</t>
  </si>
  <si>
    <t>Sing type</t>
  </si>
  <si>
    <t>Sign size</t>
  </si>
  <si>
    <t>25x10</t>
  </si>
  <si>
    <t>3x3</t>
  </si>
  <si>
    <t>15x21</t>
  </si>
  <si>
    <t>50x22</t>
  </si>
  <si>
    <t>55x28</t>
  </si>
  <si>
    <t>58x13</t>
  </si>
  <si>
    <t>55x60</t>
  </si>
  <si>
    <t>60x44</t>
  </si>
  <si>
    <t>40x14</t>
  </si>
  <si>
    <t>45x35</t>
  </si>
  <si>
    <t>30x50</t>
  </si>
  <si>
    <t>30x40</t>
  </si>
  <si>
    <t>100x15</t>
  </si>
  <si>
    <t>25x30</t>
  </si>
  <si>
    <t xml:space="preserve">20x20 </t>
  </si>
  <si>
    <t>100х37</t>
  </si>
  <si>
    <t>30X37</t>
  </si>
  <si>
    <t>65x18</t>
  </si>
  <si>
    <t>40x20</t>
  </si>
  <si>
    <t>100x150</t>
  </si>
  <si>
    <t>20x10</t>
  </si>
  <si>
    <t>30x15</t>
  </si>
  <si>
    <t>15x20</t>
  </si>
  <si>
    <t>75x20</t>
  </si>
  <si>
    <t>30x10</t>
  </si>
  <si>
    <t>40x10</t>
  </si>
  <si>
    <t>40x30</t>
  </si>
  <si>
    <t>50x14</t>
  </si>
  <si>
    <t>40x12</t>
  </si>
  <si>
    <t>74x30</t>
  </si>
  <si>
    <t>50x10</t>
  </si>
  <si>
    <t>42x37</t>
  </si>
  <si>
    <t>Rose</t>
  </si>
  <si>
    <t>White</t>
  </si>
  <si>
    <t>Violet</t>
  </si>
  <si>
    <t>Ice blue</t>
  </si>
  <si>
    <t>Blue</t>
  </si>
  <si>
    <t>Cold White</t>
  </si>
  <si>
    <t>Qr code</t>
  </si>
  <si>
    <t>Olya</t>
  </si>
  <si>
    <t>Olenka</t>
  </si>
  <si>
    <t>Sergii</t>
  </si>
  <si>
    <t>Nadii</t>
  </si>
  <si>
    <t>Yana</t>
  </si>
  <si>
    <t>Yand</t>
  </si>
  <si>
    <t>Maria</t>
  </si>
  <si>
    <t>Fedir</t>
  </si>
  <si>
    <t>Dmytro</t>
  </si>
  <si>
    <t>Katerina</t>
  </si>
  <si>
    <t>Volodya</t>
  </si>
  <si>
    <t>Nazar</t>
  </si>
  <si>
    <t>Alina</t>
  </si>
  <si>
    <t>Inessa</t>
  </si>
  <si>
    <t>Inna</t>
  </si>
  <si>
    <t>Vasyl</t>
  </si>
  <si>
    <t>Tereza</t>
  </si>
  <si>
    <t>Daria</t>
  </si>
  <si>
    <t>Dasha</t>
  </si>
  <si>
    <t>Evgenia</t>
  </si>
  <si>
    <t>Nika</t>
  </si>
  <si>
    <t>Nikol</t>
  </si>
  <si>
    <t>Nikolas</t>
  </si>
  <si>
    <t>Alex</t>
  </si>
  <si>
    <t>Sasha</t>
  </si>
  <si>
    <t>Tatiana</t>
  </si>
  <si>
    <t>Tanya</t>
  </si>
  <si>
    <t>Viktoria</t>
  </si>
  <si>
    <t>Nadia</t>
  </si>
  <si>
    <t>Miroslava</t>
  </si>
  <si>
    <t>Oleg</t>
  </si>
  <si>
    <t>Petro</t>
  </si>
  <si>
    <t>Michael</t>
  </si>
  <si>
    <t>Svitlana</t>
  </si>
  <si>
    <t>Vitalia</t>
  </si>
  <si>
    <t>Vita</t>
  </si>
  <si>
    <t>Viorika</t>
  </si>
  <si>
    <t>Muron</t>
  </si>
  <si>
    <t>Anna</t>
  </si>
  <si>
    <t>Sulvestr</t>
  </si>
  <si>
    <t>Ira</t>
  </si>
  <si>
    <t>Uliana</t>
  </si>
  <si>
    <t>Irina</t>
  </si>
  <si>
    <t>Rostik</t>
  </si>
  <si>
    <t>Denis</t>
  </si>
  <si>
    <t>Hanna</t>
  </si>
  <si>
    <t>Dmutro</t>
  </si>
  <si>
    <t>Anatoliy</t>
  </si>
  <si>
    <t>Maksym</t>
  </si>
  <si>
    <t>Ksenia</t>
  </si>
  <si>
    <t>Nikola</t>
  </si>
  <si>
    <t>Ihnat</t>
  </si>
  <si>
    <t>Slava</t>
  </si>
  <si>
    <t>Galyna</t>
  </si>
  <si>
    <t>Volodymyr</t>
  </si>
  <si>
    <t>Vitaliaa</t>
  </si>
  <si>
    <t>Kateryna</t>
  </si>
  <si>
    <t>Segey</t>
  </si>
  <si>
    <t>Kostya</t>
  </si>
  <si>
    <t>Igor</t>
  </si>
  <si>
    <t>Lybov</t>
  </si>
  <si>
    <t>Anya</t>
  </si>
  <si>
    <t>Artem</t>
  </si>
  <si>
    <t>Bogdan</t>
  </si>
  <si>
    <t>Lazar</t>
  </si>
  <si>
    <t>Viola</t>
  </si>
  <si>
    <t>Lenok</t>
  </si>
  <si>
    <t>Mia</t>
  </si>
  <si>
    <t>Mila</t>
  </si>
  <si>
    <t>Mary</t>
  </si>
  <si>
    <t>Ihgor</t>
  </si>
  <si>
    <t>Saha</t>
  </si>
  <si>
    <t>Pablo</t>
  </si>
  <si>
    <t>Gustavo</t>
  </si>
  <si>
    <t>Mark</t>
  </si>
  <si>
    <t>Mirella</t>
  </si>
  <si>
    <t>Joanna</t>
  </si>
  <si>
    <t>Jolanta</t>
  </si>
  <si>
    <t>Mira</t>
  </si>
  <si>
    <t>Milka</t>
  </si>
  <si>
    <t>Diana</t>
  </si>
  <si>
    <t>Alyona</t>
  </si>
  <si>
    <t>Kristina</t>
  </si>
  <si>
    <t>Barbara</t>
  </si>
  <si>
    <t>Chris</t>
  </si>
  <si>
    <t>Francheska</t>
  </si>
  <si>
    <t>Justin</t>
  </si>
  <si>
    <t>AJ</t>
  </si>
  <si>
    <t>Lesia</t>
  </si>
  <si>
    <t>Andrei</t>
  </si>
  <si>
    <t>Emma</t>
  </si>
  <si>
    <t>Olivia</t>
  </si>
  <si>
    <t>Sophia</t>
  </si>
  <si>
    <t>Charlotte</t>
  </si>
  <si>
    <t>Amelia</t>
  </si>
  <si>
    <t>Ava</t>
  </si>
  <si>
    <t>Isabella</t>
  </si>
  <si>
    <t>Harper</t>
  </si>
  <si>
    <t>Evelyn</t>
  </si>
  <si>
    <t>Abigail</t>
  </si>
  <si>
    <t>Emily</t>
  </si>
  <si>
    <t>Elizabeth</t>
  </si>
  <si>
    <t>Scarlett</t>
  </si>
  <si>
    <t>Victoria</t>
  </si>
  <si>
    <t>Peter</t>
  </si>
  <si>
    <t>Jose</t>
  </si>
  <si>
    <t>Ben</t>
  </si>
  <si>
    <t>Benedict</t>
  </si>
  <si>
    <t>Gregory</t>
  </si>
  <si>
    <t>Vika</t>
  </si>
  <si>
    <t>Kate</t>
  </si>
  <si>
    <t>Colin</t>
  </si>
  <si>
    <t>Liam</t>
  </si>
  <si>
    <t>Noah</t>
  </si>
  <si>
    <t>Oliver</t>
  </si>
  <si>
    <t>Elijah</t>
  </si>
  <si>
    <t>James</t>
  </si>
  <si>
    <t>William</t>
  </si>
  <si>
    <t>Benjamin</t>
  </si>
  <si>
    <t>Lucas</t>
  </si>
  <si>
    <t>Henry</t>
  </si>
  <si>
    <t>Alexander</t>
  </si>
  <si>
    <t>Daniel</t>
  </si>
  <si>
    <t>Ethan</t>
  </si>
  <si>
    <t>Jacob</t>
  </si>
  <si>
    <t>Matthew</t>
  </si>
  <si>
    <t>Joana</t>
  </si>
  <si>
    <t>Luca</t>
  </si>
  <si>
    <t>Taras</t>
  </si>
  <si>
    <t>Karina</t>
  </si>
  <si>
    <t>Gosha</t>
  </si>
  <si>
    <t>Milana</t>
  </si>
  <si>
    <t>Roman</t>
  </si>
  <si>
    <t>Luisa</t>
  </si>
  <si>
    <t>Bred</t>
  </si>
  <si>
    <t>Emilia</t>
  </si>
  <si>
    <t>Tamara</t>
  </si>
  <si>
    <t>Yuri</t>
  </si>
  <si>
    <t>Amanda</t>
  </si>
  <si>
    <t>Lisa</t>
  </si>
  <si>
    <t>Gragory</t>
  </si>
  <si>
    <t>First name</t>
  </si>
  <si>
    <t>Surname</t>
  </si>
  <si>
    <t>Shevchenko0</t>
  </si>
  <si>
    <t>Kovalenko1</t>
  </si>
  <si>
    <t>Bondarenko2</t>
  </si>
  <si>
    <t>Tkachenko3</t>
  </si>
  <si>
    <t>Kravchenko4</t>
  </si>
  <si>
    <t>Boyko5</t>
  </si>
  <si>
    <t>Kovalchuk6</t>
  </si>
  <si>
    <t>Melnyk7</t>
  </si>
  <si>
    <t>Marchenko8</t>
  </si>
  <si>
    <t>Lysenko9</t>
  </si>
  <si>
    <t>Rudenko10</t>
  </si>
  <si>
    <t>Savchenko11</t>
  </si>
  <si>
    <t>Hrytsenko12</t>
  </si>
  <si>
    <t>Polishchuk13</t>
  </si>
  <si>
    <t>Tymoshenko14</t>
  </si>
  <si>
    <t>Kostenko15</t>
  </si>
  <si>
    <t>Zakharchenko16</t>
  </si>
  <si>
    <t>Denysenko17</t>
  </si>
  <si>
    <t>Ivanenko18</t>
  </si>
  <si>
    <t>Oliynyk19</t>
  </si>
  <si>
    <t>Shevchenko20</t>
  </si>
  <si>
    <t>Kovalenko21</t>
  </si>
  <si>
    <t>Bondarenko22</t>
  </si>
  <si>
    <t>Tkachenko23</t>
  </si>
  <si>
    <t>Kravchenko24</t>
  </si>
  <si>
    <t>Boyko25</t>
  </si>
  <si>
    <t>Kovalchuk26</t>
  </si>
  <si>
    <t>Melnyk27</t>
  </si>
  <si>
    <t>Marchenko28</t>
  </si>
  <si>
    <t>Lysenko29</t>
  </si>
  <si>
    <t>Rudenko30</t>
  </si>
  <si>
    <t>Savchenko31</t>
  </si>
  <si>
    <t>Hrytsenko32</t>
  </si>
  <si>
    <t>Polishchuk33</t>
  </si>
  <si>
    <t>Tymoshenko34</t>
  </si>
  <si>
    <t>Kostenko35</t>
  </si>
  <si>
    <t>Zakharchenko36</t>
  </si>
  <si>
    <t>Denysenko37</t>
  </si>
  <si>
    <t>Ivanenko38</t>
  </si>
  <si>
    <t>Oliynyk39</t>
  </si>
  <si>
    <t>Shevchenko40</t>
  </si>
  <si>
    <t>Kovalenko41</t>
  </si>
  <si>
    <t>Bondarenko42</t>
  </si>
  <si>
    <t>Tkachenko43</t>
  </si>
  <si>
    <t>Kravchenko44</t>
  </si>
  <si>
    <t>Boyko45</t>
  </si>
  <si>
    <t>Kovalchuk46</t>
  </si>
  <si>
    <t>Melnyk47</t>
  </si>
  <si>
    <t>Marchenko48</t>
  </si>
  <si>
    <t>Lysenko49</t>
  </si>
  <si>
    <t>Rudenko50</t>
  </si>
  <si>
    <t>Savchenko51</t>
  </si>
  <si>
    <t>Hrytsenko52</t>
  </si>
  <si>
    <t>Polishchuk53</t>
  </si>
  <si>
    <t>Tymoshenko54</t>
  </si>
  <si>
    <t>Kostenko55</t>
  </si>
  <si>
    <t>Zakharchenko56</t>
  </si>
  <si>
    <t>Denysenko57</t>
  </si>
  <si>
    <t>Ivanenko58</t>
  </si>
  <si>
    <t>Oliynyk59</t>
  </si>
  <si>
    <t>Shevchenko60</t>
  </si>
  <si>
    <t>Kovalenko61</t>
  </si>
  <si>
    <t>Bondarenko62</t>
  </si>
  <si>
    <t>Tkachenko63</t>
  </si>
  <si>
    <t>Kravchenko64</t>
  </si>
  <si>
    <t>Boyko65</t>
  </si>
  <si>
    <t>Kovalchuk66</t>
  </si>
  <si>
    <t>Melnyk67</t>
  </si>
  <si>
    <t>Marchenko68</t>
  </si>
  <si>
    <t>Lysenko69</t>
  </si>
  <si>
    <t>Rudenko70</t>
  </si>
  <si>
    <t>Savchenko71</t>
  </si>
  <si>
    <t>Hrytsenko72</t>
  </si>
  <si>
    <t>Polishchuk73</t>
  </si>
  <si>
    <t>Tymoshenko74</t>
  </si>
  <si>
    <t>Kostenko75</t>
  </si>
  <si>
    <t>Zakharchenko76</t>
  </si>
  <si>
    <t>Denysenko77</t>
  </si>
  <si>
    <t>Ivanenko78</t>
  </si>
  <si>
    <t>Oliynyk79</t>
  </si>
  <si>
    <t>Shevchenko80</t>
  </si>
  <si>
    <t>Kovalenko81</t>
  </si>
  <si>
    <t>Bondarenko82</t>
  </si>
  <si>
    <t>Tkachenko83</t>
  </si>
  <si>
    <t>Kravchenko84</t>
  </si>
  <si>
    <t>Boyko85</t>
  </si>
  <si>
    <t>Kovalchuk86</t>
  </si>
  <si>
    <t>Melnyk87</t>
  </si>
  <si>
    <t>Marchenko88</t>
  </si>
  <si>
    <t>Lysenko89</t>
  </si>
  <si>
    <t>Rudenko90</t>
  </si>
  <si>
    <t>Savchenko91</t>
  </si>
  <si>
    <t>Hrytsenko92</t>
  </si>
  <si>
    <t>Polishchuk93</t>
  </si>
  <si>
    <t>Tymoshenko94</t>
  </si>
  <si>
    <t>Kostenko95</t>
  </si>
  <si>
    <t>Zakharchenko96</t>
  </si>
  <si>
    <t>Denysenko97</t>
  </si>
  <si>
    <t>Ivanenko98</t>
  </si>
  <si>
    <t>Oliynyk99</t>
  </si>
  <si>
    <t>Shevchenko100</t>
  </si>
  <si>
    <t>Kovalenko101</t>
  </si>
  <si>
    <t>Bondarenko102</t>
  </si>
  <si>
    <t>Tkachenko103</t>
  </si>
  <si>
    <t>Kravchenko104</t>
  </si>
  <si>
    <t>Boyko105</t>
  </si>
  <si>
    <t>Kovalchuk106</t>
  </si>
  <si>
    <t>Melnyk107</t>
  </si>
  <si>
    <t>Marchenko108</t>
  </si>
  <si>
    <t>Lysenko109</t>
  </si>
  <si>
    <t>Rudenko110</t>
  </si>
  <si>
    <t>Savchenko111</t>
  </si>
  <si>
    <t>Hrytsenko112</t>
  </si>
  <si>
    <t>Polishchuk113</t>
  </si>
  <si>
    <t>Tymoshenko114</t>
  </si>
  <si>
    <t>Kostenko115</t>
  </si>
  <si>
    <t>Zakharchenko116</t>
  </si>
  <si>
    <t>Denysenko117</t>
  </si>
  <si>
    <t>Ivanenko118</t>
  </si>
  <si>
    <t>Oliynyk119</t>
  </si>
  <si>
    <t>Shevchenko120</t>
  </si>
  <si>
    <t>Kovalenko121</t>
  </si>
  <si>
    <t>Bondarenko122</t>
  </si>
  <si>
    <t>Tkachenko123</t>
  </si>
  <si>
    <t>Kravchenko124</t>
  </si>
  <si>
    <t>Boyko125</t>
  </si>
  <si>
    <t>Kovalchuk126</t>
  </si>
  <si>
    <t>Melnyk127</t>
  </si>
  <si>
    <t>Marchenko128</t>
  </si>
  <si>
    <t>Lysenko129</t>
  </si>
  <si>
    <t>Rudenko130</t>
  </si>
  <si>
    <t>Savchenko131</t>
  </si>
  <si>
    <t>Hrytsenko132</t>
  </si>
  <si>
    <t>Polishchuk133</t>
  </si>
  <si>
    <t>Tymoshenko134</t>
  </si>
  <si>
    <t>Kostenko135</t>
  </si>
  <si>
    <t>Zakharchenko136</t>
  </si>
  <si>
    <t>Denysenko137</t>
  </si>
  <si>
    <t>Ivanenko138</t>
  </si>
  <si>
    <t>Oliynyk139</t>
  </si>
  <si>
    <t>Shevchenko140</t>
  </si>
  <si>
    <t>Kovalenko141</t>
  </si>
  <si>
    <t>Bondarenko142</t>
  </si>
  <si>
    <t>Tkachenko143</t>
  </si>
  <si>
    <t>Kravchenko144</t>
  </si>
  <si>
    <t>Boyko145</t>
  </si>
  <si>
    <t>Kovalchuk146</t>
  </si>
  <si>
    <t>Melnyk147</t>
  </si>
  <si>
    <t>Marchenko148</t>
  </si>
  <si>
    <t>Lysenko149</t>
  </si>
  <si>
    <t>Rudenko150</t>
  </si>
  <si>
    <t>Savchenko151</t>
  </si>
  <si>
    <t>Hrytsenko152</t>
  </si>
  <si>
    <t>Polishchuk153</t>
  </si>
  <si>
    <t>Tymoshenko154</t>
  </si>
  <si>
    <t>Kostenko155</t>
  </si>
  <si>
    <t>Zakharchenko156</t>
  </si>
  <si>
    <t>Denysenko157</t>
  </si>
  <si>
    <t>Ivanenko158</t>
  </si>
  <si>
    <t>Oliynyk159</t>
  </si>
  <si>
    <t>Shevchenko160</t>
  </si>
  <si>
    <t>Kovalenko161</t>
  </si>
  <si>
    <t>Bondarenko162</t>
  </si>
  <si>
    <t>Tkachenko163</t>
  </si>
  <si>
    <t>Kravchenko164</t>
  </si>
  <si>
    <t>Boyko165</t>
  </si>
  <si>
    <t>Kovalchuk166</t>
  </si>
  <si>
    <t>Melnyk167</t>
  </si>
  <si>
    <t>Marchenko168</t>
  </si>
  <si>
    <t>Lysenko169</t>
  </si>
  <si>
    <t>Rudenko170</t>
  </si>
  <si>
    <t>Savchenko171</t>
  </si>
  <si>
    <t>Hrytsenko172</t>
  </si>
  <si>
    <t>Polishchuk173</t>
  </si>
  <si>
    <t>Tymoshenko174</t>
  </si>
  <si>
    <t>Kostenko175</t>
  </si>
  <si>
    <t>Zakharchenko176</t>
  </si>
  <si>
    <t>Denysenko177</t>
  </si>
  <si>
    <t>Ivanenko178</t>
  </si>
  <si>
    <t>Oliynyk179</t>
  </si>
  <si>
    <t>Shevchenko180</t>
  </si>
  <si>
    <t>Kovalenko181</t>
  </si>
  <si>
    <t>Bondarenko182</t>
  </si>
  <si>
    <t>Tkachenko183</t>
  </si>
  <si>
    <t>Kravchenko184</t>
  </si>
  <si>
    <t>Boyko185</t>
  </si>
  <si>
    <t>Kovalchuk186</t>
  </si>
  <si>
    <t>Melnyk187</t>
  </si>
  <si>
    <t>Marchenko188</t>
  </si>
  <si>
    <t>Lysenko189</t>
  </si>
  <si>
    <t>Rudenko190</t>
  </si>
  <si>
    <t>Savchenko191</t>
  </si>
  <si>
    <t>Hrytsenko192</t>
  </si>
  <si>
    <t>Polishchuk193</t>
  </si>
  <si>
    <t>Tymoshenko194</t>
  </si>
  <si>
    <t>Kostenko195</t>
  </si>
  <si>
    <t>Zakharchenko196</t>
  </si>
  <si>
    <t>Denysenko197</t>
  </si>
  <si>
    <t>Ivanenko198</t>
  </si>
  <si>
    <t>Oliynyk199</t>
  </si>
  <si>
    <t>Shevchenko200</t>
  </si>
  <si>
    <t>Kovalenko201</t>
  </si>
  <si>
    <t>Bondarenko202</t>
  </si>
  <si>
    <t>Tkachenko203</t>
  </si>
  <si>
    <t>Kravchenko204</t>
  </si>
  <si>
    <t>Boyko205</t>
  </si>
  <si>
    <t>Kovalchuk206</t>
  </si>
  <si>
    <t>Melnyk207</t>
  </si>
  <si>
    <t>Marchenko208</t>
  </si>
  <si>
    <t>Lysenko209</t>
  </si>
  <si>
    <t>Rudenko210</t>
  </si>
  <si>
    <t>Savchenko211</t>
  </si>
  <si>
    <t>Hrytsenko212</t>
  </si>
  <si>
    <t>Polishchuk213</t>
  </si>
  <si>
    <t>Tymoshenko214</t>
  </si>
  <si>
    <t>Kostenko215</t>
  </si>
  <si>
    <t>Zakharchenko216</t>
  </si>
  <si>
    <t>Denysenko217</t>
  </si>
  <si>
    <t>Ivanenko218</t>
  </si>
  <si>
    <t>Oliynyk219</t>
  </si>
  <si>
    <t>Shevchenko220</t>
  </si>
  <si>
    <t>Kovalenko221</t>
  </si>
  <si>
    <t>Bondarenko222</t>
  </si>
  <si>
    <t>Tkachenko223</t>
  </si>
  <si>
    <t>Kravchenko224</t>
  </si>
  <si>
    <t>Boyko225</t>
  </si>
  <si>
    <t>Kovalchuk226</t>
  </si>
  <si>
    <t>Melnyk227</t>
  </si>
  <si>
    <t>Marchenko228</t>
  </si>
  <si>
    <t>Lysenko229</t>
  </si>
  <si>
    <t>Rudenko230</t>
  </si>
  <si>
    <t>Savchenko231</t>
  </si>
  <si>
    <t>Hrytsenko232</t>
  </si>
  <si>
    <t>Polishchuk233</t>
  </si>
  <si>
    <t>Tymoshenko234</t>
  </si>
  <si>
    <t>Kostenko235</t>
  </si>
  <si>
    <t>Zakharchenko236</t>
  </si>
  <si>
    <t>Denysenko237</t>
  </si>
  <si>
    <t>Ivanenko238</t>
  </si>
  <si>
    <t>Oliynyk239</t>
  </si>
  <si>
    <t>Shevchenko240</t>
  </si>
  <si>
    <t>Kovalenko241</t>
  </si>
  <si>
    <t>Bondarenko242</t>
  </si>
  <si>
    <t>Tkachenko243</t>
  </si>
  <si>
    <t>Kravchenko244</t>
  </si>
  <si>
    <t>Boyko245</t>
  </si>
  <si>
    <t>Kovalchuk246</t>
  </si>
  <si>
    <t>Melnyk247</t>
  </si>
  <si>
    <t>Marchenko248</t>
  </si>
  <si>
    <t>Lysenko249</t>
  </si>
  <si>
    <t>Rudenko250</t>
  </si>
  <si>
    <t>Savchenko251</t>
  </si>
  <si>
    <t>Hrytsenko252</t>
  </si>
  <si>
    <t>Polishchuk253</t>
  </si>
  <si>
    <t>Tymoshenko254</t>
  </si>
  <si>
    <t>Kostenko255</t>
  </si>
  <si>
    <t>Zakharchenko256</t>
  </si>
  <si>
    <t>Denysenko257</t>
  </si>
  <si>
    <t>Ivanenko258</t>
  </si>
  <si>
    <t>Oliynyk259</t>
  </si>
  <si>
    <t>Shevchenko260</t>
  </si>
  <si>
    <t>Kovalenko261</t>
  </si>
  <si>
    <t>Bondarenko262</t>
  </si>
  <si>
    <t>Tkachenko263</t>
  </si>
  <si>
    <t>Kravchenko264</t>
  </si>
  <si>
    <t>Boyko265</t>
  </si>
  <si>
    <t>Kovalchuk266</t>
  </si>
  <si>
    <t>Melnyk267</t>
  </si>
  <si>
    <t>Marchenko268</t>
  </si>
  <si>
    <t>Lysenko269</t>
  </si>
  <si>
    <t>Rudenko270</t>
  </si>
  <si>
    <t>Savchenko271</t>
  </si>
  <si>
    <t>Hrytsenko272</t>
  </si>
  <si>
    <t>Polishchuk273</t>
  </si>
  <si>
    <t>Tymoshenko274</t>
  </si>
  <si>
    <t>Kostenko275</t>
  </si>
  <si>
    <t>Zakharchenko276</t>
  </si>
  <si>
    <t>Denysenko277</t>
  </si>
  <si>
    <t>Ivanenko278</t>
  </si>
  <si>
    <t>Oliynyk279</t>
  </si>
  <si>
    <t>Shevchenko280</t>
  </si>
  <si>
    <t>Kovalenko281</t>
  </si>
  <si>
    <t>Bondarenko282</t>
  </si>
  <si>
    <t>Tkachenko283</t>
  </si>
  <si>
    <t>Kravchenko284</t>
  </si>
  <si>
    <t>Boyko285</t>
  </si>
  <si>
    <t>Kovalchuk286</t>
  </si>
  <si>
    <t>Melnyk287</t>
  </si>
  <si>
    <t>Marchenko288</t>
  </si>
  <si>
    <t>Lysenko289</t>
  </si>
  <si>
    <t>Rudenko290</t>
  </si>
  <si>
    <t>Savchenko291</t>
  </si>
  <si>
    <t>Hrytsenko292</t>
  </si>
  <si>
    <t>Polishchuk293</t>
  </si>
  <si>
    <t>Tymoshenko294</t>
  </si>
  <si>
    <t>Kostenko295</t>
  </si>
  <si>
    <t>Zakharchenko296</t>
  </si>
  <si>
    <t>Denysenko297</t>
  </si>
  <si>
    <t>Ivanenko298</t>
  </si>
  <si>
    <t>Oliynyk299</t>
  </si>
  <si>
    <t>Shevchenko300</t>
  </si>
  <si>
    <t>Kovalenko301</t>
  </si>
  <si>
    <t>Bondarenko302</t>
  </si>
  <si>
    <t>Tkachenko303</t>
  </si>
  <si>
    <t>Kravchenko304</t>
  </si>
  <si>
    <t>Boyko305</t>
  </si>
  <si>
    <t>Kovalchuk306</t>
  </si>
  <si>
    <t>Melnyk307</t>
  </si>
  <si>
    <t>Marchenko308</t>
  </si>
  <si>
    <t>Lysenko309</t>
  </si>
  <si>
    <t>Rudenko310</t>
  </si>
  <si>
    <t>Savchenko311</t>
  </si>
  <si>
    <t>Hrytsenko312</t>
  </si>
  <si>
    <t>Polishchuk313</t>
  </si>
  <si>
    <t>Tymoshenko314</t>
  </si>
  <si>
    <t>Kostenko315</t>
  </si>
  <si>
    <t>Zakharchenko316</t>
  </si>
  <si>
    <t>Denysenko317</t>
  </si>
  <si>
    <t>Ivanenko318</t>
  </si>
  <si>
    <t>Oliynyk319</t>
  </si>
  <si>
    <t>Shevchenko320</t>
  </si>
  <si>
    <t>Kovalenko321</t>
  </si>
  <si>
    <t>Bondarenko322</t>
  </si>
  <si>
    <t>Tkachenko323</t>
  </si>
  <si>
    <t>Kravchenko324</t>
  </si>
  <si>
    <t>Boyko325</t>
  </si>
  <si>
    <t>Kovalchuk326</t>
  </si>
  <si>
    <t>Melnyk327</t>
  </si>
  <si>
    <t>Marchenko328</t>
  </si>
  <si>
    <t>Lysenko329</t>
  </si>
  <si>
    <t>Rudenko330</t>
  </si>
  <si>
    <t>Savchenko331</t>
  </si>
  <si>
    <t>Hrytsenko332</t>
  </si>
  <si>
    <t>Polishchuk333</t>
  </si>
  <si>
    <t>Tymoshenko334</t>
  </si>
  <si>
    <t>Kostenko335</t>
  </si>
  <si>
    <t>Zakharchenko336</t>
  </si>
  <si>
    <t>Denysenko337</t>
  </si>
  <si>
    <t>Ivanenko338</t>
  </si>
  <si>
    <t>Oliynyk339</t>
  </si>
  <si>
    <t>Shevchenko340</t>
  </si>
  <si>
    <t>Kovalenko341</t>
  </si>
  <si>
    <t>Bondarenko342</t>
  </si>
  <si>
    <t>Tkachenko343</t>
  </si>
  <si>
    <t>Kravchenko344</t>
  </si>
  <si>
    <t>Boyko345</t>
  </si>
  <si>
    <t>Kovalchuk346</t>
  </si>
  <si>
    <t>Melnyk347</t>
  </si>
  <si>
    <t>Marchenko348</t>
  </si>
  <si>
    <t>Lysenko349</t>
  </si>
  <si>
    <t>Rudenko350</t>
  </si>
  <si>
    <t>Savchenko351</t>
  </si>
  <si>
    <t>Hrytsenko352</t>
  </si>
  <si>
    <t>Polishchuk353</t>
  </si>
  <si>
    <t>Tymoshenko354</t>
  </si>
  <si>
    <t>Kostenko355</t>
  </si>
  <si>
    <t>Zakharchenko356</t>
  </si>
  <si>
    <t>Denysenko357</t>
  </si>
  <si>
    <t>Ivanenko358</t>
  </si>
  <si>
    <t>Oliynyk359</t>
  </si>
  <si>
    <t>Shevchenko360</t>
  </si>
  <si>
    <t>Kovalenko361</t>
  </si>
  <si>
    <t>Bondarenko362</t>
  </si>
  <si>
    <t>Tkachenko363</t>
  </si>
  <si>
    <t>Kravchenko364</t>
  </si>
  <si>
    <t>Boyko365</t>
  </si>
  <si>
    <t>Kovalchuk366</t>
  </si>
  <si>
    <t>Melnyk367</t>
  </si>
  <si>
    <t>Marchenko368</t>
  </si>
  <si>
    <t>Lysenko369</t>
  </si>
  <si>
    <t>Rudenko370</t>
  </si>
  <si>
    <t>Savchenko371</t>
  </si>
  <si>
    <t>Hrytsenko372</t>
  </si>
  <si>
    <t>Polishchuk373</t>
  </si>
  <si>
    <t>Tymoshenko374</t>
  </si>
  <si>
    <t>Kostenko375</t>
  </si>
  <si>
    <t>Zakharchenko376</t>
  </si>
  <si>
    <t>Denysenko377</t>
  </si>
  <si>
    <t>Ivanenko378</t>
  </si>
  <si>
    <t>Oliynyk379</t>
  </si>
  <si>
    <t>Shevchenko380</t>
  </si>
  <si>
    <t>Kovalenko381</t>
  </si>
  <si>
    <t>Bondarenko382</t>
  </si>
  <si>
    <t>Tkachenko383</t>
  </si>
  <si>
    <t>Kravchenko384</t>
  </si>
  <si>
    <t>Boyko385</t>
  </si>
  <si>
    <t>Kovalchuk386</t>
  </si>
  <si>
    <t>Melnyk387</t>
  </si>
  <si>
    <t>Marchenko388</t>
  </si>
  <si>
    <t>Lysenko389</t>
  </si>
  <si>
    <t>Rudenko390</t>
  </si>
  <si>
    <t>Savchenko391</t>
  </si>
  <si>
    <t>Hrytsenko392</t>
  </si>
  <si>
    <t>Polishchuk393</t>
  </si>
  <si>
    <t>Tymoshenko394</t>
  </si>
  <si>
    <t>Kostenko395</t>
  </si>
  <si>
    <t>Zakharchenko396</t>
  </si>
  <si>
    <t>Denysenko397</t>
  </si>
  <si>
    <t>Ivanenko398</t>
  </si>
  <si>
    <t>Oliynyk399</t>
  </si>
  <si>
    <t>Shevchenko400</t>
  </si>
  <si>
    <t>Kovalenko401</t>
  </si>
  <si>
    <t>Bondarenko402</t>
  </si>
  <si>
    <t>Tkachenko403</t>
  </si>
  <si>
    <t>Kravchenko404</t>
  </si>
  <si>
    <t>Boyko405</t>
  </si>
  <si>
    <t>Kovalchuk406</t>
  </si>
  <si>
    <t>Melnyk407</t>
  </si>
  <si>
    <t>Marchenko408</t>
  </si>
  <si>
    <t>Lysenko409</t>
  </si>
  <si>
    <t>Rudenko410</t>
  </si>
  <si>
    <t>Savchenko411</t>
  </si>
  <si>
    <t>Hrytsenko412</t>
  </si>
  <si>
    <t>Polishchuk413</t>
  </si>
  <si>
    <t>Tymoshenko414</t>
  </si>
  <si>
    <t>Kostenko415</t>
  </si>
  <si>
    <t>Zakharchenko416</t>
  </si>
  <si>
    <t>Denysenko417</t>
  </si>
  <si>
    <t>Ivanenko418</t>
  </si>
  <si>
    <t>Oliynyk419</t>
  </si>
  <si>
    <t>Shevchenko420</t>
  </si>
  <si>
    <t>Kovalenko421</t>
  </si>
  <si>
    <t>Bondarenko422</t>
  </si>
  <si>
    <t>Tkachenko423</t>
  </si>
  <si>
    <t>Kravchenko424</t>
  </si>
  <si>
    <t>Boyko425</t>
  </si>
  <si>
    <t>Kovalchuk426</t>
  </si>
  <si>
    <t>Melnyk427</t>
  </si>
  <si>
    <t>Marchenko428</t>
  </si>
  <si>
    <t>Lysenko429</t>
  </si>
  <si>
    <t>Rudenko430</t>
  </si>
  <si>
    <t>Savchenko431</t>
  </si>
  <si>
    <t>Hrytsenko432</t>
  </si>
  <si>
    <t>Polishchuk433</t>
  </si>
  <si>
    <t>Tymoshenko434</t>
  </si>
  <si>
    <t>Kostenko435</t>
  </si>
  <si>
    <t>Zakharchenko436</t>
  </si>
  <si>
    <t>Denysenko437</t>
  </si>
  <si>
    <t>Ivanenko438</t>
  </si>
  <si>
    <t>Oliynyk439</t>
  </si>
  <si>
    <t>Shevchenko440</t>
  </si>
  <si>
    <t>Kovalenko441</t>
  </si>
  <si>
    <t>Bondarenko442</t>
  </si>
  <si>
    <t>Tkachenko443</t>
  </si>
  <si>
    <t>Kravchenko444</t>
  </si>
  <si>
    <t>Boyko445</t>
  </si>
  <si>
    <t>Kovalchuk446</t>
  </si>
  <si>
    <t>Melnyk447</t>
  </si>
  <si>
    <t>Marchenko448</t>
  </si>
  <si>
    <t>Lysenko449</t>
  </si>
  <si>
    <t>Rudenko450</t>
  </si>
  <si>
    <t>Savchenko451</t>
  </si>
  <si>
    <t>Hrytsenko452</t>
  </si>
  <si>
    <t>Polishchuk453</t>
  </si>
  <si>
    <t>Tymoshenko454</t>
  </si>
  <si>
    <t>Kostenko455</t>
  </si>
  <si>
    <t>Zakharchenko456</t>
  </si>
  <si>
    <t>Denysenko457</t>
  </si>
  <si>
    <t>Ivanenko458</t>
  </si>
  <si>
    <t>Oliynyk459</t>
  </si>
  <si>
    <t>Shevchenko460</t>
  </si>
  <si>
    <t>Kovalenko461</t>
  </si>
  <si>
    <t>Bondarenko462</t>
  </si>
  <si>
    <t>Tkachenko463</t>
  </si>
  <si>
    <t>Kravchenko464</t>
  </si>
  <si>
    <t>Boyko465</t>
  </si>
  <si>
    <t>Kovalchuk466</t>
  </si>
  <si>
    <t>Melnyk467</t>
  </si>
  <si>
    <t>Marchenko468</t>
  </si>
  <si>
    <t>Lysenko469</t>
  </si>
  <si>
    <t>Rudenko470</t>
  </si>
  <si>
    <t>Savchenko471</t>
  </si>
  <si>
    <t>Hrytsenko472</t>
  </si>
  <si>
    <t>Polishchuk473</t>
  </si>
  <si>
    <t>Tymoshenko474</t>
  </si>
  <si>
    <t>Kostenko475</t>
  </si>
  <si>
    <t>Zakharchenko476</t>
  </si>
  <si>
    <t>Denysenko477</t>
  </si>
  <si>
    <t>Ivanenko478</t>
  </si>
  <si>
    <t>Oliynyk479</t>
  </si>
  <si>
    <t>Shevchenko480</t>
  </si>
  <si>
    <t>Kovalenko481</t>
  </si>
  <si>
    <t>Bondarenko482</t>
  </si>
  <si>
    <t>Tkachenko483</t>
  </si>
  <si>
    <t>Kravchenko484</t>
  </si>
  <si>
    <t>Boyko485</t>
  </si>
  <si>
    <t>Kovalchuk486</t>
  </si>
  <si>
    <t>Melnyk487</t>
  </si>
  <si>
    <t>Marchenko488</t>
  </si>
  <si>
    <t>Lysenko489</t>
  </si>
  <si>
    <t>Rudenko490</t>
  </si>
  <si>
    <t>Savchenko491</t>
  </si>
  <si>
    <t>Hrytsenko492</t>
  </si>
  <si>
    <t>Polishchuk493</t>
  </si>
  <si>
    <t>Tymoshenko494</t>
  </si>
  <si>
    <t>Kostenko495</t>
  </si>
  <si>
    <t>Zakharchenko496</t>
  </si>
  <si>
    <t>Denysenko497</t>
  </si>
  <si>
    <t>Ivanenko498</t>
  </si>
  <si>
    <t>Oliynyk499</t>
  </si>
  <si>
    <t>Shevchenko500</t>
  </si>
  <si>
    <t>Kovalenko501</t>
  </si>
  <si>
    <t>Bondarenko502</t>
  </si>
  <si>
    <t>Tkachenko503</t>
  </si>
  <si>
    <t>Kravchenko504</t>
  </si>
  <si>
    <t>Boyko505</t>
  </si>
  <si>
    <t>Kovalchuk506</t>
  </si>
  <si>
    <t>Melnyk507</t>
  </si>
  <si>
    <t>Marchenko508</t>
  </si>
  <si>
    <t>Lysenko509</t>
  </si>
  <si>
    <t>Rudenko510</t>
  </si>
  <si>
    <t>Savchenko511</t>
  </si>
  <si>
    <t>Hrytsenko512</t>
  </si>
  <si>
    <t>Polishchuk513</t>
  </si>
  <si>
    <t>Tymoshenko514</t>
  </si>
  <si>
    <t>Kostenko515</t>
  </si>
  <si>
    <t>Zakharchenko516</t>
  </si>
  <si>
    <t>Denysenko517</t>
  </si>
  <si>
    <t>Ivanenko518</t>
  </si>
  <si>
    <t>Oliynyk519</t>
  </si>
  <si>
    <t>Shevchenko520</t>
  </si>
  <si>
    <t>Kovalenko521</t>
  </si>
  <si>
    <t>Bondarenko522</t>
  </si>
  <si>
    <t>Tkachenko523</t>
  </si>
  <si>
    <t>Kravchenko524</t>
  </si>
  <si>
    <t>Boyko525</t>
  </si>
  <si>
    <t>Kovalchuk526</t>
  </si>
  <si>
    <t>Melnyk527</t>
  </si>
  <si>
    <t>Marchenko528</t>
  </si>
  <si>
    <t>Lysenko529</t>
  </si>
  <si>
    <t>Rudenko530</t>
  </si>
  <si>
    <t>Savchenko531</t>
  </si>
  <si>
    <t>Hrytsenko532</t>
  </si>
  <si>
    <t>Polishchuk533</t>
  </si>
  <si>
    <t>Tymoshenko534</t>
  </si>
  <si>
    <t>Kostenko535</t>
  </si>
  <si>
    <t>Zakharchenko536</t>
  </si>
  <si>
    <t>Denysenko537</t>
  </si>
  <si>
    <t>Ivanenko538</t>
  </si>
  <si>
    <t>Oliynyk539</t>
  </si>
  <si>
    <t>Shevchenko540</t>
  </si>
  <si>
    <t>Kovalenko541</t>
  </si>
  <si>
    <t>Bondarenko542</t>
  </si>
  <si>
    <t>Tkachenko543</t>
  </si>
  <si>
    <t>Kravchenko544</t>
  </si>
  <si>
    <t>Boyko545</t>
  </si>
  <si>
    <t>Kovalchuk546</t>
  </si>
  <si>
    <t>Melnyk547</t>
  </si>
  <si>
    <t>Marchenko548</t>
  </si>
  <si>
    <t>Lysenko549</t>
  </si>
  <si>
    <t>Rudenko550</t>
  </si>
  <si>
    <t>Savchenko551</t>
  </si>
  <si>
    <t>Hrytsenko552</t>
  </si>
  <si>
    <t>Polishchuk553</t>
  </si>
  <si>
    <t>Tymoshenko554</t>
  </si>
  <si>
    <t>Kostenko555</t>
  </si>
  <si>
    <t>Zakharchenko556</t>
  </si>
  <si>
    <t>Denysenko557</t>
  </si>
  <si>
    <t>Ivanenko558</t>
  </si>
  <si>
    <t>Oliynyk559</t>
  </si>
  <si>
    <t>Shevchenko560</t>
  </si>
  <si>
    <t>Kovalenko561</t>
  </si>
  <si>
    <t>Bondarenko562</t>
  </si>
  <si>
    <t>Tkachenko563</t>
  </si>
  <si>
    <t>Kravchenko564</t>
  </si>
  <si>
    <t>Boyko565</t>
  </si>
  <si>
    <t>Kovalchuk566</t>
  </si>
  <si>
    <t>Melnyk567</t>
  </si>
  <si>
    <t>Marchenko568</t>
  </si>
  <si>
    <t>Lysenko569</t>
  </si>
  <si>
    <t>Rudenko570</t>
  </si>
  <si>
    <t>Savchenko571</t>
  </si>
  <si>
    <t>Hrytsenko572</t>
  </si>
  <si>
    <t>Polishchuk573</t>
  </si>
  <si>
    <t>Tymoshenko574</t>
  </si>
  <si>
    <t>Kostenko575</t>
  </si>
  <si>
    <t>Zakharchenko576</t>
  </si>
  <si>
    <t>Denysenko577</t>
  </si>
  <si>
    <t>Ivanenko578</t>
  </si>
  <si>
    <t>Oliynyk579</t>
  </si>
  <si>
    <t>Shevchenko580</t>
  </si>
  <si>
    <t>Kovalenko581</t>
  </si>
  <si>
    <t>Bondarenko582</t>
  </si>
  <si>
    <t>Tkachenko583</t>
  </si>
  <si>
    <t>Kravchenko584</t>
  </si>
  <si>
    <t>Boyko585</t>
  </si>
  <si>
    <t>Kovalchuk586</t>
  </si>
  <si>
    <t>Melnyk587</t>
  </si>
  <si>
    <t>Marchenko588</t>
  </si>
  <si>
    <t>Lysenko589</t>
  </si>
  <si>
    <t>Rudenko590</t>
  </si>
  <si>
    <t>Savchenko591</t>
  </si>
  <si>
    <t>Hrytsenko592</t>
  </si>
  <si>
    <t>Polishchuk593</t>
  </si>
  <si>
    <t>Tymoshenko594</t>
  </si>
  <si>
    <t>Kostenko595</t>
  </si>
  <si>
    <t>Zakharchenko596</t>
  </si>
  <si>
    <t>Denysenko597</t>
  </si>
  <si>
    <t>Ivanenko598</t>
  </si>
  <si>
    <t>Oliynyk599</t>
  </si>
  <si>
    <t>Shevchenko600</t>
  </si>
  <si>
    <t>Kovalenko601</t>
  </si>
  <si>
    <t>Bondarenko602</t>
  </si>
  <si>
    <t>Tkachenko603</t>
  </si>
  <si>
    <t>Kravchenko604</t>
  </si>
  <si>
    <t>Boyko605</t>
  </si>
  <si>
    <t>Kovalchuk606</t>
  </si>
  <si>
    <t>Melnyk607</t>
  </si>
  <si>
    <t>Marchenko608</t>
  </si>
  <si>
    <t>Lysenko609</t>
  </si>
  <si>
    <t>Rudenko610</t>
  </si>
  <si>
    <t>Savchenko611</t>
  </si>
  <si>
    <t>Hrytsenko612</t>
  </si>
  <si>
    <t>Polishchuk613</t>
  </si>
  <si>
    <t>Tymoshenko614</t>
  </si>
  <si>
    <t>Kostenko615</t>
  </si>
  <si>
    <t>Zakharchenko616</t>
  </si>
  <si>
    <t>Denysenko617</t>
  </si>
  <si>
    <t>Ivanenko618</t>
  </si>
  <si>
    <t>Oliynyk619</t>
  </si>
  <si>
    <t>Shevchenko620</t>
  </si>
  <si>
    <t>Kovalenko621</t>
  </si>
  <si>
    <t>Bondarenko622</t>
  </si>
  <si>
    <t>Tkachenko623</t>
  </si>
  <si>
    <t>Kravchenko624</t>
  </si>
  <si>
    <t>Boyko625</t>
  </si>
  <si>
    <t>Kovalchuk626</t>
  </si>
  <si>
    <t>Melnyk627</t>
  </si>
  <si>
    <t>Marchenko628</t>
  </si>
  <si>
    <t>Lysenko629</t>
  </si>
  <si>
    <t>Rudenko630</t>
  </si>
  <si>
    <t>Savchenko631</t>
  </si>
  <si>
    <t>Hrytsenko632</t>
  </si>
  <si>
    <t>Polishchuk633</t>
  </si>
  <si>
    <t>Tymoshenko634</t>
  </si>
  <si>
    <t>Kostenko635</t>
  </si>
  <si>
    <t>Zakharchenko636</t>
  </si>
  <si>
    <t>Denysenko637</t>
  </si>
  <si>
    <t>Ivanenko638</t>
  </si>
  <si>
    <t>Oliynyk639</t>
  </si>
  <si>
    <t>Shevchenko640</t>
  </si>
  <si>
    <t>Kovalenko641</t>
  </si>
  <si>
    <t>Bondarenko642</t>
  </si>
  <si>
    <t>Tkachenko643</t>
  </si>
  <si>
    <t>Kravchenko644</t>
  </si>
  <si>
    <t>Boyko645</t>
  </si>
  <si>
    <t>Kovalchuk646</t>
  </si>
  <si>
    <t>Melnyk647</t>
  </si>
  <si>
    <t>Marchenko648</t>
  </si>
  <si>
    <t>Lysenko649</t>
  </si>
  <si>
    <t>Rudenko650</t>
  </si>
  <si>
    <t>Savchenko651</t>
  </si>
  <si>
    <t>Hrytsenko652</t>
  </si>
  <si>
    <t>Polishchuk653</t>
  </si>
  <si>
    <t>Tymoshenko654</t>
  </si>
  <si>
    <t>Kostenko655</t>
  </si>
  <si>
    <t>Zakharchenko656</t>
  </si>
  <si>
    <t>Denysenko657</t>
  </si>
  <si>
    <t>Ivanenko658</t>
  </si>
  <si>
    <t>Oliynyk659</t>
  </si>
  <si>
    <t>Shevchenko660</t>
  </si>
  <si>
    <t>Kovalenko661</t>
  </si>
  <si>
    <t>Bondarenko662</t>
  </si>
  <si>
    <t>Tkachenko663</t>
  </si>
  <si>
    <t>Kravchenko664</t>
  </si>
  <si>
    <t>Boyko665</t>
  </si>
  <si>
    <t>Kovalchuk666</t>
  </si>
  <si>
    <t>Melnyk667</t>
  </si>
  <si>
    <t>Marchenko668</t>
  </si>
  <si>
    <t>Lysenko669</t>
  </si>
  <si>
    <t>Rudenko670</t>
  </si>
  <si>
    <t>Savchenko671</t>
  </si>
  <si>
    <t>Hrytsenko672</t>
  </si>
  <si>
    <t>Polishchuk673</t>
  </si>
  <si>
    <t>Tymoshenko674</t>
  </si>
  <si>
    <t>Kostenko675</t>
  </si>
  <si>
    <t>Zakharchenko676</t>
  </si>
  <si>
    <t>Denysenko677</t>
  </si>
  <si>
    <t>Ivanenko678</t>
  </si>
  <si>
    <t>Oliynyk679</t>
  </si>
  <si>
    <t>Shevchenko680</t>
  </si>
  <si>
    <t>Kovalenko681</t>
  </si>
  <si>
    <t>Bondarenko682</t>
  </si>
  <si>
    <t>Tkachenko683</t>
  </si>
  <si>
    <t>Kravchenko684</t>
  </si>
  <si>
    <t>Boyko685</t>
  </si>
  <si>
    <t>Kovalchuk686</t>
  </si>
  <si>
    <t>Melnyk687</t>
  </si>
  <si>
    <t>Marchenko688</t>
  </si>
  <si>
    <t>Lysenko689</t>
  </si>
  <si>
    <t>Rudenko690</t>
  </si>
  <si>
    <t>Savchenko691</t>
  </si>
  <si>
    <t>Hrytsenko692</t>
  </si>
  <si>
    <t>Polishchuk693</t>
  </si>
  <si>
    <t>Tymoshenko694</t>
  </si>
  <si>
    <t>Kostenko695</t>
  </si>
  <si>
    <t>Zakharchenko696</t>
  </si>
  <si>
    <t>Denysenko697</t>
  </si>
  <si>
    <t>Ivanenko698</t>
  </si>
  <si>
    <t>Oliynyk699</t>
  </si>
  <si>
    <t>Shevchenko700</t>
  </si>
  <si>
    <t>Kovalenko701</t>
  </si>
  <si>
    <t>Bondarenko702</t>
  </si>
  <si>
    <t>Tkachenko703</t>
  </si>
  <si>
    <t>Kravchenko704</t>
  </si>
  <si>
    <t>Boyko705</t>
  </si>
  <si>
    <t>Kovalchuk706</t>
  </si>
  <si>
    <t>Melnyk707</t>
  </si>
  <si>
    <t>Marchenko708</t>
  </si>
  <si>
    <t>Lysenko709</t>
  </si>
  <si>
    <t>Rudenko710</t>
  </si>
  <si>
    <t>Savchenko711</t>
  </si>
  <si>
    <t>Hrytsenko712</t>
  </si>
  <si>
    <t>Polishchuk713</t>
  </si>
  <si>
    <t>Tymoshenko714</t>
  </si>
  <si>
    <t>Kostenko715</t>
  </si>
  <si>
    <t>Zakharchenko716</t>
  </si>
  <si>
    <t>Denysenko717</t>
  </si>
  <si>
    <t>Ivanenko718</t>
  </si>
  <si>
    <t>Oliynyk719</t>
  </si>
  <si>
    <t>Shevchenko720</t>
  </si>
  <si>
    <t>Kovalenko721</t>
  </si>
  <si>
    <t>Bondarenko722</t>
  </si>
  <si>
    <t>Tkachenko723</t>
  </si>
  <si>
    <t>Kravchenko724</t>
  </si>
  <si>
    <t>Boyko725</t>
  </si>
  <si>
    <t>Kovalchuk726</t>
  </si>
  <si>
    <t>Melnyk727</t>
  </si>
  <si>
    <t>Marchenko728</t>
  </si>
  <si>
    <t>Lysenko729</t>
  </si>
  <si>
    <t>Rudenko730</t>
  </si>
  <si>
    <t>Savchenko731</t>
  </si>
  <si>
    <t>Hrytsenko732</t>
  </si>
  <si>
    <t>Polishchuk733</t>
  </si>
  <si>
    <t>Tymoshenko734</t>
  </si>
  <si>
    <t>Kostenko735</t>
  </si>
  <si>
    <t>Zakharchenko736</t>
  </si>
  <si>
    <t>Denysenko737</t>
  </si>
  <si>
    <t>Ivanenko738</t>
  </si>
  <si>
    <t>Oliynyk739</t>
  </si>
  <si>
    <t>Shevchenko740</t>
  </si>
  <si>
    <t>Kovalenko741</t>
  </si>
  <si>
    <t>Bondarenko742</t>
  </si>
  <si>
    <t>Tkachenko743</t>
  </si>
  <si>
    <t>Kravchenko744</t>
  </si>
  <si>
    <t>Boyko745</t>
  </si>
  <si>
    <t>Kovalchuk746</t>
  </si>
  <si>
    <t>Melnyk747</t>
  </si>
  <si>
    <t>Marchenko748</t>
  </si>
  <si>
    <t>Lysenko749</t>
  </si>
  <si>
    <t>Rudenko750</t>
  </si>
  <si>
    <t>Savchenko751</t>
  </si>
  <si>
    <t>Hrytsenko752</t>
  </si>
  <si>
    <t>Polishchuk753</t>
  </si>
  <si>
    <t>Tymoshenko754</t>
  </si>
  <si>
    <t>Kostenko755</t>
  </si>
  <si>
    <t>Zakharchenko756</t>
  </si>
  <si>
    <t>Denysenko757</t>
  </si>
  <si>
    <t>Ivanenko758</t>
  </si>
  <si>
    <t>Oliynyk759</t>
  </si>
  <si>
    <t>Shevchenko760</t>
  </si>
  <si>
    <t>Kovalenko761</t>
  </si>
  <si>
    <t>Bondarenko762</t>
  </si>
  <si>
    <t>Tkachenko763</t>
  </si>
  <si>
    <t>Kravchenko764</t>
  </si>
  <si>
    <t>Boyko765</t>
  </si>
  <si>
    <t>Kovalchuk766</t>
  </si>
  <si>
    <t>Melnyk767</t>
  </si>
  <si>
    <t>Marchenko768</t>
  </si>
  <si>
    <t>Lysenko769</t>
  </si>
  <si>
    <t>Rudenko770</t>
  </si>
  <si>
    <t>Savchenko771</t>
  </si>
  <si>
    <t>Hrytsenko772</t>
  </si>
  <si>
    <t>Polishchuk773</t>
  </si>
  <si>
    <t>Tymoshenko774</t>
  </si>
  <si>
    <t>Kostenko775</t>
  </si>
  <si>
    <t>Zakharchenko776</t>
  </si>
  <si>
    <t>Denysenko777</t>
  </si>
  <si>
    <t>Ivanenko778</t>
  </si>
  <si>
    <t>Oliynyk779</t>
  </si>
  <si>
    <t>Shevchenko780</t>
  </si>
  <si>
    <t>Kovalenko781</t>
  </si>
  <si>
    <t>Bondarenko782</t>
  </si>
  <si>
    <t>Tkachenko783</t>
  </si>
  <si>
    <t>Kravchenko784</t>
  </si>
  <si>
    <t>Boyko785</t>
  </si>
  <si>
    <t>Kovalchuk786</t>
  </si>
  <si>
    <t>Melnyk787</t>
  </si>
  <si>
    <t>Marchenko788</t>
  </si>
  <si>
    <t>Lysenko789</t>
  </si>
  <si>
    <t>Rudenko790</t>
  </si>
  <si>
    <t>Savchenko791</t>
  </si>
  <si>
    <t>Hrytsenko792</t>
  </si>
  <si>
    <t>Polishchuk793</t>
  </si>
  <si>
    <t>Tymoshenko794</t>
  </si>
  <si>
    <t>Kostenko795</t>
  </si>
  <si>
    <t>Zakharchenko796</t>
  </si>
  <si>
    <t>Denysenko797</t>
  </si>
  <si>
    <t>Ivanenko798</t>
  </si>
  <si>
    <t>Oliynyk799</t>
  </si>
  <si>
    <t>Shevchenko800</t>
  </si>
  <si>
    <t>Kovalenko801</t>
  </si>
  <si>
    <t>Bondarenko802</t>
  </si>
  <si>
    <t>Tkachenko803</t>
  </si>
  <si>
    <t>Kravchenko804</t>
  </si>
  <si>
    <t>Boyko805</t>
  </si>
  <si>
    <t>Kovalchuk806</t>
  </si>
  <si>
    <t>Melnyk807</t>
  </si>
  <si>
    <t>Marchenko808</t>
  </si>
  <si>
    <t>Lysenko809</t>
  </si>
  <si>
    <t>Rudenko810</t>
  </si>
  <si>
    <t>Savchenko811</t>
  </si>
  <si>
    <t>Hrytsenko812</t>
  </si>
  <si>
    <t>Polishchuk813</t>
  </si>
  <si>
    <t>Tymoshenko814</t>
  </si>
  <si>
    <t>Kostenko815</t>
  </si>
  <si>
    <t>Zakharchenko816</t>
  </si>
  <si>
    <t>Denysenko817</t>
  </si>
  <si>
    <t>Ivanenko818</t>
  </si>
  <si>
    <t>Oliynyk819</t>
  </si>
  <si>
    <t>Shevchenko820</t>
  </si>
  <si>
    <t>Kovalenko821</t>
  </si>
  <si>
    <t>Bondarenko822</t>
  </si>
  <si>
    <t>Tkachenko823</t>
  </si>
  <si>
    <t>Kravchenko824</t>
  </si>
  <si>
    <t>Boyko825</t>
  </si>
  <si>
    <t>Kovalchuk826</t>
  </si>
  <si>
    <t>Melnyk827</t>
  </si>
  <si>
    <t>Marchenko828</t>
  </si>
  <si>
    <t>Lysenko829</t>
  </si>
  <si>
    <t>Rudenko830</t>
  </si>
  <si>
    <t>Savchenko831</t>
  </si>
  <si>
    <t>Hrytsenko832</t>
  </si>
  <si>
    <t>Polishchuk833</t>
  </si>
  <si>
    <t>Tymoshenko834</t>
  </si>
  <si>
    <t>Kostenko835</t>
  </si>
  <si>
    <t>Zakharchenko836</t>
  </si>
  <si>
    <t>Denysenko837</t>
  </si>
  <si>
    <t>Ivanenko838</t>
  </si>
  <si>
    <t>Oliynyk839</t>
  </si>
  <si>
    <t>Shevchenko840</t>
  </si>
  <si>
    <t>Kovalenko841</t>
  </si>
  <si>
    <t>Bondarenko842</t>
  </si>
  <si>
    <t>Tkachenko843</t>
  </si>
  <si>
    <t>Kravchenko844</t>
  </si>
  <si>
    <t>Boyko845</t>
  </si>
  <si>
    <t>Kovalchuk846</t>
  </si>
  <si>
    <t>Melnyk847</t>
  </si>
  <si>
    <t>Marchenko848</t>
  </si>
  <si>
    <t>Lysenko849</t>
  </si>
  <si>
    <t>Rudenko850</t>
  </si>
  <si>
    <t>Savchenko851</t>
  </si>
  <si>
    <t>Hrytsenko852</t>
  </si>
  <si>
    <t>Polishchuk853</t>
  </si>
  <si>
    <t>Tymoshenko854</t>
  </si>
  <si>
    <t>Kostenko855</t>
  </si>
  <si>
    <t>Zakharchenko856</t>
  </si>
  <si>
    <t>Denysenko857</t>
  </si>
  <si>
    <t>Ivanenko858</t>
  </si>
  <si>
    <t>Oliynyk859</t>
  </si>
  <si>
    <t>Shevchenko860</t>
  </si>
  <si>
    <t>Kovalenko861</t>
  </si>
  <si>
    <t>Bondarenko862</t>
  </si>
  <si>
    <t>Tkachenko863</t>
  </si>
  <si>
    <t>Kravchenko864</t>
  </si>
  <si>
    <t>Boyko865</t>
  </si>
  <si>
    <t>Kovalchuk866</t>
  </si>
  <si>
    <t>Melnyk867</t>
  </si>
  <si>
    <t>Marchenko868</t>
  </si>
  <si>
    <t>Lysenko869</t>
  </si>
  <si>
    <t>Rudenko870</t>
  </si>
  <si>
    <t>Savchenko871</t>
  </si>
  <si>
    <t>Hrytsenko872</t>
  </si>
  <si>
    <t>Polishchuk873</t>
  </si>
  <si>
    <t>Tymoshenko874</t>
  </si>
  <si>
    <t>Kostenko875</t>
  </si>
  <si>
    <t>Zakharchenko876</t>
  </si>
  <si>
    <t>Denysenko877</t>
  </si>
  <si>
    <t>Ivanenko878</t>
  </si>
  <si>
    <t>Oliynyk879</t>
  </si>
  <si>
    <t>Shevchenko880</t>
  </si>
  <si>
    <t>Kovalenko881</t>
  </si>
  <si>
    <t>Bondarenko882</t>
  </si>
  <si>
    <t>Tkachenko883</t>
  </si>
  <si>
    <t>Kravchenko884</t>
  </si>
  <si>
    <t>Boyko885</t>
  </si>
  <si>
    <t>Kovalchuk886</t>
  </si>
  <si>
    <t>Melnyk887</t>
  </si>
  <si>
    <t>Marchenko888</t>
  </si>
  <si>
    <t>Lysenko889</t>
  </si>
  <si>
    <t>Rudenko890</t>
  </si>
  <si>
    <t>Savchenko891</t>
  </si>
  <si>
    <t>Hrytsenko892</t>
  </si>
  <si>
    <t>Polishchuk893</t>
  </si>
  <si>
    <t>Tymoshenko894</t>
  </si>
  <si>
    <t>Kostenko895</t>
  </si>
  <si>
    <t>Zakharchenko896</t>
  </si>
  <si>
    <t>Denysenko897</t>
  </si>
  <si>
    <t>Ivanenko898</t>
  </si>
  <si>
    <t>Oliynyk899</t>
  </si>
  <si>
    <t>Shevchenko900</t>
  </si>
  <si>
    <t>Kovalenko901</t>
  </si>
  <si>
    <t>Bondarenko902</t>
  </si>
  <si>
    <t>Tkachenko903</t>
  </si>
  <si>
    <t>Kravchenko904</t>
  </si>
  <si>
    <t>Boyko905</t>
  </si>
  <si>
    <t>Kovalchuk906</t>
  </si>
  <si>
    <t>Melnyk907</t>
  </si>
  <si>
    <t>Marchenko908</t>
  </si>
  <si>
    <t>Lysenko909</t>
  </si>
  <si>
    <t>Rudenko910</t>
  </si>
  <si>
    <t>Savchenko911</t>
  </si>
  <si>
    <t>Hrytsenko912</t>
  </si>
  <si>
    <t>Polishchuk913</t>
  </si>
  <si>
    <t>Tymoshenko914</t>
  </si>
  <si>
    <t>Kostenko915</t>
  </si>
  <si>
    <t>Zakharchenko916</t>
  </si>
  <si>
    <t>Denysenko917</t>
  </si>
  <si>
    <t>Ivanenko918</t>
  </si>
  <si>
    <t>Oliynyk919</t>
  </si>
  <si>
    <t>Shevchenko920</t>
  </si>
  <si>
    <t>Kovalenko921</t>
  </si>
  <si>
    <t>Bondarenko922</t>
  </si>
  <si>
    <t>Tkachenko923</t>
  </si>
  <si>
    <t>Kravchenko924</t>
  </si>
  <si>
    <t>Boyko925</t>
  </si>
  <si>
    <t>Kovalchuk926</t>
  </si>
  <si>
    <t>Melnyk927</t>
  </si>
  <si>
    <t>Marchenko928</t>
  </si>
  <si>
    <t>Lysenko929</t>
  </si>
  <si>
    <t>Rudenko930</t>
  </si>
  <si>
    <t>Savchenko931</t>
  </si>
  <si>
    <t>Hrytsenko932</t>
  </si>
  <si>
    <t>Polishchuk933</t>
  </si>
  <si>
    <t>Tymoshenko934</t>
  </si>
  <si>
    <t>Kostenko935</t>
  </si>
  <si>
    <t>Zakharchenko936</t>
  </si>
  <si>
    <t>Denysenko937</t>
  </si>
  <si>
    <t>Ivanenko938</t>
  </si>
  <si>
    <t>Oliynyk939</t>
  </si>
  <si>
    <t>Shevchenko940</t>
  </si>
  <si>
    <t>Kovalenko941</t>
  </si>
  <si>
    <t>Bondarenko942</t>
  </si>
  <si>
    <t>Tkachenko943</t>
  </si>
  <si>
    <t>Kravchenko944</t>
  </si>
  <si>
    <t>Boyko945</t>
  </si>
  <si>
    <t>Kovalchuk946</t>
  </si>
  <si>
    <t>Melnyk947</t>
  </si>
  <si>
    <t>Marchenko948</t>
  </si>
  <si>
    <t>Lysenko949</t>
  </si>
  <si>
    <t>Rudenko950</t>
  </si>
  <si>
    <t>Savchenko951</t>
  </si>
  <si>
    <t>Hrytsenko952</t>
  </si>
  <si>
    <t>Polishchuk953</t>
  </si>
  <si>
    <t>Tymoshenko954</t>
  </si>
  <si>
    <t>Kostenko955</t>
  </si>
  <si>
    <t>Zakharchenko956</t>
  </si>
  <si>
    <t>Denysenko957</t>
  </si>
  <si>
    <t>Ivanenko958</t>
  </si>
  <si>
    <t>Oliynyk959</t>
  </si>
  <si>
    <t>Shevchenko960</t>
  </si>
  <si>
    <t>Kovalenko961</t>
  </si>
  <si>
    <t>Bondarenko962</t>
  </si>
  <si>
    <t>Tkachenko963</t>
  </si>
  <si>
    <t>Kravchenko964</t>
  </si>
  <si>
    <t>Boyko965</t>
  </si>
  <si>
    <t>Kovalchuk966</t>
  </si>
  <si>
    <t>Melnyk967</t>
  </si>
  <si>
    <t>Marchenko968</t>
  </si>
  <si>
    <t>Lysenko969</t>
  </si>
  <si>
    <t>Rudenko970</t>
  </si>
  <si>
    <t>Savchenko971</t>
  </si>
  <si>
    <t>Hrytsenko972</t>
  </si>
  <si>
    <t>Polishchuk973</t>
  </si>
  <si>
    <t>Tymoshenko974</t>
  </si>
  <si>
    <t>Kostenko975</t>
  </si>
  <si>
    <t>Zakharchenko976</t>
  </si>
  <si>
    <t>Denysenko977</t>
  </si>
  <si>
    <t>Ivanenko978</t>
  </si>
  <si>
    <t>Oliynyk979</t>
  </si>
  <si>
    <t>Shevchenko980</t>
  </si>
  <si>
    <t>Kovalenko981</t>
  </si>
  <si>
    <t>Bondarenko982</t>
  </si>
  <si>
    <t>Tkachenko983</t>
  </si>
  <si>
    <t>Kravchenko984</t>
  </si>
  <si>
    <t>Boyko985</t>
  </si>
  <si>
    <t>Kovalchuk986</t>
  </si>
  <si>
    <t>Melnyk987</t>
  </si>
  <si>
    <t>Marchenko988</t>
  </si>
  <si>
    <t>Lysenko989</t>
  </si>
  <si>
    <t>Rudenko990</t>
  </si>
  <si>
    <t>Savchenko991</t>
  </si>
  <si>
    <t>Hrytsenko992</t>
  </si>
  <si>
    <t>Polishchuk993</t>
  </si>
  <si>
    <t>Tymoshenko994</t>
  </si>
  <si>
    <t>Kostenko995</t>
  </si>
  <si>
    <t>Zakharchenko996</t>
  </si>
  <si>
    <t>Denysenko997</t>
  </si>
  <si>
    <t>Ivanenko998</t>
  </si>
  <si>
    <t>Oliynyk999</t>
  </si>
  <si>
    <t>Ukraine</t>
  </si>
  <si>
    <t>West</t>
  </si>
  <si>
    <t>Kovel</t>
  </si>
  <si>
    <t>South</t>
  </si>
  <si>
    <t>Berdyansk</t>
  </si>
  <si>
    <t>Bila Tserkva</t>
  </si>
  <si>
    <t>Rivne</t>
  </si>
  <si>
    <t>North</t>
  </si>
  <si>
    <t>Chernihiv</t>
  </si>
  <si>
    <t>Odesa</t>
  </si>
  <si>
    <t>Uman</t>
  </si>
  <si>
    <t>East</t>
  </si>
  <si>
    <t>Alchevsk</t>
  </si>
  <si>
    <t>Kropyvnytskyi</t>
  </si>
  <si>
    <t>Drohobych</t>
  </si>
  <si>
    <t>Pavlohrad</t>
  </si>
  <si>
    <t>Mykolaiv</t>
  </si>
  <si>
    <t>Luhansk</t>
  </si>
  <si>
    <t>Yevpatoria</t>
  </si>
  <si>
    <t>Poltava</t>
  </si>
  <si>
    <t>Feodosia</t>
  </si>
  <si>
    <t>Melitopol</t>
  </si>
  <si>
    <t>Nikopol</t>
  </si>
  <si>
    <t>Lviv</t>
  </si>
  <si>
    <t>Mukachevo</t>
  </si>
  <si>
    <t>Zaporizhzhia</t>
  </si>
  <si>
    <t>Ternopil</t>
  </si>
  <si>
    <t>Kamianets-Podilskyi</t>
  </si>
  <si>
    <t>Kryvyi Rih</t>
  </si>
  <si>
    <t>Vinnytsia</t>
  </si>
  <si>
    <t>Kerch</t>
  </si>
  <si>
    <t>Zhytomyr</t>
  </si>
  <si>
    <t>Ivano-Frankivsk</t>
  </si>
  <si>
    <t>Kherson</t>
  </si>
  <si>
    <t>Bakhmut</t>
  </si>
  <si>
    <t>Lutsk</t>
  </si>
  <si>
    <t>Sevastopol</t>
  </si>
  <si>
    <t>Kharkiv</t>
  </si>
  <si>
    <t>Kyiv</t>
  </si>
  <si>
    <t>Dnipro</t>
  </si>
  <si>
    <t>Kolomyia</t>
  </si>
  <si>
    <t>Mariupol</t>
  </si>
  <si>
    <t>Uzhhorod</t>
  </si>
  <si>
    <t>Kramatorsk</t>
  </si>
  <si>
    <t>Sumy</t>
  </si>
  <si>
    <t>Brovary</t>
  </si>
  <si>
    <t>Simferopol</t>
  </si>
  <si>
    <t>Sloviansk</t>
  </si>
  <si>
    <t>Chervonohrad</t>
  </si>
  <si>
    <t>Cherkasy</t>
  </si>
  <si>
    <t>Region</t>
  </si>
  <si>
    <t>City</t>
  </si>
  <si>
    <t>Profit</t>
  </si>
  <si>
    <t>Client Type</t>
  </si>
  <si>
    <t>Myrovana</t>
  </si>
  <si>
    <t>Trubin</t>
  </si>
  <si>
    <t>Tetiuk</t>
  </si>
  <si>
    <t>Moroz</t>
  </si>
  <si>
    <t>Petrenko</t>
  </si>
  <si>
    <t>Mazepa</t>
  </si>
  <si>
    <t>Moloko</t>
  </si>
  <si>
    <t>Gruzko</t>
  </si>
  <si>
    <t>Buzko</t>
  </si>
  <si>
    <t>Korduban</t>
  </si>
  <si>
    <t>Pirus</t>
  </si>
  <si>
    <t>Prius</t>
  </si>
  <si>
    <t>Biomot</t>
  </si>
  <si>
    <t>Veres</t>
  </si>
  <si>
    <t>Batumko</t>
  </si>
  <si>
    <t>Business</t>
  </si>
  <si>
    <t>Beauty Salon</t>
  </si>
  <si>
    <t>Restaurant</t>
  </si>
  <si>
    <t>Retail Store</t>
  </si>
  <si>
    <t>Coffee Shop</t>
  </si>
  <si>
    <t>Cafe</t>
  </si>
  <si>
    <t>Barbershop</t>
  </si>
  <si>
    <t>Tattoo Studio</t>
  </si>
  <si>
    <t>Gym</t>
  </si>
  <si>
    <t>Type of Business</t>
  </si>
  <si>
    <t>2023-10-04</t>
  </si>
  <si>
    <t>2023-02-17</t>
  </si>
  <si>
    <t>2023-09-17</t>
  </si>
  <si>
    <t>2023-08-17</t>
  </si>
  <si>
    <t>2023-01-10</t>
  </si>
  <si>
    <t>2023-11-05</t>
  </si>
  <si>
    <t>2023-06-16</t>
  </si>
  <si>
    <t>2023-04-20</t>
  </si>
  <si>
    <t>2023-07-14</t>
  </si>
  <si>
    <t>2023-06-05</t>
  </si>
  <si>
    <t>2023-04-05</t>
  </si>
  <si>
    <t>2023-03-28</t>
  </si>
  <si>
    <t>2023-10-05</t>
  </si>
  <si>
    <t>2023-06-19</t>
  </si>
  <si>
    <t>2023-06-14</t>
  </si>
  <si>
    <t>2023-02-13</t>
  </si>
  <si>
    <t>2023-06-06</t>
  </si>
  <si>
    <t>2023-07-18</t>
  </si>
  <si>
    <t>2023-04-07</t>
  </si>
  <si>
    <t>2023-12-01</t>
  </si>
  <si>
    <t>2023-07-24</t>
  </si>
  <si>
    <t>2023-06-28</t>
  </si>
  <si>
    <t>2023-02-12</t>
  </si>
  <si>
    <t>2023-02-09</t>
  </si>
  <si>
    <t>2023-01-18</t>
  </si>
  <si>
    <t>2023-01-23</t>
  </si>
  <si>
    <t>2023-05-03</t>
  </si>
  <si>
    <t>2023-05-27</t>
  </si>
  <si>
    <t>2023-10-30</t>
  </si>
  <si>
    <t>2023-04-13</t>
  </si>
  <si>
    <t>2023-03-12</t>
  </si>
  <si>
    <t>2023-11-27</t>
  </si>
  <si>
    <t>2023-10-27</t>
  </si>
  <si>
    <t>2023-05-07</t>
  </si>
  <si>
    <t>2023-05-19</t>
  </si>
  <si>
    <t>2023-06-12</t>
  </si>
  <si>
    <t>2023-07-25</t>
  </si>
  <si>
    <t>2023-11-17</t>
  </si>
  <si>
    <t>2023-08-15</t>
  </si>
  <si>
    <t>2023-12-04</t>
  </si>
  <si>
    <t>2023-01-17</t>
  </si>
  <si>
    <t>2023-09-30</t>
  </si>
  <si>
    <t>2023-02-06</t>
  </si>
  <si>
    <t>2023-08-04</t>
  </si>
  <si>
    <t>2023-05-04</t>
  </si>
  <si>
    <t>2023-01-19</t>
  </si>
  <si>
    <t>2023-06-03</t>
  </si>
  <si>
    <t>2023-10-06</t>
  </si>
  <si>
    <t>2023-12-21</t>
  </si>
  <si>
    <t>2023-03-14</t>
  </si>
  <si>
    <t>2023-10-22</t>
  </si>
  <si>
    <t>2023-08-25</t>
  </si>
  <si>
    <t>2023-09-05</t>
  </si>
  <si>
    <t>2023-09-10</t>
  </si>
  <si>
    <t>2023-03-26</t>
  </si>
  <si>
    <t>2023-08-13</t>
  </si>
  <si>
    <t>2023-01-24</t>
  </si>
  <si>
    <t>2023-01-27</t>
  </si>
  <si>
    <t>2023-02-07</t>
  </si>
  <si>
    <t>2023-02-21</t>
  </si>
  <si>
    <t>2023-08-30</t>
  </si>
  <si>
    <t>2023-12-28</t>
  </si>
  <si>
    <t>2023-04-01</t>
  </si>
  <si>
    <t>2023-07-27</t>
  </si>
  <si>
    <t>2023-07-02</t>
  </si>
  <si>
    <t>2023-11-20</t>
  </si>
  <si>
    <t>2023-08-23</t>
  </si>
  <si>
    <t>2023-04-27</t>
  </si>
  <si>
    <t>2023-10-16</t>
  </si>
  <si>
    <t>2023-05-15</t>
  </si>
  <si>
    <t>2023-03-25</t>
  </si>
  <si>
    <t>2023-06-26</t>
  </si>
  <si>
    <t>2023-09-27</t>
  </si>
  <si>
    <t>2023-10-19</t>
  </si>
  <si>
    <t>2023-03-07</t>
  </si>
  <si>
    <t>2023-02-15</t>
  </si>
  <si>
    <t>2023-08-27</t>
  </si>
  <si>
    <t>2023-10-11</t>
  </si>
  <si>
    <t>2023-12-20</t>
  </si>
  <si>
    <t>2023-05-28</t>
  </si>
  <si>
    <t>2023-07-26</t>
  </si>
  <si>
    <t>2023-07-01</t>
  </si>
  <si>
    <t>2023-11-16</t>
  </si>
  <si>
    <t>2023-05-29</t>
  </si>
  <si>
    <t>2023-06-21</t>
  </si>
  <si>
    <t>2023-01-16</t>
  </si>
  <si>
    <t>2023-12-26</t>
  </si>
  <si>
    <t>2023-03-05</t>
  </si>
  <si>
    <t>2023-08-22</t>
  </si>
  <si>
    <t>2023-12-17</t>
  </si>
  <si>
    <t>2023-05-13</t>
  </si>
  <si>
    <t>2023-01-13</t>
  </si>
  <si>
    <t>2023-02-27</t>
  </si>
  <si>
    <t>2023-11-26</t>
  </si>
  <si>
    <t>2023-07-20</t>
  </si>
  <si>
    <t>2023-03-18</t>
  </si>
  <si>
    <t>2023-08-20</t>
  </si>
  <si>
    <t>2023-10-15</t>
  </si>
  <si>
    <t>2023-03-11</t>
  </si>
  <si>
    <t>2023-02-20</t>
  </si>
  <si>
    <t>2023-04-30</t>
  </si>
  <si>
    <t>2023-02-25</t>
  </si>
  <si>
    <t>2023-12-05</t>
  </si>
  <si>
    <t>2023-01-25</t>
  </si>
  <si>
    <t>2023-07-13</t>
  </si>
  <si>
    <t>2023-08-06</t>
  </si>
  <si>
    <t>2023-04-06</t>
  </si>
  <si>
    <t>2023-10-03</t>
  </si>
  <si>
    <t>2023-01-04</t>
  </si>
  <si>
    <t>2023-12-13</t>
  </si>
  <si>
    <t>2023-11-02</t>
  </si>
  <si>
    <t>2023-08-14</t>
  </si>
  <si>
    <t>2023-06-07</t>
  </si>
  <si>
    <t>2023-06-13</t>
  </si>
  <si>
    <t>2023-02-11</t>
  </si>
  <si>
    <t>2023-05-23</t>
  </si>
  <si>
    <t>2023-10-31</t>
  </si>
  <si>
    <t>2023-08-19</t>
  </si>
  <si>
    <t>2023-09-02</t>
  </si>
  <si>
    <t>2023-02-05</t>
  </si>
  <si>
    <t>2023-12-29</t>
  </si>
  <si>
    <t>2023-04-15</t>
  </si>
  <si>
    <t>2023-02-04</t>
  </si>
  <si>
    <t>2023-05-25</t>
  </si>
  <si>
    <t>2023-11-04</t>
  </si>
  <si>
    <t>2023-04-03</t>
  </si>
  <si>
    <t>2023-06-02</t>
  </si>
  <si>
    <t>2023-11-10</t>
  </si>
  <si>
    <t>2023-06-10</t>
  </si>
  <si>
    <t>2023-09-28</t>
  </si>
  <si>
    <t>2023-02-16</t>
  </si>
  <si>
    <t>2023-05-06</t>
  </si>
  <si>
    <t>2023-03-17</t>
  </si>
  <si>
    <t>2023-01-22</t>
  </si>
  <si>
    <t>2023-04-02</t>
  </si>
  <si>
    <t>2023-10-23</t>
  </si>
  <si>
    <t>2023-06-08</t>
  </si>
  <si>
    <t>2023-11-15</t>
  </si>
  <si>
    <t>2023-09-13</t>
  </si>
  <si>
    <t>2023-06-04</t>
  </si>
  <si>
    <t>2023-12-27</t>
  </si>
  <si>
    <t>2023-08-10</t>
  </si>
  <si>
    <t>2023-12-15</t>
  </si>
  <si>
    <t>2023-06-30</t>
  </si>
  <si>
    <t>2023-09-19</t>
  </si>
  <si>
    <t>2023-09-11</t>
  </si>
  <si>
    <t>2023-05-12</t>
  </si>
  <si>
    <t>2023-04-10</t>
  </si>
  <si>
    <t>2023-01-26</t>
  </si>
  <si>
    <t>2023-03-06</t>
  </si>
  <si>
    <t>2023-06-25</t>
  </si>
  <si>
    <t>2023-12-30</t>
  </si>
  <si>
    <t>2023-10-21</t>
  </si>
  <si>
    <t>2023-04-12</t>
  </si>
  <si>
    <t>2023-04-29</t>
  </si>
  <si>
    <t>2023-05-01</t>
  </si>
  <si>
    <t>2023-05-09</t>
  </si>
  <si>
    <t>2023-11-18</t>
  </si>
  <si>
    <t>2023-07-31</t>
  </si>
  <si>
    <t>2023-01-31</t>
  </si>
  <si>
    <t>2023-12-31</t>
  </si>
  <si>
    <t>2023-06-01</t>
  </si>
  <si>
    <t>2023-10-08</t>
  </si>
  <si>
    <t>2023-10-28</t>
  </si>
  <si>
    <t>2023-09-25</t>
  </si>
  <si>
    <t>2023-03-08</t>
  </si>
  <si>
    <t>2023-08-18</t>
  </si>
  <si>
    <t>2023-04-09</t>
  </si>
  <si>
    <t>2023-10-17</t>
  </si>
  <si>
    <t>2023-05-16</t>
  </si>
  <si>
    <t>2023-02-24</t>
  </si>
  <si>
    <t>2023-07-04</t>
  </si>
  <si>
    <t>2023-07-28</t>
  </si>
  <si>
    <t>2023-11-11</t>
  </si>
  <si>
    <t>2023-09-09</t>
  </si>
  <si>
    <t>2023-03-29</t>
  </si>
  <si>
    <t>2023-07-19</t>
  </si>
  <si>
    <t>2023-04-26</t>
  </si>
  <si>
    <t>2023-06-29</t>
  </si>
  <si>
    <t>2023-02-02</t>
  </si>
  <si>
    <t>2023-09-07</t>
  </si>
  <si>
    <t>2023-07-03</t>
  </si>
  <si>
    <t>2023-08-24</t>
  </si>
  <si>
    <t>2023-02-10</t>
  </si>
  <si>
    <t>2023-05-02</t>
  </si>
  <si>
    <t>2023-10-14</t>
  </si>
  <si>
    <t>2023-09-29</t>
  </si>
  <si>
    <t>2023-02-18</t>
  </si>
  <si>
    <t>2023-05-22</t>
  </si>
  <si>
    <t>2023-12-09</t>
  </si>
  <si>
    <t>2023-07-08</t>
  </si>
  <si>
    <t>2023-10-13</t>
  </si>
  <si>
    <t>2023-12-08</t>
  </si>
  <si>
    <t>2023-09-01</t>
  </si>
  <si>
    <t>2023-09-08</t>
  </si>
  <si>
    <t>2023-01-08</t>
  </si>
  <si>
    <t>2023-05-08</t>
  </si>
  <si>
    <t>2023-03-19</t>
  </si>
  <si>
    <t>2023-02-22</t>
  </si>
  <si>
    <t>2023-03-23</t>
  </si>
  <si>
    <t>2023-04-21</t>
  </si>
  <si>
    <t>2023-01-02</t>
  </si>
  <si>
    <t>2023-12-18</t>
  </si>
  <si>
    <t>2023-03-16</t>
  </si>
  <si>
    <t>2023-01-11</t>
  </si>
  <si>
    <t>2023-11-13</t>
  </si>
  <si>
    <t>2023-04-19</t>
  </si>
  <si>
    <t>2023-02-26</t>
  </si>
  <si>
    <t>2023-11-12</t>
  </si>
  <si>
    <t>2023-01-14</t>
  </si>
  <si>
    <t>2023-02-14</t>
  </si>
  <si>
    <t>2023-03-13</t>
  </si>
  <si>
    <t>2023-06-23</t>
  </si>
  <si>
    <t>2023-09-16</t>
  </si>
  <si>
    <t>2023-03-21</t>
  </si>
  <si>
    <t>2023-08-02</t>
  </si>
  <si>
    <t>2023-01-07</t>
  </si>
  <si>
    <t>2023-12-23</t>
  </si>
  <si>
    <t>2023-05-31</t>
  </si>
  <si>
    <t>2023-07-11</t>
  </si>
  <si>
    <t>2023-05-05</t>
  </si>
  <si>
    <t>2023-01-05</t>
  </si>
  <si>
    <t>2023-09-20</t>
  </si>
  <si>
    <t>2023-03-01</t>
  </si>
  <si>
    <t>2023-08-16</t>
  </si>
  <si>
    <t>2023-03-09</t>
  </si>
  <si>
    <t>2023-08-05</t>
  </si>
  <si>
    <t>2023-10-29</t>
  </si>
  <si>
    <t>2023-01-21</t>
  </si>
  <si>
    <t>2023-12-03</t>
  </si>
  <si>
    <t>2023-11-28</t>
  </si>
  <si>
    <t>2023-07-05</t>
  </si>
  <si>
    <t>2023-11-08</t>
  </si>
  <si>
    <t>2023-05-14</t>
  </si>
  <si>
    <t>2023-07-06</t>
  </si>
  <si>
    <t>2023-11-06</t>
  </si>
  <si>
    <t>2023-06-17</t>
  </si>
  <si>
    <t>2023-08-01</t>
  </si>
  <si>
    <t>2023-06-20</t>
  </si>
  <si>
    <t>2023-08-07</t>
  </si>
  <si>
    <t>2023-11-25</t>
  </si>
  <si>
    <t>2023-04-14</t>
  </si>
  <si>
    <t>2023-10-12</t>
  </si>
  <si>
    <t>2023-09-22</t>
  </si>
  <si>
    <t>2023-05-21</t>
  </si>
  <si>
    <t>2023-01-03</t>
  </si>
  <si>
    <t>2023-04-04</t>
  </si>
  <si>
    <t>2023-05-20</t>
  </si>
  <si>
    <t>2023-08-09</t>
  </si>
  <si>
    <t>2023-01-28</t>
  </si>
  <si>
    <t>2023-01-06</t>
  </si>
  <si>
    <t>2023-03-10</t>
  </si>
  <si>
    <t>2023-11-09</t>
  </si>
  <si>
    <t>2023-11-22</t>
  </si>
  <si>
    <t>2023-08-21</t>
  </si>
  <si>
    <t>2023-09-04</t>
  </si>
  <si>
    <t>2023-11-24</t>
  </si>
  <si>
    <t>2023-09-15</t>
  </si>
  <si>
    <t>2023-05-10</t>
  </si>
  <si>
    <t>2023-08-03</t>
  </si>
  <si>
    <t>2023-03-02</t>
  </si>
  <si>
    <t>2023-09-23</t>
  </si>
  <si>
    <t>2023-07-22</t>
  </si>
  <si>
    <t>2023-04-18</t>
  </si>
  <si>
    <t>2023-02-08</t>
  </si>
  <si>
    <t>2023-04-22</t>
  </si>
  <si>
    <t>2023-04-23</t>
  </si>
  <si>
    <t>2023-07-21</t>
  </si>
  <si>
    <t>2023-10-26</t>
  </si>
  <si>
    <t>2023-02-01</t>
  </si>
  <si>
    <t>2023-03-04</t>
  </si>
  <si>
    <t>2023-03-24</t>
  </si>
  <si>
    <t>2023-03-31</t>
  </si>
  <si>
    <t>2023-04-17</t>
  </si>
  <si>
    <t>2023-05-24</t>
  </si>
  <si>
    <t>2023-09-12</t>
  </si>
  <si>
    <t>2023-10-10</t>
  </si>
  <si>
    <t>2023-09-26</t>
  </si>
  <si>
    <t>2023-07-10</t>
  </si>
  <si>
    <t>2023-08-26</t>
  </si>
  <si>
    <t>2023-06-11</t>
  </si>
  <si>
    <t>2023-05-26</t>
  </si>
  <si>
    <t>2023-09-06</t>
  </si>
  <si>
    <t>2023-11-07</t>
  </si>
  <si>
    <t>2023-01-12</t>
  </si>
  <si>
    <t>2023-10-24</t>
  </si>
  <si>
    <t>2023-09-03</t>
  </si>
  <si>
    <t>2023-06-15</t>
  </si>
  <si>
    <t>2023-11-01</t>
  </si>
  <si>
    <t>2023-08-31</t>
  </si>
  <si>
    <t>2023-04-16</t>
  </si>
  <si>
    <t>2023-06-18</t>
  </si>
  <si>
    <t>2023-07-07</t>
  </si>
  <si>
    <t>2023-03-22</t>
  </si>
  <si>
    <t>2023-04-25</t>
  </si>
  <si>
    <t>2023-01-30</t>
  </si>
  <si>
    <t>2023-07-17</t>
  </si>
  <si>
    <t>2023-01-09</t>
  </si>
  <si>
    <t>2023-10-01</t>
  </si>
  <si>
    <t>2023-06-27</t>
  </si>
  <si>
    <t>2023-02-19</t>
  </si>
  <si>
    <t>2023-09-18</t>
  </si>
  <si>
    <t>2023-07-29</t>
  </si>
  <si>
    <t>2023-02-03</t>
  </si>
  <si>
    <t>2023-12-24</t>
  </si>
  <si>
    <t>2023-07-15</t>
  </si>
  <si>
    <t>2023-01-15</t>
  </si>
  <si>
    <t>2023-03-27</t>
  </si>
  <si>
    <t>2023-07-16</t>
  </si>
  <si>
    <t>2023-03-15</t>
  </si>
  <si>
    <t>2023-02-28</t>
  </si>
  <si>
    <t>2023-11-23</t>
  </si>
  <si>
    <t>2023-07-12</t>
  </si>
  <si>
    <t>2023-02-23</t>
  </si>
  <si>
    <t>2023-06-09</t>
  </si>
  <si>
    <t>2023-11-03</t>
  </si>
  <si>
    <t>2023-12-19</t>
  </si>
  <si>
    <t>2023-10-20</t>
  </si>
  <si>
    <t>2023-03-20</t>
  </si>
  <si>
    <t>2023-07-23</t>
  </si>
  <si>
    <t>2023-12-16</t>
  </si>
  <si>
    <t>2023-12-02</t>
  </si>
  <si>
    <t>2023-04-24</t>
  </si>
  <si>
    <t>2023-06-22</t>
  </si>
  <si>
    <t>2023-09-24</t>
  </si>
  <si>
    <t>2023-08-12</t>
  </si>
  <si>
    <t>2023-12-14</t>
  </si>
  <si>
    <t>2023-04-28</t>
  </si>
  <si>
    <t>2023-12-11</t>
  </si>
  <si>
    <t>2023-05-18</t>
  </si>
  <si>
    <t>2023-08-11</t>
  </si>
  <si>
    <t>2023-04-11</t>
  </si>
  <si>
    <t>2023-12-06</t>
  </si>
  <si>
    <t>2023-10-09</t>
  </si>
  <si>
    <t>2023-09-21</t>
  </si>
  <si>
    <t>2023-04-08</t>
  </si>
  <si>
    <t>2023-01-29</t>
  </si>
  <si>
    <t>2023-08-29</t>
  </si>
  <si>
    <t>2023-10-18</t>
  </si>
  <si>
    <t>2023-11-29</t>
  </si>
  <si>
    <t>2023-08-28</t>
  </si>
  <si>
    <t>Order Date</t>
  </si>
  <si>
    <t>Instagram</t>
  </si>
  <si>
    <t>TikTok</t>
  </si>
  <si>
    <t>Website</t>
  </si>
  <si>
    <t>Referral</t>
  </si>
  <si>
    <t>Order Source</t>
  </si>
  <si>
    <t>Country</t>
  </si>
  <si>
    <t>Order Id</t>
  </si>
  <si>
    <t>Reapet Customer</t>
  </si>
  <si>
    <t>No</t>
  </si>
  <si>
    <t>Quantity</t>
  </si>
  <si>
    <t>Revenue</t>
  </si>
  <si>
    <t xml:space="preserve">I T </t>
  </si>
  <si>
    <t>N</t>
  </si>
  <si>
    <t>Neon Sokolenko brows</t>
  </si>
  <si>
    <t>Neon Tim Pole Dance</t>
  </si>
  <si>
    <t>Neon Spa space</t>
  </si>
  <si>
    <t>Neon The Fryzz</t>
  </si>
  <si>
    <t>Neon Svit hub</t>
  </si>
  <si>
    <t>Neon Falitsata</t>
  </si>
  <si>
    <t>Neon give me some sugar</t>
  </si>
  <si>
    <t>Neon Perfect Lash</t>
  </si>
  <si>
    <t>Neon Cherie</t>
  </si>
  <si>
    <t>Neon Street food</t>
  </si>
  <si>
    <t>Neon Ken Brite</t>
  </si>
  <si>
    <t>Neon Just Married</t>
  </si>
  <si>
    <t xml:space="preserve">Neon Run </t>
  </si>
  <si>
    <t>Neon Mojohit</t>
  </si>
  <si>
    <t>Neon my happy place</t>
  </si>
  <si>
    <t>Neon Ibiza</t>
  </si>
  <si>
    <t>Neon emotions</t>
  </si>
  <si>
    <t>Neon the sudomyrs</t>
  </si>
  <si>
    <t>Neon light it up</t>
  </si>
  <si>
    <t>Neon lollipop</t>
  </si>
  <si>
    <t>Neon mens club</t>
  </si>
  <si>
    <t>Neon home sweet home</t>
  </si>
  <si>
    <t>Neon zubalenok</t>
  </si>
  <si>
    <t>Neon GFD studio</t>
  </si>
  <si>
    <t>Neon GRL PWR</t>
  </si>
  <si>
    <t>Neon L.Style</t>
  </si>
  <si>
    <t>Neon bayzar nails</t>
  </si>
  <si>
    <t>Neon Caramel</t>
  </si>
  <si>
    <t>Neon Hello</t>
  </si>
  <si>
    <t>Neon Fantasy shop</t>
  </si>
  <si>
    <t>Neon lya lash</t>
  </si>
  <si>
    <t>Neon diana brows</t>
  </si>
  <si>
    <t>Neon 1  м</t>
  </si>
  <si>
    <t>Neon in stories</t>
  </si>
  <si>
    <t>Neon step by step</t>
  </si>
  <si>
    <t>Neon tattoo</t>
  </si>
  <si>
    <t>Neon siyanci</t>
  </si>
  <si>
    <t>Neon welcome</t>
  </si>
  <si>
    <t>Neon coffe</t>
  </si>
  <si>
    <t>Neon cambo beauty</t>
  </si>
  <si>
    <t>Neon DLXN</t>
  </si>
  <si>
    <t>Neon Trisky</t>
  </si>
  <si>
    <t>Neon wetmilk</t>
  </si>
  <si>
    <t>Neon L'Echalot</t>
  </si>
  <si>
    <t>Neon One</t>
  </si>
  <si>
    <t>Neon Love Rocks</t>
  </si>
  <si>
    <t>Neon Light</t>
  </si>
  <si>
    <t>Neon Coffe</t>
  </si>
  <si>
    <t>Neon 21m</t>
  </si>
  <si>
    <t>Neon Lash</t>
  </si>
  <si>
    <t>Neon Bird</t>
  </si>
  <si>
    <t>Neon Shawerma</t>
  </si>
  <si>
    <t>Windows</t>
  </si>
  <si>
    <t>Neon Door</t>
  </si>
  <si>
    <t>Neon Julia</t>
  </si>
  <si>
    <t>Neon Hands</t>
  </si>
  <si>
    <t>Neon Lotos</t>
  </si>
  <si>
    <t>Neon Vitadent</t>
  </si>
  <si>
    <t>Neon Your beautiful</t>
  </si>
  <si>
    <t>Neon Cold</t>
  </si>
  <si>
    <t>I love you</t>
  </si>
  <si>
    <t>Neon Tools</t>
  </si>
  <si>
    <t>Neon sims</t>
  </si>
  <si>
    <t>Colizanka</t>
  </si>
  <si>
    <t>Neon Dolar</t>
  </si>
  <si>
    <t>shesternya</t>
  </si>
  <si>
    <t>Neon dolar</t>
  </si>
  <si>
    <t>Neon Akademik</t>
  </si>
  <si>
    <t>Neon Moon</t>
  </si>
  <si>
    <t>Neon coffee</t>
  </si>
  <si>
    <t>Neon sushi</t>
  </si>
  <si>
    <t>Neon Bar</t>
  </si>
  <si>
    <t>Neon Car</t>
  </si>
  <si>
    <t>Neon Shine</t>
  </si>
  <si>
    <t>Neon Heart</t>
  </si>
  <si>
    <t>Neon Phone</t>
  </si>
  <si>
    <t>Neon Tablet</t>
  </si>
  <si>
    <t>Neon Burger</t>
  </si>
  <si>
    <t>Neon Space</t>
  </si>
  <si>
    <t>Neon HOZ</t>
  </si>
  <si>
    <t>Neon Gold</t>
  </si>
  <si>
    <t>Neon Fly</t>
  </si>
  <si>
    <t>Neon Coffee</t>
  </si>
  <si>
    <t>Neon Marmylyada</t>
  </si>
  <si>
    <t>Neon Cake</t>
  </si>
  <si>
    <t>Bottle</t>
  </si>
  <si>
    <t>М show</t>
  </si>
  <si>
    <t>Coffee here</t>
  </si>
  <si>
    <t>Fly</t>
  </si>
  <si>
    <t>Angel</t>
  </si>
  <si>
    <t>Hands</t>
  </si>
  <si>
    <t>smak</t>
  </si>
  <si>
    <t>Coffee open</t>
  </si>
  <si>
    <t>Cat</t>
  </si>
  <si>
    <t>Girl</t>
  </si>
  <si>
    <t>Circle</t>
  </si>
  <si>
    <t>Shape</t>
  </si>
  <si>
    <t>IZImebly</t>
  </si>
  <si>
    <t>Camale</t>
  </si>
  <si>
    <t>I would like coffee</t>
  </si>
  <si>
    <t>More fire</t>
  </si>
  <si>
    <t>Lips</t>
  </si>
  <si>
    <t>Braces</t>
  </si>
  <si>
    <t>Bitcoin</t>
  </si>
  <si>
    <t>Flesh</t>
  </si>
  <si>
    <t>Arms</t>
  </si>
  <si>
    <t>Star</t>
  </si>
  <si>
    <t>Flowers</t>
  </si>
  <si>
    <t>Shine pls</t>
  </si>
  <si>
    <t>Heart</t>
  </si>
  <si>
    <t>My lashes is amazing</t>
  </si>
  <si>
    <t>Vitamins</t>
  </si>
  <si>
    <t>Dream</t>
  </si>
  <si>
    <t>My heart</t>
  </si>
  <si>
    <t>Tools for car</t>
  </si>
  <si>
    <t>Your heart</t>
  </si>
  <si>
    <t>My love</t>
  </si>
  <si>
    <t>Hert with</t>
  </si>
  <si>
    <t xml:space="preserve">Heart </t>
  </si>
  <si>
    <t>Sheringan</t>
  </si>
  <si>
    <t>Sweets</t>
  </si>
  <si>
    <t>24/7</t>
  </si>
  <si>
    <t>Table</t>
  </si>
  <si>
    <t>Hand in fire</t>
  </si>
  <si>
    <t>Play with me</t>
  </si>
  <si>
    <t>Heart my</t>
  </si>
  <si>
    <t>Gold Karpat</t>
  </si>
  <si>
    <t>Chears</t>
  </si>
  <si>
    <t>Hot dog</t>
  </si>
  <si>
    <t>Cross</t>
  </si>
  <si>
    <t>You are beautiful</t>
  </si>
  <si>
    <t>White mug</t>
  </si>
  <si>
    <t>Bring me with you</t>
  </si>
  <si>
    <t>Hear</t>
  </si>
  <si>
    <t>Tattoo double</t>
  </si>
  <si>
    <t>Tattoo</t>
  </si>
  <si>
    <t>do me wow</t>
  </si>
  <si>
    <t>Do yourself</t>
  </si>
  <si>
    <t>Spring</t>
  </si>
  <si>
    <t>Coffe centra</t>
  </si>
  <si>
    <t>ibiza</t>
  </si>
  <si>
    <t>Soho</t>
  </si>
  <si>
    <t>Panteleymon</t>
  </si>
  <si>
    <t>Baloons</t>
  </si>
  <si>
    <t>Puzzel</t>
  </si>
  <si>
    <t>Shoes</t>
  </si>
  <si>
    <t>Sofa</t>
  </si>
  <si>
    <t>Robot</t>
  </si>
  <si>
    <t>Cars</t>
  </si>
  <si>
    <t>Vape</t>
  </si>
  <si>
    <t>Pineaple</t>
  </si>
  <si>
    <t>Orange</t>
  </si>
  <si>
    <t>Asian cat</t>
  </si>
  <si>
    <t>Him west</t>
  </si>
  <si>
    <t>Apple</t>
  </si>
  <si>
    <t>Coffe with chocolate</t>
  </si>
  <si>
    <t>Blubberies</t>
  </si>
  <si>
    <t>Strawbery</t>
  </si>
  <si>
    <t>Roof</t>
  </si>
  <si>
    <t>Lock</t>
  </si>
  <si>
    <t>We are open</t>
  </si>
  <si>
    <t>You amazing</t>
  </si>
  <si>
    <t>Nike nike</t>
  </si>
  <si>
    <t>Grape</t>
  </si>
  <si>
    <t>Dog</t>
  </si>
  <si>
    <t>Socks</t>
  </si>
  <si>
    <t>My body</t>
  </si>
  <si>
    <t>I go on vaxin</t>
  </si>
  <si>
    <t>Stomatology</t>
  </si>
  <si>
    <t>Cockteils</t>
  </si>
  <si>
    <t>Crepes</t>
  </si>
  <si>
    <t>zbrod</t>
  </si>
  <si>
    <t>Coffee and gotdog</t>
  </si>
  <si>
    <t>Asian</t>
  </si>
  <si>
    <t>Bull</t>
  </si>
  <si>
    <t>Between us coffee</t>
  </si>
  <si>
    <t>You are wow</t>
  </si>
  <si>
    <t>You can do it</t>
  </si>
  <si>
    <t>Gosips</t>
  </si>
  <si>
    <t>Do you wanna coffee</t>
  </si>
  <si>
    <t>Make me photo</t>
  </si>
  <si>
    <t>Your smile</t>
  </si>
  <si>
    <t>Lemon</t>
  </si>
  <si>
    <t>Peppers</t>
  </si>
  <si>
    <t>Forewer</t>
  </si>
  <si>
    <t>Boat</t>
  </si>
  <si>
    <t>lightbox</t>
  </si>
  <si>
    <t>Laptop</t>
  </si>
  <si>
    <t>Bag</t>
  </si>
  <si>
    <t>New balance</t>
  </si>
  <si>
    <t>WC</t>
  </si>
  <si>
    <t>Your success</t>
  </si>
  <si>
    <t>First</t>
  </si>
  <si>
    <t>Map</t>
  </si>
  <si>
    <t>Bottle and glass</t>
  </si>
  <si>
    <t>Letter</t>
  </si>
  <si>
    <t>Burger</t>
  </si>
  <si>
    <t>Shaurma</t>
  </si>
  <si>
    <t>Moon</t>
  </si>
  <si>
    <t>Do you mind?</t>
  </si>
  <si>
    <t>Dance</t>
  </si>
  <si>
    <t>Your coffe</t>
  </si>
  <si>
    <t>coffee and mug</t>
  </si>
  <si>
    <t>4.5.0 coffee point</t>
  </si>
  <si>
    <t>Mavky</t>
  </si>
  <si>
    <t>Your dog is awesome</t>
  </si>
  <si>
    <t>Dog and cat</t>
  </si>
  <si>
    <t>You the best</t>
  </si>
  <si>
    <t>Profil</t>
  </si>
  <si>
    <t>Dj K</t>
  </si>
  <si>
    <t>Woow you are star</t>
  </si>
  <si>
    <t>Shobsho</t>
  </si>
  <si>
    <t>Change currency</t>
  </si>
  <si>
    <t>New culture</t>
  </si>
  <si>
    <t>Do how you feel</t>
  </si>
  <si>
    <t>You haircut amazing</t>
  </si>
  <si>
    <t>Cookies</t>
  </si>
  <si>
    <t>Buy her flowers</t>
  </si>
  <si>
    <t>Fruits and vegetables</t>
  </si>
  <si>
    <t>Map of Ukraine</t>
  </si>
  <si>
    <t>Unforgedable</t>
  </si>
  <si>
    <t>Sun shine like</t>
  </si>
  <si>
    <t>Robot V</t>
  </si>
  <si>
    <t>Smereka Karpat</t>
  </si>
  <si>
    <t>You unforgedable</t>
  </si>
  <si>
    <t>Music room</t>
  </si>
  <si>
    <t>Its so sexy</t>
  </si>
  <si>
    <t>Face</t>
  </si>
  <si>
    <t>Girls body</t>
  </si>
  <si>
    <t>Dance and dream</t>
  </si>
  <si>
    <t>Drink and dream</t>
  </si>
  <si>
    <t>Repair store</t>
  </si>
  <si>
    <t>Moon coffee</t>
  </si>
  <si>
    <t>You are my soul</t>
  </si>
  <si>
    <t xml:space="preserve">Polish </t>
  </si>
  <si>
    <t>English</t>
  </si>
  <si>
    <t>Coffee fo me</t>
  </si>
  <si>
    <t>Dance pls</t>
  </si>
  <si>
    <t>Small box</t>
  </si>
  <si>
    <t>Lets dance</t>
  </si>
  <si>
    <t>Blue and yellow</t>
  </si>
  <si>
    <t>Sugar</t>
  </si>
  <si>
    <t>A man</t>
  </si>
  <si>
    <t>Go and eat</t>
  </si>
  <si>
    <t>Wild roll</t>
  </si>
  <si>
    <t>Fashine woman</t>
  </si>
  <si>
    <t>floweers</t>
  </si>
  <si>
    <t>Potato</t>
  </si>
  <si>
    <t>Sale sale</t>
  </si>
  <si>
    <t>Be quite</t>
  </si>
  <si>
    <t>Flowers for ya</t>
  </si>
  <si>
    <t>Puppi</t>
  </si>
  <si>
    <t>Pure</t>
  </si>
  <si>
    <t>Welcome</t>
  </si>
  <si>
    <t>Coffee with love</t>
  </si>
  <si>
    <t>Tomato</t>
  </si>
  <si>
    <t>Flowers for you</t>
  </si>
  <si>
    <t>pro kava</t>
  </si>
  <si>
    <t>California</t>
  </si>
  <si>
    <t>I am the best</t>
  </si>
  <si>
    <t>Its all for me</t>
  </si>
  <si>
    <t>Vladmark</t>
  </si>
  <si>
    <t>Ramen</t>
  </si>
  <si>
    <t>Grossery</t>
  </si>
  <si>
    <t>House of flower</t>
  </si>
  <si>
    <t>Yoda</t>
  </si>
  <si>
    <t>Fox</t>
  </si>
  <si>
    <t>Triangle</t>
  </si>
  <si>
    <t>Crocs</t>
  </si>
  <si>
    <t>Dyson</t>
  </si>
  <si>
    <t>Dragon</t>
  </si>
  <si>
    <t>Whats up</t>
  </si>
  <si>
    <t>Polishing nail</t>
  </si>
  <si>
    <t>Lightbox</t>
  </si>
  <si>
    <t>PPO</t>
  </si>
  <si>
    <t>Pen</t>
  </si>
  <si>
    <t>Wall</t>
  </si>
  <si>
    <t>Craft</t>
  </si>
  <si>
    <t>You are my big love</t>
  </si>
  <si>
    <t>Feel it</t>
  </si>
  <si>
    <t>Liitlebox</t>
  </si>
  <si>
    <t>House of my flowers</t>
  </si>
  <si>
    <t>Flow</t>
  </si>
  <si>
    <t>You can do all</t>
  </si>
  <si>
    <t>For me</t>
  </si>
  <si>
    <t>I wanna sushi</t>
  </si>
  <si>
    <t>That’s my boy</t>
  </si>
  <si>
    <t>What about photo</t>
  </si>
  <si>
    <t>Buy me</t>
  </si>
  <si>
    <t>Byu me flowers</t>
  </si>
  <si>
    <t>Wanna buy me</t>
  </si>
  <si>
    <t>Frog</t>
  </si>
  <si>
    <t>Do you wanna be my ?</t>
  </si>
  <si>
    <t>Sandwich</t>
  </si>
  <si>
    <t>coffee in hand</t>
  </si>
  <si>
    <t>My people</t>
  </si>
  <si>
    <t>pizza</t>
  </si>
  <si>
    <t xml:space="preserve">sushi </t>
  </si>
  <si>
    <t>Firework</t>
  </si>
  <si>
    <t>Jym</t>
  </si>
  <si>
    <t>Bo fresh</t>
  </si>
  <si>
    <t>Age</t>
  </si>
  <si>
    <t>INNA</t>
  </si>
  <si>
    <t>oleg</t>
  </si>
  <si>
    <t>VITALIA</t>
  </si>
  <si>
    <t>irina</t>
  </si>
  <si>
    <t>OLENKA</t>
  </si>
  <si>
    <t>KATERYNA</t>
  </si>
  <si>
    <t>slava</t>
  </si>
  <si>
    <t>mila</t>
  </si>
  <si>
    <t>alex</t>
  </si>
  <si>
    <t>dasha</t>
  </si>
  <si>
    <t>NAZAR</t>
  </si>
  <si>
    <t>volodya</t>
  </si>
  <si>
    <t>ben</t>
  </si>
  <si>
    <t>Businesss</t>
  </si>
  <si>
    <t>Basiness</t>
  </si>
  <si>
    <t xml:space="preserve">     Yellow</t>
  </si>
  <si>
    <t xml:space="preserve">     White</t>
  </si>
  <si>
    <t xml:space="preserve">    Black</t>
  </si>
  <si>
    <t xml:space="preserve">      Yellow</t>
  </si>
  <si>
    <t xml:space="preserve">    Yellow</t>
  </si>
  <si>
    <t xml:space="preserve">    White</t>
  </si>
  <si>
    <t xml:space="preserve">    Green</t>
  </si>
  <si>
    <t xml:space="preserve">        Rose</t>
  </si>
  <si>
    <t xml:space="preserve">        Yellow</t>
  </si>
  <si>
    <t xml:space="preserve">  Green</t>
  </si>
  <si>
    <t xml:space="preserve">  Red</t>
  </si>
  <si>
    <t xml:space="preserve">   Red</t>
  </si>
  <si>
    <t xml:space="preserve">   Rose</t>
  </si>
  <si>
    <t xml:space="preserve">    Red</t>
  </si>
  <si>
    <t xml:space="preserve">      Silver</t>
  </si>
  <si>
    <t xml:space="preserve">    Silver</t>
  </si>
  <si>
    <t xml:space="preserve">     Black</t>
  </si>
  <si>
    <t xml:space="preserve">Insta Tag </t>
  </si>
  <si>
    <t>Neon sing</t>
  </si>
  <si>
    <t>Aj</t>
  </si>
  <si>
    <t>Row Labels</t>
  </si>
  <si>
    <t>Grand Total</t>
  </si>
  <si>
    <t>May</t>
  </si>
  <si>
    <t>Sum of Profit</t>
  </si>
  <si>
    <t>Female</t>
  </si>
  <si>
    <t>Male</t>
  </si>
  <si>
    <t>Gender</t>
  </si>
  <si>
    <t>Kovalenko</t>
  </si>
  <si>
    <t>Savchenko</t>
  </si>
  <si>
    <t>Shevchenko</t>
  </si>
  <si>
    <t>Rudenko</t>
  </si>
  <si>
    <t>Bondarenko</t>
  </si>
  <si>
    <t>Hrytsenko</t>
  </si>
  <si>
    <t>Tkachenko</t>
  </si>
  <si>
    <t>Polishchuk</t>
  </si>
  <si>
    <t>Kravchenko</t>
  </si>
  <si>
    <t>Tymoshenko</t>
  </si>
  <si>
    <t>Boyko</t>
  </si>
  <si>
    <t>Kostenko</t>
  </si>
  <si>
    <t>Kovalchuk</t>
  </si>
  <si>
    <t>Zakharchenko</t>
  </si>
  <si>
    <t>Melnyk</t>
  </si>
  <si>
    <t>Denysenko</t>
  </si>
  <si>
    <t>Marchenko</t>
  </si>
  <si>
    <t>Ivanenko</t>
  </si>
  <si>
    <t>Lysenko</t>
  </si>
  <si>
    <t>Oliynyk</t>
  </si>
  <si>
    <t>Age Type</t>
  </si>
  <si>
    <t>Month</t>
  </si>
  <si>
    <t>July</t>
  </si>
  <si>
    <t>June</t>
  </si>
  <si>
    <t>April</t>
  </si>
  <si>
    <t>March</t>
  </si>
  <si>
    <t>February</t>
  </si>
  <si>
    <t>January</t>
  </si>
  <si>
    <t>August</t>
  </si>
  <si>
    <t>September</t>
  </si>
  <si>
    <t>October</t>
  </si>
  <si>
    <t>December</t>
  </si>
  <si>
    <t>November</t>
  </si>
  <si>
    <t>Middle Age</t>
  </si>
  <si>
    <t>Old</t>
  </si>
  <si>
    <t>Young</t>
  </si>
  <si>
    <t>Sign Sales Dashboard</t>
  </si>
  <si>
    <t>Central</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</si>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</sst>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quot;$&quot;#,##0.00"/>
    <numFmt numFmtId="166" formatCode="&quot;$&quot;#,##0"/>
  </numFmts>
  <fonts count="16" x14ac:knownFonts="1">
    <font>
      <sz val="11"/>
      <color theme="1"/>
      <name val="Calibri"/>
      <scheme val="minor"/>
    </font>
    <font>
      <sz val="11"/>
      <color theme="1"/>
      <name val="Arial"/>
      <family val="2"/>
    </font>
    <font>
      <b/>
      <sz val="11"/>
      <color theme="1"/>
      <name val="Calibri"/>
      <family val="2"/>
      <scheme val="minor"/>
    </font>
    <font>
      <b/>
      <sz val="11"/>
      <color rgb="FF000000"/>
      <name val="Calibri"/>
      <family val="2"/>
      <scheme val="minor"/>
    </font>
    <font>
      <sz val="11"/>
      <color rgb="FF000000"/>
      <name val="Calibri"/>
      <family val="2"/>
      <scheme val="minor"/>
    </font>
    <font>
      <sz val="11"/>
      <color theme="1"/>
      <name val="Calibri"/>
      <family val="2"/>
      <scheme val="minor"/>
    </font>
    <font>
      <sz val="11"/>
      <color rgb="FF000000"/>
      <name val="Calibri"/>
      <family val="2"/>
      <scheme val="minor"/>
    </font>
    <font>
      <sz val="11"/>
      <color rgb="FF000000"/>
      <name val="Calibri"/>
      <family val="2"/>
    </font>
    <font>
      <sz val="11"/>
      <color theme="1"/>
      <name val="Calibri"/>
      <family val="2"/>
    </font>
    <font>
      <sz val="11"/>
      <color rgb="FF1155CC"/>
      <name val="Inconsolata"/>
    </font>
    <font>
      <sz val="11"/>
      <color rgb="FF434343"/>
      <name val="Calibri"/>
      <family val="2"/>
    </font>
    <font>
      <b/>
      <sz val="11"/>
      <color theme="1"/>
      <name val="Calibri (Body)"/>
    </font>
    <font>
      <sz val="11"/>
      <color theme="1"/>
      <name val="Calibri (Body)"/>
    </font>
    <font>
      <sz val="11"/>
      <color theme="1"/>
      <name val="Inconsolata"/>
    </font>
    <font>
      <sz val="11"/>
      <color rgb="FF434343"/>
      <name val="Calibri"/>
      <family val="2"/>
      <scheme val="minor"/>
    </font>
    <font>
      <sz val="72"/>
      <color theme="1"/>
      <name val="Calibri (Body)"/>
    </font>
  </fonts>
  <fills count="15">
    <fill>
      <patternFill patternType="none"/>
    </fill>
    <fill>
      <patternFill patternType="gray125"/>
    </fill>
    <fill>
      <patternFill patternType="solid">
        <fgColor rgb="FFB4C6E7"/>
        <bgColor rgb="FFB4C6E7"/>
      </patternFill>
    </fill>
    <fill>
      <patternFill patternType="solid">
        <fgColor theme="0"/>
        <bgColor theme="0"/>
      </patternFill>
    </fill>
    <fill>
      <patternFill patternType="solid">
        <fgColor rgb="FFB4C6E7"/>
        <bgColor indexed="64"/>
      </patternFill>
    </fill>
    <fill>
      <patternFill patternType="solid">
        <fgColor theme="0"/>
        <bgColor indexed="64"/>
      </patternFill>
    </fill>
    <fill>
      <patternFill patternType="solid">
        <fgColor theme="0"/>
        <bgColor rgb="FFFFFFFF"/>
      </patternFill>
    </fill>
    <fill>
      <patternFill patternType="solid">
        <fgColor theme="0"/>
        <bgColor rgb="FFFF0000"/>
      </patternFill>
    </fill>
    <fill>
      <patternFill patternType="solid">
        <fgColor theme="0"/>
        <bgColor rgb="FFFF9900"/>
      </patternFill>
    </fill>
    <fill>
      <patternFill patternType="solid">
        <fgColor theme="0"/>
        <bgColor rgb="FFFFFF00"/>
      </patternFill>
    </fill>
    <fill>
      <patternFill patternType="solid">
        <fgColor theme="0"/>
        <bgColor rgb="FF00FF00"/>
      </patternFill>
    </fill>
    <fill>
      <patternFill patternType="solid">
        <fgColor theme="0"/>
        <bgColor rgb="FFD9EAD3"/>
      </patternFill>
    </fill>
    <fill>
      <patternFill patternType="solid">
        <fgColor theme="0"/>
        <bgColor rgb="FF000000"/>
      </patternFill>
    </fill>
    <fill>
      <patternFill patternType="solid">
        <fgColor theme="4" tint="0.79998168889431442"/>
        <bgColor indexed="64"/>
      </patternFill>
    </fill>
    <fill>
      <patternFill patternType="solid">
        <fgColor rgb="FFDAE2F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90">
    <xf numFmtId="0" fontId="0" fillId="0" borderId="0" xfId="0"/>
    <xf numFmtId="0" fontId="8" fillId="5" borderId="1" xfId="0" applyFont="1" applyFill="1" applyBorder="1"/>
    <xf numFmtId="0" fontId="7" fillId="5" borderId="1" xfId="0" applyFont="1" applyFill="1" applyBorder="1"/>
    <xf numFmtId="0" fontId="8" fillId="6" borderId="1" xfId="0" applyFont="1" applyFill="1" applyBorder="1"/>
    <xf numFmtId="0" fontId="7" fillId="6" borderId="1" xfId="0" applyFont="1" applyFill="1" applyBorder="1"/>
    <xf numFmtId="0" fontId="8" fillId="5" borderId="1" xfId="0" applyFont="1" applyFill="1" applyBorder="1" applyAlignment="1">
      <alignment horizontal="left"/>
    </xf>
    <xf numFmtId="0" fontId="7" fillId="7" borderId="1" xfId="0" applyFont="1" applyFill="1" applyBorder="1"/>
    <xf numFmtId="0" fontId="8" fillId="8" borderId="1" xfId="0" applyFont="1" applyFill="1" applyBorder="1"/>
    <xf numFmtId="0" fontId="8" fillId="9" borderId="1" xfId="0" applyFont="1" applyFill="1" applyBorder="1"/>
    <xf numFmtId="0" fontId="10" fillId="5" borderId="1" xfId="0" applyFont="1" applyFill="1" applyBorder="1"/>
    <xf numFmtId="0" fontId="8" fillId="7" borderId="1" xfId="0" applyFont="1" applyFill="1" applyBorder="1"/>
    <xf numFmtId="0" fontId="8" fillId="10" borderId="1" xfId="0" applyFont="1" applyFill="1" applyBorder="1"/>
    <xf numFmtId="0" fontId="8" fillId="3" borderId="1" xfId="0" applyFont="1" applyFill="1" applyBorder="1"/>
    <xf numFmtId="0" fontId="8" fillId="10" borderId="1" xfId="0" applyFont="1" applyFill="1" applyBorder="1" applyAlignment="1">
      <alignment horizontal="right"/>
    </xf>
    <xf numFmtId="0" fontId="8" fillId="11" borderId="1" xfId="0" applyFont="1" applyFill="1" applyBorder="1"/>
    <xf numFmtId="0" fontId="5" fillId="5" borderId="1" xfId="0" applyFont="1" applyFill="1" applyBorder="1"/>
    <xf numFmtId="0" fontId="5" fillId="0" borderId="1" xfId="0" applyFont="1" applyBorder="1"/>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4" borderId="1" xfId="0" applyFont="1" applyFill="1" applyBorder="1"/>
    <xf numFmtId="0" fontId="3" fillId="4" borderId="1" xfId="0" applyFont="1" applyFill="1" applyBorder="1"/>
    <xf numFmtId="0" fontId="0" fillId="0" borderId="1" xfId="0" applyBorder="1"/>
    <xf numFmtId="0" fontId="4" fillId="0" borderId="1" xfId="0" applyFont="1" applyBorder="1"/>
    <xf numFmtId="14" fontId="0" fillId="0" borderId="1" xfId="0" applyNumberFormat="1" applyBorder="1"/>
    <xf numFmtId="0" fontId="0" fillId="5" borderId="1" xfId="0" applyFill="1" applyBorder="1"/>
    <xf numFmtId="0" fontId="4" fillId="5" borderId="1" xfId="0" applyFont="1" applyFill="1" applyBorder="1"/>
    <xf numFmtId="0" fontId="6" fillId="5" borderId="1" xfId="0" applyFont="1" applyFill="1" applyBorder="1"/>
    <xf numFmtId="0" fontId="0" fillId="6" borderId="1" xfId="0" applyFill="1" applyBorder="1"/>
    <xf numFmtId="0" fontId="6" fillId="6" borderId="1" xfId="0" applyFont="1" applyFill="1" applyBorder="1"/>
    <xf numFmtId="0" fontId="5" fillId="6" borderId="1" xfId="0" applyFont="1" applyFill="1" applyBorder="1"/>
    <xf numFmtId="0" fontId="4" fillId="7" borderId="1" xfId="0" applyFont="1" applyFill="1" applyBorder="1"/>
    <xf numFmtId="0" fontId="5" fillId="8" borderId="1" xfId="0" applyFont="1" applyFill="1" applyBorder="1"/>
    <xf numFmtId="0" fontId="5" fillId="9" borderId="1" xfId="0" applyFont="1" applyFill="1" applyBorder="1"/>
    <xf numFmtId="0" fontId="4" fillId="6" borderId="1" xfId="0" applyFont="1" applyFill="1" applyBorder="1"/>
    <xf numFmtId="0" fontId="5" fillId="7" borderId="1" xfId="0" applyFont="1" applyFill="1" applyBorder="1"/>
    <xf numFmtId="0" fontId="4" fillId="12" borderId="1" xfId="0" applyFont="1" applyFill="1" applyBorder="1"/>
    <xf numFmtId="0" fontId="9" fillId="6" borderId="1" xfId="0" applyFont="1" applyFill="1" applyBorder="1"/>
    <xf numFmtId="0" fontId="1" fillId="5" borderId="1" xfId="0" applyFont="1" applyFill="1" applyBorder="1" applyAlignment="1">
      <alignment horizontal="right"/>
    </xf>
    <xf numFmtId="2" fontId="2" fillId="2" borderId="1" xfId="0" applyNumberFormat="1" applyFont="1" applyFill="1" applyBorder="1" applyAlignment="1">
      <alignment horizontal="center" vertical="center"/>
    </xf>
    <xf numFmtId="2" fontId="6" fillId="5" borderId="1" xfId="0" applyNumberFormat="1" applyFont="1" applyFill="1" applyBorder="1"/>
    <xf numFmtId="2" fontId="0" fillId="6" borderId="1" xfId="0" applyNumberFormat="1" applyFill="1" applyBorder="1"/>
    <xf numFmtId="2" fontId="6" fillId="6" borderId="1" xfId="0" applyNumberFormat="1" applyFont="1" applyFill="1" applyBorder="1"/>
    <xf numFmtId="2" fontId="5" fillId="5" borderId="1" xfId="0" applyNumberFormat="1" applyFont="1" applyFill="1" applyBorder="1"/>
    <xf numFmtId="2" fontId="5" fillId="6" borderId="1" xfId="0" applyNumberFormat="1" applyFont="1" applyFill="1" applyBorder="1"/>
    <xf numFmtId="2" fontId="4" fillId="7" borderId="1" xfId="0" applyNumberFormat="1" applyFont="1" applyFill="1" applyBorder="1"/>
    <xf numFmtId="2" fontId="5" fillId="8" borderId="1" xfId="0" applyNumberFormat="1" applyFont="1" applyFill="1" applyBorder="1"/>
    <xf numFmtId="2" fontId="5" fillId="9" borderId="1" xfId="0" applyNumberFormat="1" applyFont="1" applyFill="1" applyBorder="1"/>
    <xf numFmtId="2" fontId="4" fillId="6" borderId="1" xfId="0" applyNumberFormat="1" applyFont="1" applyFill="1" applyBorder="1"/>
    <xf numFmtId="2" fontId="5" fillId="7" borderId="1" xfId="0" applyNumberFormat="1" applyFont="1" applyFill="1" applyBorder="1"/>
    <xf numFmtId="2" fontId="1" fillId="5" borderId="1" xfId="0" applyNumberFormat="1" applyFont="1" applyFill="1" applyBorder="1" applyAlignment="1">
      <alignment horizontal="right"/>
    </xf>
    <xf numFmtId="2" fontId="0" fillId="0" borderId="1" xfId="0" applyNumberFormat="1" applyBorder="1"/>
    <xf numFmtId="165" fontId="2" fillId="2" borderId="1" xfId="0" applyNumberFormat="1" applyFont="1" applyFill="1" applyBorder="1" applyAlignment="1">
      <alignment horizontal="center" vertical="center"/>
    </xf>
    <xf numFmtId="165" fontId="0" fillId="5" borderId="1" xfId="0" applyNumberFormat="1" applyFill="1" applyBorder="1"/>
    <xf numFmtId="165" fontId="0" fillId="6" borderId="1" xfId="0" applyNumberFormat="1" applyFill="1" applyBorder="1"/>
    <xf numFmtId="165" fontId="6" fillId="5" borderId="1" xfId="0" applyNumberFormat="1" applyFont="1" applyFill="1" applyBorder="1"/>
    <xf numFmtId="165" fontId="6" fillId="6" borderId="1" xfId="0" applyNumberFormat="1" applyFont="1" applyFill="1" applyBorder="1"/>
    <xf numFmtId="165" fontId="5" fillId="5" borderId="1" xfId="0" applyNumberFormat="1" applyFont="1" applyFill="1" applyBorder="1"/>
    <xf numFmtId="165" fontId="5" fillId="6" borderId="1" xfId="0" applyNumberFormat="1" applyFont="1" applyFill="1" applyBorder="1"/>
    <xf numFmtId="165" fontId="4" fillId="7" borderId="1" xfId="0" applyNumberFormat="1" applyFont="1" applyFill="1" applyBorder="1"/>
    <xf numFmtId="165" fontId="5" fillId="8" borderId="1" xfId="0" applyNumberFormat="1" applyFont="1" applyFill="1" applyBorder="1"/>
    <xf numFmtId="165" fontId="5" fillId="9" borderId="1" xfId="0" applyNumberFormat="1" applyFont="1" applyFill="1" applyBorder="1"/>
    <xf numFmtId="165" fontId="4" fillId="6" borderId="1" xfId="0" applyNumberFormat="1" applyFont="1" applyFill="1" applyBorder="1"/>
    <xf numFmtId="165" fontId="5" fillId="7" borderId="1" xfId="0" applyNumberFormat="1" applyFont="1" applyFill="1" applyBorder="1"/>
    <xf numFmtId="165" fontId="1" fillId="5" borderId="1" xfId="0" applyNumberFormat="1" applyFont="1" applyFill="1" applyBorder="1" applyAlignment="1">
      <alignment horizontal="right"/>
    </xf>
    <xf numFmtId="165" fontId="0" fillId="0" borderId="1" xfId="0" applyNumberFormat="1" applyBorder="1"/>
    <xf numFmtId="0" fontId="11" fillId="2" borderId="1" xfId="0" applyFont="1" applyFill="1" applyBorder="1" applyAlignment="1">
      <alignment horizontal="center" vertical="center"/>
    </xf>
    <xf numFmtId="0" fontId="12" fillId="5" borderId="1" xfId="0" applyFont="1" applyFill="1" applyBorder="1"/>
    <xf numFmtId="0" fontId="12" fillId="6" borderId="1" xfId="0" applyFont="1" applyFill="1" applyBorder="1"/>
    <xf numFmtId="0" fontId="12" fillId="5" borderId="1" xfId="0" applyFont="1" applyFill="1" applyBorder="1" applyAlignment="1">
      <alignment horizontal="left"/>
    </xf>
    <xf numFmtId="0" fontId="12" fillId="6" borderId="1" xfId="0" applyFont="1" applyFill="1" applyBorder="1" applyAlignment="1">
      <alignment horizontal="left"/>
    </xf>
    <xf numFmtId="0" fontId="12" fillId="0" borderId="1" xfId="0" applyFont="1" applyBorder="1"/>
    <xf numFmtId="2" fontId="0" fillId="5" borderId="1" xfId="0" applyNumberFormat="1" applyFill="1" applyBorder="1"/>
    <xf numFmtId="14" fontId="0" fillId="5" borderId="1" xfId="0" applyNumberFormat="1" applyFill="1" applyBorder="1"/>
    <xf numFmtId="164" fontId="0" fillId="5" borderId="1" xfId="0" applyNumberFormat="1" applyFill="1" applyBorder="1"/>
    <xf numFmtId="164" fontId="2" fillId="4" borderId="1" xfId="0" applyNumberFormat="1" applyFont="1" applyFill="1" applyBorder="1"/>
    <xf numFmtId="164" fontId="0" fillId="0" borderId="1" xfId="0" applyNumberFormat="1" applyBorder="1"/>
    <xf numFmtId="0" fontId="13" fillId="6" borderId="1" xfId="0" applyFont="1" applyFill="1" applyBorder="1"/>
    <xf numFmtId="0" fontId="14" fillId="5" borderId="1" xfId="0" applyFont="1" applyFill="1" applyBorder="1"/>
    <xf numFmtId="0" fontId="0" fillId="0" borderId="0" xfId="0" applyAlignment="1">
      <alignment horizontal="left"/>
    </xf>
    <xf numFmtId="14" fontId="2" fillId="4" borderId="2" xfId="0" applyNumberFormat="1" applyFont="1" applyFill="1" applyBorder="1"/>
    <xf numFmtId="14" fontId="0" fillId="5" borderId="2" xfId="0" applyNumberFormat="1" applyFill="1" applyBorder="1"/>
    <xf numFmtId="14" fontId="0" fillId="0" borderId="2" xfId="0" applyNumberFormat="1" applyBorder="1"/>
    <xf numFmtId="0" fontId="0" fillId="0" borderId="0" xfId="0" pivotButton="1"/>
    <xf numFmtId="0" fontId="0" fillId="0" borderId="0" xfId="0" applyAlignment="1">
      <alignment horizontal="left" indent="1"/>
    </xf>
    <xf numFmtId="166" fontId="0" fillId="0" borderId="0" xfId="0" applyNumberFormat="1"/>
    <xf numFmtId="0" fontId="0" fillId="5" borderId="0" xfId="0" applyFill="1"/>
    <xf numFmtId="0" fontId="0" fillId="13" borderId="0" xfId="0" applyFill="1"/>
    <xf numFmtId="0" fontId="5" fillId="13" borderId="0" xfId="0" applyFont="1" applyFill="1"/>
    <xf numFmtId="0" fontId="15" fillId="13" borderId="0" xfId="0" applyFont="1" applyFill="1"/>
    <xf numFmtId="0" fontId="0" fillId="14" borderId="0" xfId="0" applyFill="1"/>
  </cellXfs>
  <cellStyles count="1">
    <cellStyle name="Normal" xfId="0" builtinId="0"/>
  </cellStyles>
  <dxfs count="187">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font>
        <u/>
      </font>
      <fill>
        <patternFill patternType="none"/>
      </fill>
    </dxf>
    <dxf>
      <font>
        <u/>
      </font>
      <fill>
        <patternFill patternType="none"/>
      </fill>
    </dxf>
    <dxf>
      <numFmt numFmtId="166" formatCode="&quot;$&quot;#,##0"/>
    </dxf>
    <dxf>
      <numFmt numFmtId="166" formatCode="&quot;$&quot;#,##0"/>
    </dxf>
    <dxf>
      <numFmt numFmtId="166" formatCode="&quot;$&quot;#,##0"/>
    </dxf>
  </dxfs>
  <tableStyles count="0" defaultTableStyle="TableStyleMedium2" defaultPivotStyle="PivotStyleLight16"/>
  <colors>
    <mruColors>
      <color rgb="FFDAE2F2"/>
      <color rgb="FF5A99D3"/>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[Project.xlsx]Pivotable!PivotTable2</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Profit</a:t>
            </a:r>
            <a:r>
              <a:rPr lang="en-US" baseline="0"/>
              <a:t> per Region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Pivotable!$B$3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082A-0A42-A6DC-F56D59CEEFC4}"/>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082A-0A42-A6DC-F56D59CEEFC4}"/>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082A-0A42-A6DC-F56D59CEEFC4}"/>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082A-0A42-A6DC-F56D59CEEFC4}"/>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296-0D4D-930D-B6BB810D5F57}"/>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Pivotable!$A$4:$A$9</c:f>
              <c:strCache>
                <c:ptCount val="5"/>
                <c:pt idx="0">
                  <c:v>East</c:v>
                </c:pt>
                <c:pt idx="1">
                  <c:v>North</c:v>
                </c:pt>
                <c:pt idx="2">
                  <c:v>South</c:v>
                </c:pt>
                <c:pt idx="3">
                  <c:v>West</c:v>
                </c:pt>
                <c:pt idx="4">
                  <c:v>Central</c:v>
                </c:pt>
              </c:strCache>
            </c:strRef>
          </c:cat>
          <c:val>
            <c:numRef>
              <c:f>Pivotable!$B$4:$B$9</c:f>
              <c:numCache>
                <c:formatCode>"$"#,##0</c:formatCode>
                <c:ptCount val="5"/>
                <c:pt idx="0">
                  <c:v>815917.5</c:v>
                </c:pt>
                <c:pt idx="1">
                  <c:v>443158</c:v>
                </c:pt>
                <c:pt idx="2">
                  <c:v>1347731</c:v>
                </c:pt>
                <c:pt idx="3">
                  <c:v>1472832</c:v>
                </c:pt>
                <c:pt idx="4">
                  <c:v>497454</c:v>
                </c:pt>
              </c:numCache>
            </c:numRef>
          </c:val>
          <c:extLst>
            <c:ext xmlns:c16="http://schemas.microsoft.com/office/drawing/2014/chart" uri="{C3380CC4-5D6E-409C-BE32-E72D297353CC}">
              <c16:uniqueId val="{00000000-082A-0A42-A6DC-F56D59CEEFC4}"/>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per gender &amp;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pivotFmt>
      <c:pivotFmt>
        <c:idx val="10"/>
        <c:spPr>
          <a:solidFill>
            <a:srgbClr val="FFFF00"/>
          </a:solidFill>
          <a:ln>
            <a:noFill/>
          </a:ln>
          <a:effectLst/>
        </c:spPr>
      </c:pivotFmt>
      <c:pivotFmt>
        <c:idx val="11"/>
        <c:spPr>
          <a:solidFill>
            <a:srgbClr val="FFFF00"/>
          </a:solidFill>
          <a:ln>
            <a:noFill/>
          </a:ln>
          <a:effectLst/>
        </c:spPr>
      </c:pivotFmt>
      <c:pivotFmt>
        <c:idx val="12"/>
        <c:spPr>
          <a:solidFill>
            <a:schemeClr val="accent1">
              <a:lumMod val="60000"/>
              <a:lumOff val="40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lumMod val="60000"/>
              <a:lumOff val="40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4">
              <a:lumMod val="60000"/>
              <a:lumOff val="40000"/>
            </a:schemeClr>
          </a:solidFill>
          <a:ln>
            <a:noFill/>
          </a:ln>
          <a:effectLst/>
        </c:spPr>
      </c:pivotFmt>
      <c:pivotFmt>
        <c:idx val="19"/>
        <c:spPr>
          <a:solidFill>
            <a:schemeClr val="accent1">
              <a:lumMod val="60000"/>
              <a:lumOff val="40000"/>
            </a:schemeClr>
          </a:solidFill>
          <a:ln>
            <a:noFill/>
          </a:ln>
          <a:effectLst/>
        </c:spPr>
      </c:pivotFmt>
      <c:pivotFmt>
        <c:idx val="20"/>
        <c:spPr>
          <a:solidFill>
            <a:schemeClr val="accent1">
              <a:lumMod val="60000"/>
              <a:lumOff val="40000"/>
            </a:schemeClr>
          </a:solidFill>
          <a:ln>
            <a:noFill/>
          </a:ln>
          <a:effectLst/>
        </c:spPr>
      </c:pivotFmt>
      <c:pivotFmt>
        <c:idx val="21"/>
        <c:spPr>
          <a:solidFill>
            <a:schemeClr val="accent4">
              <a:lumMod val="60000"/>
              <a:lumOff val="40000"/>
            </a:schemeClr>
          </a:solidFill>
          <a:ln>
            <a:noFill/>
          </a:ln>
          <a:effectLst/>
        </c:spPr>
      </c:pivotFmt>
    </c:pivotFmts>
    <c:plotArea>
      <c:layout/>
      <c:barChart>
        <c:barDir val="col"/>
        <c:grouping val="stacked"/>
        <c:varyColors val="0"/>
        <c:ser>
          <c:idx val="0"/>
          <c:order val="0"/>
          <c:tx>
            <c:strRef>
              <c:f>Pivotable!$B$27</c:f>
              <c:strCache>
                <c:ptCount val="1"/>
                <c:pt idx="0">
                  <c:v>Total</c:v>
                </c:pt>
              </c:strCache>
            </c:strRef>
          </c:tx>
          <c:spPr>
            <a:solidFill>
              <a:schemeClr val="accent6"/>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B557-DE49-B76D-C9C3266208D7}"/>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C-B557-DE49-B76D-C9C3266208D7}"/>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A-B557-DE49-B76D-C9C3266208D7}"/>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7-CB8D-DC4D-A449-3CE8B9C63535}"/>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9-CB8D-DC4D-A449-3CE8B9C63535}"/>
              </c:ext>
            </c:extLst>
          </c:dPt>
          <c:dPt>
            <c:idx val="5"/>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B-CB8D-DC4D-A449-3CE8B9C63535}"/>
              </c:ext>
            </c:extLst>
          </c:dPt>
          <c:cat>
            <c:multiLvlStrRef>
              <c:f>Pivotable!$A$28:$A$37</c:f>
              <c:multiLvlStrCache>
                <c:ptCount val="6"/>
                <c:lvl>
                  <c:pt idx="0">
                    <c:v>Female</c:v>
                  </c:pt>
                  <c:pt idx="1">
                    <c:v>Male</c:v>
                  </c:pt>
                  <c:pt idx="2">
                    <c:v>Female</c:v>
                  </c:pt>
                  <c:pt idx="3">
                    <c:v>Male</c:v>
                  </c:pt>
                  <c:pt idx="4">
                    <c:v>Female</c:v>
                  </c:pt>
                  <c:pt idx="5">
                    <c:v>Male</c:v>
                  </c:pt>
                </c:lvl>
                <c:lvl>
                  <c:pt idx="0">
                    <c:v>Young</c:v>
                  </c:pt>
                  <c:pt idx="2">
                    <c:v>Old</c:v>
                  </c:pt>
                  <c:pt idx="4">
                    <c:v>Middle Age</c:v>
                  </c:pt>
                </c:lvl>
              </c:multiLvlStrCache>
            </c:multiLvlStrRef>
          </c:cat>
          <c:val>
            <c:numRef>
              <c:f>Pivotable!$B$28:$B$37</c:f>
              <c:numCache>
                <c:formatCode>"$"#,##0</c:formatCode>
                <c:ptCount val="6"/>
                <c:pt idx="0">
                  <c:v>1039173</c:v>
                </c:pt>
                <c:pt idx="1">
                  <c:v>915373</c:v>
                </c:pt>
                <c:pt idx="2">
                  <c:v>686643</c:v>
                </c:pt>
                <c:pt idx="3">
                  <c:v>490162</c:v>
                </c:pt>
                <c:pt idx="4">
                  <c:v>834956</c:v>
                </c:pt>
                <c:pt idx="5">
                  <c:v>610785.5</c:v>
                </c:pt>
              </c:numCache>
            </c:numRef>
          </c:val>
          <c:extLst>
            <c:ext xmlns:c16="http://schemas.microsoft.com/office/drawing/2014/chart" uri="{C3380CC4-5D6E-409C-BE32-E72D297353CC}">
              <c16:uniqueId val="{00000000-B557-DE49-B76D-C9C3266208D7}"/>
            </c:ext>
          </c:extLst>
        </c:ser>
        <c:dLbls>
          <c:showLegendKey val="0"/>
          <c:showVal val="0"/>
          <c:showCatName val="0"/>
          <c:showSerName val="0"/>
          <c:showPercent val="0"/>
          <c:showBubbleSize val="0"/>
        </c:dLbls>
        <c:gapWidth val="150"/>
        <c:overlap val="100"/>
        <c:axId val="1317465568"/>
        <c:axId val="1317467280"/>
      </c:barChart>
      <c:catAx>
        <c:axId val="131746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467280"/>
        <c:crosses val="autoZero"/>
        <c:auto val="1"/>
        <c:lblAlgn val="ctr"/>
        <c:lblOffset val="100"/>
        <c:noMultiLvlLbl val="0"/>
      </c:catAx>
      <c:valAx>
        <c:axId val="1317467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46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[Project.xlsx]Pivotable!PivotTable6</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Profit</a:t>
            </a:r>
            <a:r>
              <a:rPr lang="en-US" baseline="0"/>
              <a:t> per month</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6.731716875833467E-2"/>
              <c:y val="-6.78346004700642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4291627764787547E-2"/>
                  <c:h val="5.951080583012229E-2"/>
                </c:manualLayout>
              </c15:layout>
            </c:ext>
          </c:extLst>
        </c:dLbl>
      </c:pivotFmt>
      <c:pivotFmt>
        <c:idx val="2"/>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7.5092017284960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6.7323431728554595E-2"/>
              <c:y val="6.79557216310336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5.0061344856640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7.9842496755275993E-2"/>
              <c:y val="-4.1717787380533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888796810603722E-2"/>
              <c:y val="9.2261384910570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8884329810195146E-2"/>
              <c:y val="6.396949495735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4.1717787380533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4683710808670072E-2"/>
              <c:y val="-5.8404902332746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733E-2"/>
              <c:y val="5.4233123594693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4683710808670231E-2"/>
              <c:y val="-6.2576681070800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1.738201371318918E-2"/>
              <c:y val="5.0061344856640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cmpd="sng" algn="ctr">
            <a:solidFill>
              <a:schemeClr val="accent6"/>
            </a:solidFill>
            <a:round/>
          </a:ln>
          <a:effectLst/>
        </c:spPr>
        <c:marker>
          <c:spPr>
            <a:solidFill>
              <a:schemeClr val="accent6"/>
            </a:solidFill>
            <a:ln w="9525" cap="flat" cmpd="sng" algn="ctr">
              <a:solidFill>
                <a:schemeClr val="accent6"/>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cmpd="sng" algn="ctr">
            <a:solidFill>
              <a:schemeClr val="accent6"/>
            </a:solidFill>
            <a:round/>
          </a:ln>
          <a:effectLst/>
        </c:spPr>
        <c:marker>
          <c:spPr>
            <a:solidFill>
              <a:schemeClr val="accent6"/>
            </a:solidFill>
            <a:ln w="9525" cap="flat" cmpd="sng" algn="ctr">
              <a:solidFill>
                <a:schemeClr val="accent6"/>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Pivotable!$B$49</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Pt>
            <c:idx val="0"/>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3-C0E1-C84C-91E4-4A03CAFFB78F}"/>
              </c:ext>
            </c:extLst>
          </c:dPt>
          <c:dPt>
            <c:idx val="1"/>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2-C0E1-C84C-91E4-4A03CAFFB78F}"/>
              </c:ext>
            </c:extLst>
          </c:dPt>
          <c:dPt>
            <c:idx val="2"/>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4-C0E1-C84C-91E4-4A03CAFFB78F}"/>
              </c:ext>
            </c:extLst>
          </c:dPt>
          <c:dPt>
            <c:idx val="3"/>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5-C0E1-C84C-91E4-4A03CAFFB78F}"/>
              </c:ext>
            </c:extLst>
          </c:dPt>
          <c:dPt>
            <c:idx val="4"/>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6-C0E1-C84C-91E4-4A03CAFFB78F}"/>
              </c:ext>
            </c:extLst>
          </c:dPt>
          <c:dPt>
            <c:idx val="5"/>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7-C0E1-C84C-91E4-4A03CAFFB78F}"/>
              </c:ext>
            </c:extLst>
          </c:dPt>
          <c:dPt>
            <c:idx val="6"/>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8-C0E1-C84C-91E4-4A03CAFFB78F}"/>
              </c:ext>
            </c:extLst>
          </c:dPt>
          <c:dPt>
            <c:idx val="7"/>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9-C0E1-C84C-91E4-4A03CAFFB78F}"/>
              </c:ext>
            </c:extLst>
          </c:dPt>
          <c:dPt>
            <c:idx val="8"/>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A-C0E1-C84C-91E4-4A03CAFFB78F}"/>
              </c:ext>
            </c:extLst>
          </c:dPt>
          <c:dPt>
            <c:idx val="9"/>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B-C0E1-C84C-91E4-4A03CAFFB78F}"/>
              </c:ext>
            </c:extLst>
          </c:dPt>
          <c:dPt>
            <c:idx val="10"/>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C-C0E1-C84C-91E4-4A03CAFFB78F}"/>
              </c:ext>
            </c:extLst>
          </c:dPt>
          <c:dPt>
            <c:idx val="11"/>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D-C0E1-C84C-91E4-4A03CAFFB78F}"/>
              </c:ext>
            </c:extLst>
          </c:dPt>
          <c:dLbls>
            <c:dLbl>
              <c:idx val="0"/>
              <c:layout>
                <c:manualLayout>
                  <c:x val="-5.2587145313119581E-2"/>
                  <c:y val="7.50920172849604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E1-C84C-91E4-4A03CAFFB78F}"/>
                </c:ext>
              </c:extLst>
            </c:dLbl>
            <c:dLbl>
              <c:idx val="1"/>
              <c:layout>
                <c:manualLayout>
                  <c:x val="-6.731716875833467E-2"/>
                  <c:y val="-6.7834600470064205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8.4291627764787547E-2"/>
                      <c:h val="5.951080583012229E-2"/>
                    </c:manualLayout>
                  </c15:layout>
                </c:ext>
                <c:ext xmlns:c16="http://schemas.microsoft.com/office/drawing/2014/chart" uri="{C3380CC4-5D6E-409C-BE32-E72D297353CC}">
                  <c16:uniqueId val="{00000002-C0E1-C84C-91E4-4A03CAFFB78F}"/>
                </c:ext>
              </c:extLst>
            </c:dLbl>
            <c:dLbl>
              <c:idx val="2"/>
              <c:layout>
                <c:manualLayout>
                  <c:x val="-6.7323431728554595E-2"/>
                  <c:y val="6.79557216310336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0E1-C84C-91E4-4A03CAFFB78F}"/>
                </c:ext>
              </c:extLst>
            </c:dLbl>
            <c:dLbl>
              <c:idx val="3"/>
              <c:layout>
                <c:manualLayout>
                  <c:x val="-5.2587145313119581E-2"/>
                  <c:y val="5.00613448566402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E1-C84C-91E4-4A03CAFFB78F}"/>
                </c:ext>
              </c:extLst>
            </c:dLbl>
            <c:dLbl>
              <c:idx val="4"/>
              <c:layout>
                <c:manualLayout>
                  <c:x val="-7.9842496755275993E-2"/>
                  <c:y val="-4.1717787380533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0E1-C84C-91E4-4A03CAFFB78F}"/>
                </c:ext>
              </c:extLst>
            </c:dLbl>
            <c:dLbl>
              <c:idx val="5"/>
              <c:layout>
                <c:manualLayout>
                  <c:x val="-5.888796810603722E-2"/>
                  <c:y val="9.22613849105705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0E1-C84C-91E4-4A03CAFFB78F}"/>
                </c:ext>
              </c:extLst>
            </c:dLbl>
            <c:dLbl>
              <c:idx val="6"/>
              <c:layout>
                <c:manualLayout>
                  <c:x val="-5.8884329810195146E-2"/>
                  <c:y val="6.396949495735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0E1-C84C-91E4-4A03CAFFB78F}"/>
                </c:ext>
              </c:extLst>
            </c:dLbl>
            <c:dLbl>
              <c:idx val="7"/>
              <c:layout>
                <c:manualLayout>
                  <c:x val="-5.2587145313119581E-2"/>
                  <c:y val="4.1717787380533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0E1-C84C-91E4-4A03CAFFB78F}"/>
                </c:ext>
              </c:extLst>
            </c:dLbl>
            <c:dLbl>
              <c:idx val="8"/>
              <c:layout>
                <c:manualLayout>
                  <c:x val="-5.4683710808670072E-2"/>
                  <c:y val="-5.84049023327469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0E1-C84C-91E4-4A03CAFFB78F}"/>
                </c:ext>
              </c:extLst>
            </c:dLbl>
            <c:dLbl>
              <c:idx val="9"/>
              <c:layout>
                <c:manualLayout>
                  <c:x val="-5.2587145313119733E-2"/>
                  <c:y val="5.42331235946936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0E1-C84C-91E4-4A03CAFFB78F}"/>
                </c:ext>
              </c:extLst>
            </c:dLbl>
            <c:dLbl>
              <c:idx val="10"/>
              <c:layout>
                <c:manualLayout>
                  <c:x val="-5.4683710808670231E-2"/>
                  <c:y val="-6.25766810708003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0E1-C84C-91E4-4A03CAFFB78F}"/>
                </c:ext>
              </c:extLst>
            </c:dLbl>
            <c:dLbl>
              <c:idx val="11"/>
              <c:layout>
                <c:manualLayout>
                  <c:x val="-1.738201371318918E-2"/>
                  <c:y val="5.00613448566402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0E1-C84C-91E4-4A03CAFFB7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Pivotable!$A$50:$A$62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Pivotable!$B$50:$B$62</c:f>
              <c:numCache>
                <c:formatCode>"$"#,##0</c:formatCode>
                <c:ptCount val="12"/>
                <c:pt idx="0">
                  <c:v>408631.5</c:v>
                </c:pt>
                <c:pt idx="1">
                  <c:v>400836</c:v>
                </c:pt>
                <c:pt idx="2">
                  <c:v>468395</c:v>
                </c:pt>
                <c:pt idx="3">
                  <c:v>316769</c:v>
                </c:pt>
                <c:pt idx="4">
                  <c:v>370617</c:v>
                </c:pt>
                <c:pt idx="5">
                  <c:v>405114</c:v>
                </c:pt>
                <c:pt idx="6">
                  <c:v>459260</c:v>
                </c:pt>
                <c:pt idx="7">
                  <c:v>361280</c:v>
                </c:pt>
                <c:pt idx="8">
                  <c:v>375790</c:v>
                </c:pt>
                <c:pt idx="9">
                  <c:v>325739</c:v>
                </c:pt>
                <c:pt idx="10">
                  <c:v>365444</c:v>
                </c:pt>
                <c:pt idx="11">
                  <c:v>319217</c:v>
                </c:pt>
              </c:numCache>
            </c:numRef>
          </c:val>
          <c:smooth val="0"/>
          <c:extLst>
            <c:ext xmlns:c16="http://schemas.microsoft.com/office/drawing/2014/chart" uri="{C3380CC4-5D6E-409C-BE32-E72D297353CC}">
              <c16:uniqueId val="{00000000-C0E1-C84C-91E4-4A03CAFFB78F}"/>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706685888"/>
        <c:axId val="1706689904"/>
      </c:lineChart>
      <c:catAx>
        <c:axId val="170668588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06689904"/>
        <c:crosses val="autoZero"/>
        <c:auto val="1"/>
        <c:lblAlgn val="ctr"/>
        <c:lblOffset val="100"/>
        <c:noMultiLvlLbl val="0"/>
      </c:catAx>
      <c:valAx>
        <c:axId val="170668990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06685888"/>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[Project.xlsx]Pivotable!PivotTable2</c:name>
    <c:fmtId val="1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Profit</a:t>
            </a:r>
            <a:r>
              <a:rPr lang="en-US" baseline="0"/>
              <a:t> per Region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pivotFmt>
      <c:pivotFmt>
        <c:idx val="1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Pivotable!$B$3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1ED-2342-BB0A-40B20FFCBA75}"/>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1ED-2342-BB0A-40B20FFCBA75}"/>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1ED-2342-BB0A-40B20FFCBA75}"/>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1ED-2342-BB0A-40B20FFCBA75}"/>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17F-F34A-ABAB-F1E9FFAC38EC}"/>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Pivotable!$A$4:$A$9</c:f>
              <c:strCache>
                <c:ptCount val="5"/>
                <c:pt idx="0">
                  <c:v>East</c:v>
                </c:pt>
                <c:pt idx="1">
                  <c:v>North</c:v>
                </c:pt>
                <c:pt idx="2">
                  <c:v>South</c:v>
                </c:pt>
                <c:pt idx="3">
                  <c:v>West</c:v>
                </c:pt>
                <c:pt idx="4">
                  <c:v>Central</c:v>
                </c:pt>
              </c:strCache>
            </c:strRef>
          </c:cat>
          <c:val>
            <c:numRef>
              <c:f>Pivotable!$B$4:$B$9</c:f>
              <c:numCache>
                <c:formatCode>"$"#,##0</c:formatCode>
                <c:ptCount val="5"/>
                <c:pt idx="0">
                  <c:v>815917.5</c:v>
                </c:pt>
                <c:pt idx="1">
                  <c:v>443158</c:v>
                </c:pt>
                <c:pt idx="2">
                  <c:v>1347731</c:v>
                </c:pt>
                <c:pt idx="3">
                  <c:v>1472832</c:v>
                </c:pt>
                <c:pt idx="4">
                  <c:v>497454</c:v>
                </c:pt>
              </c:numCache>
            </c:numRef>
          </c:val>
          <c:extLst>
            <c:ext xmlns:c16="http://schemas.microsoft.com/office/drawing/2014/chart" uri="{C3380CC4-5D6E-409C-BE32-E72D297353CC}">
              <c16:uniqueId val="{00000008-E1ED-2342-BB0A-40B20FFCBA75}"/>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b"/>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per gender &amp;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pivotFmt>
      <c:pivotFmt>
        <c:idx val="10"/>
        <c:spPr>
          <a:solidFill>
            <a:srgbClr val="FFFF00"/>
          </a:solidFill>
          <a:ln>
            <a:noFill/>
          </a:ln>
          <a:effectLst/>
        </c:spPr>
      </c:pivotFmt>
      <c:pivotFmt>
        <c:idx val="11"/>
        <c:spPr>
          <a:solidFill>
            <a:srgbClr val="FFFF00"/>
          </a:solidFill>
          <a:ln>
            <a:noFill/>
          </a:ln>
          <a:effectLst/>
        </c:spPr>
      </c:pivotFmt>
      <c:pivotFmt>
        <c:idx val="12"/>
        <c:spPr>
          <a:solidFill>
            <a:schemeClr val="accent1">
              <a:lumMod val="60000"/>
              <a:lumOff val="40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lumMod val="60000"/>
              <a:lumOff val="40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4">
              <a:lumMod val="60000"/>
              <a:lumOff val="40000"/>
            </a:schemeClr>
          </a:solidFill>
          <a:ln>
            <a:noFill/>
          </a:ln>
          <a:effectLst/>
        </c:spPr>
      </c:pivotFmt>
      <c:pivotFmt>
        <c:idx val="19"/>
        <c:spPr>
          <a:solidFill>
            <a:schemeClr val="accent1">
              <a:lumMod val="60000"/>
              <a:lumOff val="40000"/>
            </a:schemeClr>
          </a:solidFill>
          <a:ln>
            <a:noFill/>
          </a:ln>
          <a:effectLst/>
        </c:spPr>
      </c:pivotFmt>
      <c:pivotFmt>
        <c:idx val="20"/>
        <c:spPr>
          <a:solidFill>
            <a:schemeClr val="accent1">
              <a:lumMod val="60000"/>
              <a:lumOff val="40000"/>
            </a:schemeClr>
          </a:solidFill>
          <a:ln>
            <a:noFill/>
          </a:ln>
          <a:effectLst/>
        </c:spPr>
      </c:pivotFmt>
      <c:pivotFmt>
        <c:idx val="21"/>
        <c:spPr>
          <a:solidFill>
            <a:schemeClr val="accent4">
              <a:lumMod val="60000"/>
              <a:lumOff val="40000"/>
            </a:schemeClr>
          </a:solidFill>
          <a:ln>
            <a:noFill/>
          </a:ln>
          <a:effectLst/>
        </c:spPr>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lumMod val="60000"/>
              <a:lumOff val="40000"/>
            </a:schemeClr>
          </a:solidFill>
          <a:ln>
            <a:noFill/>
          </a:ln>
          <a:effectLst/>
        </c:spPr>
      </c:pivotFmt>
      <c:pivotFmt>
        <c:idx val="24"/>
        <c:spPr>
          <a:solidFill>
            <a:schemeClr val="accent1">
              <a:lumMod val="60000"/>
              <a:lumOff val="40000"/>
            </a:schemeClr>
          </a:solidFill>
          <a:ln>
            <a:noFill/>
          </a:ln>
          <a:effectLst/>
        </c:spPr>
      </c:pivotFmt>
      <c:pivotFmt>
        <c:idx val="25"/>
        <c:spPr>
          <a:solidFill>
            <a:schemeClr val="accent4">
              <a:lumMod val="60000"/>
              <a:lumOff val="40000"/>
            </a:schemeClr>
          </a:solidFill>
          <a:ln>
            <a:noFill/>
          </a:ln>
          <a:effectLst/>
        </c:spPr>
      </c:pivotFmt>
      <c:pivotFmt>
        <c:idx val="26"/>
        <c:spPr>
          <a:solidFill>
            <a:schemeClr val="accent1">
              <a:lumMod val="60000"/>
              <a:lumOff val="40000"/>
            </a:schemeClr>
          </a:solidFill>
          <a:ln>
            <a:noFill/>
          </a:ln>
          <a:effectLst/>
        </c:spPr>
      </c:pivotFmt>
      <c:pivotFmt>
        <c:idx val="27"/>
        <c:spPr>
          <a:solidFill>
            <a:schemeClr val="accent4">
              <a:lumMod val="60000"/>
              <a:lumOff val="40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lumMod val="60000"/>
              <a:lumOff val="40000"/>
            </a:schemeClr>
          </a:solidFill>
          <a:ln>
            <a:noFill/>
          </a:ln>
          <a:effectLst/>
        </c:spPr>
      </c:pivotFmt>
      <c:pivotFmt>
        <c:idx val="31"/>
        <c:spPr>
          <a:solidFill>
            <a:schemeClr val="accent1">
              <a:lumMod val="60000"/>
              <a:lumOff val="40000"/>
            </a:schemeClr>
          </a:solidFill>
          <a:ln>
            <a:noFill/>
          </a:ln>
          <a:effectLst/>
        </c:spPr>
      </c:pivotFmt>
      <c:pivotFmt>
        <c:idx val="32"/>
        <c:spPr>
          <a:solidFill>
            <a:schemeClr val="accent4">
              <a:lumMod val="60000"/>
              <a:lumOff val="40000"/>
            </a:schemeClr>
          </a:solidFill>
          <a:ln>
            <a:noFill/>
          </a:ln>
          <a:effectLst/>
        </c:spPr>
      </c:pivotFmt>
      <c:pivotFmt>
        <c:idx val="33"/>
        <c:spPr>
          <a:solidFill>
            <a:schemeClr val="accent1">
              <a:lumMod val="60000"/>
              <a:lumOff val="40000"/>
            </a:schemeClr>
          </a:solidFill>
          <a:ln>
            <a:noFill/>
          </a:ln>
          <a:effectLst/>
        </c:spPr>
      </c:pivotFmt>
      <c:pivotFmt>
        <c:idx val="34"/>
        <c:spPr>
          <a:solidFill>
            <a:schemeClr val="accent4">
              <a:lumMod val="60000"/>
              <a:lumOff val="40000"/>
            </a:schemeClr>
          </a:solidFill>
          <a:ln>
            <a:noFill/>
          </a:ln>
          <a:effectLst/>
        </c:spPr>
      </c:pivotFmt>
      <c:pivotFmt>
        <c:idx val="35"/>
        <c:spPr>
          <a:solidFill>
            <a:schemeClr val="accent1">
              <a:lumMod val="60000"/>
              <a:lumOff val="40000"/>
            </a:schemeClr>
          </a:solidFill>
          <a:ln>
            <a:noFill/>
          </a:ln>
          <a:effectLst/>
        </c:spPr>
      </c:pivotFmt>
    </c:pivotFmts>
    <c:plotArea>
      <c:layout/>
      <c:barChart>
        <c:barDir val="col"/>
        <c:grouping val="stacked"/>
        <c:varyColors val="0"/>
        <c:ser>
          <c:idx val="0"/>
          <c:order val="0"/>
          <c:tx>
            <c:strRef>
              <c:f>Pivotable!$B$27</c:f>
              <c:strCache>
                <c:ptCount val="1"/>
                <c:pt idx="0">
                  <c:v>Total</c:v>
                </c:pt>
              </c:strCache>
            </c:strRef>
          </c:tx>
          <c:spPr>
            <a:solidFill>
              <a:schemeClr val="accent6"/>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5BC9-BC46-95A4-566A7C32ECCC}"/>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5BC9-BC46-95A4-566A7C32ECCC}"/>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5BC9-BC46-95A4-566A7C32ECCC}"/>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7-5BC9-BC46-95A4-566A7C32ECCC}"/>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9-5BC9-BC46-95A4-566A7C32ECCC}"/>
              </c:ext>
            </c:extLst>
          </c:dPt>
          <c:dPt>
            <c:idx val="5"/>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B-5BC9-BC46-95A4-566A7C32ECCC}"/>
              </c:ext>
            </c:extLst>
          </c:dPt>
          <c:cat>
            <c:multiLvlStrRef>
              <c:f>Pivotable!$A$28:$A$37</c:f>
              <c:multiLvlStrCache>
                <c:ptCount val="6"/>
                <c:lvl>
                  <c:pt idx="0">
                    <c:v>Female</c:v>
                  </c:pt>
                  <c:pt idx="1">
                    <c:v>Male</c:v>
                  </c:pt>
                  <c:pt idx="2">
                    <c:v>Female</c:v>
                  </c:pt>
                  <c:pt idx="3">
                    <c:v>Male</c:v>
                  </c:pt>
                  <c:pt idx="4">
                    <c:v>Female</c:v>
                  </c:pt>
                  <c:pt idx="5">
                    <c:v>Male</c:v>
                  </c:pt>
                </c:lvl>
                <c:lvl>
                  <c:pt idx="0">
                    <c:v>Young</c:v>
                  </c:pt>
                  <c:pt idx="2">
                    <c:v>Old</c:v>
                  </c:pt>
                  <c:pt idx="4">
                    <c:v>Middle Age</c:v>
                  </c:pt>
                </c:lvl>
              </c:multiLvlStrCache>
            </c:multiLvlStrRef>
          </c:cat>
          <c:val>
            <c:numRef>
              <c:f>Pivotable!$B$28:$B$37</c:f>
              <c:numCache>
                <c:formatCode>"$"#,##0</c:formatCode>
                <c:ptCount val="6"/>
                <c:pt idx="0">
                  <c:v>1039173</c:v>
                </c:pt>
                <c:pt idx="1">
                  <c:v>915373</c:v>
                </c:pt>
                <c:pt idx="2">
                  <c:v>686643</c:v>
                </c:pt>
                <c:pt idx="3">
                  <c:v>490162</c:v>
                </c:pt>
                <c:pt idx="4">
                  <c:v>834956</c:v>
                </c:pt>
                <c:pt idx="5">
                  <c:v>610785.5</c:v>
                </c:pt>
              </c:numCache>
            </c:numRef>
          </c:val>
          <c:extLst>
            <c:ext xmlns:c16="http://schemas.microsoft.com/office/drawing/2014/chart" uri="{C3380CC4-5D6E-409C-BE32-E72D297353CC}">
              <c16:uniqueId val="{0000000C-5BC9-BC46-95A4-566A7C32ECCC}"/>
            </c:ext>
          </c:extLst>
        </c:ser>
        <c:dLbls>
          <c:showLegendKey val="0"/>
          <c:showVal val="0"/>
          <c:showCatName val="0"/>
          <c:showSerName val="0"/>
          <c:showPercent val="0"/>
          <c:showBubbleSize val="0"/>
        </c:dLbls>
        <c:gapWidth val="150"/>
        <c:overlap val="100"/>
        <c:axId val="1317465568"/>
        <c:axId val="1317467280"/>
      </c:barChart>
      <c:catAx>
        <c:axId val="131746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467280"/>
        <c:crosses val="autoZero"/>
        <c:auto val="1"/>
        <c:lblAlgn val="ctr"/>
        <c:lblOffset val="100"/>
        <c:noMultiLvlLbl val="0"/>
      </c:catAx>
      <c:valAx>
        <c:axId val="1317467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46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[Project.xlsx]Pivotable!PivotTable6</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Profit</a:t>
            </a:r>
            <a:r>
              <a:rPr lang="en-US" baseline="0"/>
              <a:t> per month</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6.731716875833467E-2"/>
              <c:y val="-6.78346004700642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4291627764787547E-2"/>
                  <c:h val="5.951080583012229E-2"/>
                </c:manualLayout>
              </c15:layout>
            </c:ext>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7.5092017284960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6.7323431728554595E-2"/>
              <c:y val="6.79557216310336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5.0061344856640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7.9842496755275993E-2"/>
              <c:y val="-4.1717787380533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888796810603722E-2"/>
              <c:y val="9.2261384910570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8884329810195146E-2"/>
              <c:y val="6.396949495735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4.1717787380533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4683710808670072E-2"/>
              <c:y val="-5.8404902332746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733E-2"/>
              <c:y val="5.4233123594693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4683710808670231E-2"/>
              <c:y val="-6.2576681070800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1.738201371318918E-2"/>
              <c:y val="5.0061344856640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7.5092017284960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6.731716875833467E-2"/>
              <c:y val="-6.78346004700642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4291627764787547E-2"/>
                  <c:h val="5.951080583012229E-2"/>
                </c:manualLayout>
              </c15:layout>
            </c:ext>
          </c:extLst>
        </c:dLbl>
      </c:pivotFmt>
      <c:pivotFmt>
        <c:idx val="1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6.7323431728554595E-2"/>
              <c:y val="6.79557216310336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5.0061344856640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7.9842496755275993E-2"/>
              <c:y val="-4.1717787380533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888796810603722E-2"/>
              <c:y val="9.2261384910570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8884329810195146E-2"/>
              <c:y val="6.396949495735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4.1717787380533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4683710808670072E-2"/>
              <c:y val="-5.8404902332746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733E-2"/>
              <c:y val="5.4233123594693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4683710808670231E-2"/>
              <c:y val="-6.2576681070800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1.738201371318918E-2"/>
              <c:y val="5.0061344856640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7.5092017284960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6.731716875833467E-2"/>
              <c:y val="-6.78346004700642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4291627764787547E-2"/>
                  <c:h val="5.951080583012229E-2"/>
                </c:manualLayout>
              </c15:layout>
            </c:ext>
          </c:extLst>
        </c:dLbl>
      </c:pivotFmt>
      <c:pivotFmt>
        <c:idx val="29"/>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6.7323431728554595E-2"/>
              <c:y val="6.79557216310336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5.0061344856640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7.9842496755275993E-2"/>
              <c:y val="-4.1717787380533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888796810603722E-2"/>
              <c:y val="9.2261384910570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8884329810195146E-2"/>
              <c:y val="6.396949495735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4.1717787380533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4683710808670072E-2"/>
              <c:y val="-5.8404902332746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733E-2"/>
              <c:y val="5.4233123594693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4683710808670231E-2"/>
              <c:y val="-6.2576681070800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1.738201371318918E-2"/>
              <c:y val="5.0061344856640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0"/>
        <c:spPr>
          <a:ln w="22225" cap="rnd" cmpd="sng" algn="ctr">
            <a:solidFill>
              <a:schemeClr val="accent6"/>
            </a:solidFill>
            <a:round/>
          </a:ln>
          <a:effectLst/>
        </c:spPr>
        <c:marker>
          <c:spPr>
            <a:solidFill>
              <a:schemeClr val="accent6"/>
            </a:solidFill>
            <a:ln w="9525" cap="flat" cmpd="sng" algn="ctr">
              <a:solidFill>
                <a:schemeClr val="accent6"/>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ln w="22225" cap="rnd" cmpd="sng" algn="ctr">
            <a:solidFill>
              <a:schemeClr val="accent6"/>
            </a:solidFill>
            <a:round/>
          </a:ln>
          <a:effectLst/>
        </c:spPr>
        <c:marker>
          <c:spPr>
            <a:solidFill>
              <a:schemeClr val="accent6"/>
            </a:solidFill>
            <a:ln w="9525" cap="flat" cmpd="sng" algn="ctr">
              <a:solidFill>
                <a:schemeClr val="accent6"/>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Pivotable!$B$49</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Pt>
            <c:idx val="0"/>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0-A087-0347-8064-EDC6D1AE9C3C}"/>
              </c:ext>
            </c:extLst>
          </c:dPt>
          <c:dPt>
            <c:idx val="1"/>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1-A087-0347-8064-EDC6D1AE9C3C}"/>
              </c:ext>
            </c:extLst>
          </c:dPt>
          <c:dPt>
            <c:idx val="2"/>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2-A087-0347-8064-EDC6D1AE9C3C}"/>
              </c:ext>
            </c:extLst>
          </c:dPt>
          <c:dPt>
            <c:idx val="3"/>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3-A087-0347-8064-EDC6D1AE9C3C}"/>
              </c:ext>
            </c:extLst>
          </c:dPt>
          <c:dPt>
            <c:idx val="4"/>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4-A087-0347-8064-EDC6D1AE9C3C}"/>
              </c:ext>
            </c:extLst>
          </c:dPt>
          <c:dPt>
            <c:idx val="5"/>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5-A087-0347-8064-EDC6D1AE9C3C}"/>
              </c:ext>
            </c:extLst>
          </c:dPt>
          <c:dPt>
            <c:idx val="6"/>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6-A087-0347-8064-EDC6D1AE9C3C}"/>
              </c:ext>
            </c:extLst>
          </c:dPt>
          <c:dPt>
            <c:idx val="7"/>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7-A087-0347-8064-EDC6D1AE9C3C}"/>
              </c:ext>
            </c:extLst>
          </c:dPt>
          <c:dPt>
            <c:idx val="8"/>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8-A087-0347-8064-EDC6D1AE9C3C}"/>
              </c:ext>
            </c:extLst>
          </c:dPt>
          <c:dPt>
            <c:idx val="9"/>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9-A087-0347-8064-EDC6D1AE9C3C}"/>
              </c:ext>
            </c:extLst>
          </c:dPt>
          <c:dPt>
            <c:idx val="10"/>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A-A087-0347-8064-EDC6D1AE9C3C}"/>
              </c:ext>
            </c:extLst>
          </c:dPt>
          <c:dPt>
            <c:idx val="11"/>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B-A087-0347-8064-EDC6D1AE9C3C}"/>
              </c:ext>
            </c:extLst>
          </c:dPt>
          <c:dLbls>
            <c:dLbl>
              <c:idx val="0"/>
              <c:layout>
                <c:manualLayout>
                  <c:x val="-5.2587145313119581E-2"/>
                  <c:y val="7.50920172849604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87-0347-8064-EDC6D1AE9C3C}"/>
                </c:ext>
              </c:extLst>
            </c:dLbl>
            <c:dLbl>
              <c:idx val="1"/>
              <c:layout>
                <c:manualLayout>
                  <c:x val="-6.731716875833467E-2"/>
                  <c:y val="-6.7834600470064205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8.4291627764787547E-2"/>
                      <c:h val="5.951080583012229E-2"/>
                    </c:manualLayout>
                  </c15:layout>
                </c:ext>
                <c:ext xmlns:c16="http://schemas.microsoft.com/office/drawing/2014/chart" uri="{C3380CC4-5D6E-409C-BE32-E72D297353CC}">
                  <c16:uniqueId val="{00000001-A087-0347-8064-EDC6D1AE9C3C}"/>
                </c:ext>
              </c:extLst>
            </c:dLbl>
            <c:dLbl>
              <c:idx val="2"/>
              <c:layout>
                <c:manualLayout>
                  <c:x val="-6.7323431728554595E-2"/>
                  <c:y val="6.79557216310336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87-0347-8064-EDC6D1AE9C3C}"/>
                </c:ext>
              </c:extLst>
            </c:dLbl>
            <c:dLbl>
              <c:idx val="3"/>
              <c:layout>
                <c:manualLayout>
                  <c:x val="-5.2587145313119581E-2"/>
                  <c:y val="5.00613448566402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87-0347-8064-EDC6D1AE9C3C}"/>
                </c:ext>
              </c:extLst>
            </c:dLbl>
            <c:dLbl>
              <c:idx val="4"/>
              <c:layout>
                <c:manualLayout>
                  <c:x val="-7.9842496755275993E-2"/>
                  <c:y val="-4.1717787380533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87-0347-8064-EDC6D1AE9C3C}"/>
                </c:ext>
              </c:extLst>
            </c:dLbl>
            <c:dLbl>
              <c:idx val="5"/>
              <c:layout>
                <c:manualLayout>
                  <c:x val="-5.888796810603722E-2"/>
                  <c:y val="9.22613849105705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87-0347-8064-EDC6D1AE9C3C}"/>
                </c:ext>
              </c:extLst>
            </c:dLbl>
            <c:dLbl>
              <c:idx val="6"/>
              <c:layout>
                <c:manualLayout>
                  <c:x val="-5.8884329810195146E-2"/>
                  <c:y val="6.396949495735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87-0347-8064-EDC6D1AE9C3C}"/>
                </c:ext>
              </c:extLst>
            </c:dLbl>
            <c:dLbl>
              <c:idx val="7"/>
              <c:layout>
                <c:manualLayout>
                  <c:x val="-5.2587145313119581E-2"/>
                  <c:y val="4.1717787380533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87-0347-8064-EDC6D1AE9C3C}"/>
                </c:ext>
              </c:extLst>
            </c:dLbl>
            <c:dLbl>
              <c:idx val="8"/>
              <c:layout>
                <c:manualLayout>
                  <c:x val="-5.4683710808670072E-2"/>
                  <c:y val="-5.84049023327469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087-0347-8064-EDC6D1AE9C3C}"/>
                </c:ext>
              </c:extLst>
            </c:dLbl>
            <c:dLbl>
              <c:idx val="9"/>
              <c:layout>
                <c:manualLayout>
                  <c:x val="-5.2587145313119733E-2"/>
                  <c:y val="5.42331235946936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087-0347-8064-EDC6D1AE9C3C}"/>
                </c:ext>
              </c:extLst>
            </c:dLbl>
            <c:dLbl>
              <c:idx val="10"/>
              <c:layout>
                <c:manualLayout>
                  <c:x val="-5.4683710808670231E-2"/>
                  <c:y val="-6.25766810708003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087-0347-8064-EDC6D1AE9C3C}"/>
                </c:ext>
              </c:extLst>
            </c:dLbl>
            <c:dLbl>
              <c:idx val="11"/>
              <c:layout>
                <c:manualLayout>
                  <c:x val="-1.738201371318918E-2"/>
                  <c:y val="5.00613448566402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087-0347-8064-EDC6D1AE9C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Pivotable!$A$50:$A$62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Pivotable!$B$50:$B$62</c:f>
              <c:numCache>
                <c:formatCode>"$"#,##0</c:formatCode>
                <c:ptCount val="12"/>
                <c:pt idx="0">
                  <c:v>408631.5</c:v>
                </c:pt>
                <c:pt idx="1">
                  <c:v>400836</c:v>
                </c:pt>
                <c:pt idx="2">
                  <c:v>468395</c:v>
                </c:pt>
                <c:pt idx="3">
                  <c:v>316769</c:v>
                </c:pt>
                <c:pt idx="4">
                  <c:v>370617</c:v>
                </c:pt>
                <c:pt idx="5">
                  <c:v>405114</c:v>
                </c:pt>
                <c:pt idx="6">
                  <c:v>459260</c:v>
                </c:pt>
                <c:pt idx="7">
                  <c:v>361280</c:v>
                </c:pt>
                <c:pt idx="8">
                  <c:v>375790</c:v>
                </c:pt>
                <c:pt idx="9">
                  <c:v>325739</c:v>
                </c:pt>
                <c:pt idx="10">
                  <c:v>365444</c:v>
                </c:pt>
                <c:pt idx="11">
                  <c:v>319217</c:v>
                </c:pt>
              </c:numCache>
            </c:numRef>
          </c:val>
          <c:smooth val="0"/>
          <c:extLst>
            <c:ext xmlns:c16="http://schemas.microsoft.com/office/drawing/2014/chart" uri="{C3380CC4-5D6E-409C-BE32-E72D297353CC}">
              <c16:uniqueId val="{0000000C-A087-0347-8064-EDC6D1AE9C3C}"/>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706685888"/>
        <c:axId val="1706689904"/>
      </c:lineChart>
      <c:catAx>
        <c:axId val="170668588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06689904"/>
        <c:crosses val="autoZero"/>
        <c:auto val="1"/>
        <c:lblAlgn val="ctr"/>
        <c:lblOffset val="100"/>
        <c:noMultiLvlLbl val="0"/>
      </c:catAx>
      <c:valAx>
        <c:axId val="170668990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06685888"/>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152400</xdr:colOff>
      <xdr:row>1</xdr:row>
      <xdr:rowOff>38100</xdr:rowOff>
    </xdr:from>
    <xdr:to>
      <xdr:col>9</xdr:col>
      <xdr:colOff>495300</xdr:colOff>
      <xdr:row>18</xdr:row>
      <xdr:rowOff>12700</xdr:rowOff>
    </xdr:to>
    <xdr:graphicFrame macro="">
      <xdr:nvGraphicFramePr>
        <xdr:cNvPr id="2" name="Chart 1">
          <a:extLst>
            <a:ext uri="{FF2B5EF4-FFF2-40B4-BE49-F238E27FC236}">
              <a16:creationId xmlns:a16="http://schemas.microsoft.com/office/drawing/2014/main" id="{3DCFD5CE-C3B8-F188-20C1-21B976627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234950</xdr:colOff>
      <xdr:row>24</xdr:row>
      <xdr:rowOff>88900</xdr:rowOff>
    </xdr:from>
    <xdr:to>
      <xdr:col>10</xdr:col>
      <xdr:colOff>171450</xdr:colOff>
      <xdr:row>38</xdr:row>
      <xdr:rowOff>165100</xdr:rowOff>
    </xdr:to>
    <xdr:graphicFrame macro="">
      <xdr:nvGraphicFramePr>
        <xdr:cNvPr id="6" name="Chart 5">
          <a:extLst>
            <a:ext uri="{FF2B5EF4-FFF2-40B4-BE49-F238E27FC236}">
              <a16:creationId xmlns:a16="http://schemas.microsoft.com/office/drawing/2014/main" id="{B64852F6-7B2A-D35D-A2D6-F12AA8B9A5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603250</xdr:colOff>
      <xdr:row>47</xdr:row>
      <xdr:rowOff>114300</xdr:rowOff>
    </xdr:from>
    <xdr:to>
      <xdr:col>10</xdr:col>
      <xdr:colOff>101600</xdr:colOff>
      <xdr:row>63</xdr:row>
      <xdr:rowOff>50800</xdr:rowOff>
    </xdr:to>
    <xdr:graphicFrame macro="">
      <xdr:nvGraphicFramePr>
        <xdr:cNvPr id="7" name="Chart 6">
          <a:extLst>
            <a:ext uri="{FF2B5EF4-FFF2-40B4-BE49-F238E27FC236}">
              <a16:creationId xmlns:a16="http://schemas.microsoft.com/office/drawing/2014/main" id="{9F25068A-091D-1DFF-6F24-080D077AC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621223</xdr:colOff>
      <xdr:row>6</xdr:row>
      <xdr:rowOff>16274</xdr:rowOff>
    </xdr:from>
    <xdr:to>
      <xdr:col>23</xdr:col>
      <xdr:colOff>824270</xdr:colOff>
      <xdr:row>35</xdr:row>
      <xdr:rowOff>177839</xdr:rowOff>
    </xdr:to>
    <xdr:graphicFrame macro="">
      <xdr:nvGraphicFramePr>
        <xdr:cNvPr id="2" name="Chart 1">
          <a:extLst>
            <a:ext uri="{FF2B5EF4-FFF2-40B4-BE49-F238E27FC236}">
              <a16:creationId xmlns:a16="http://schemas.microsoft.com/office/drawing/2014/main" id="{F8107481-4A28-884C-9D1E-21ABD75DF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395753</xdr:colOff>
      <xdr:row>5</xdr:row>
      <xdr:rowOff>174625</xdr:rowOff>
    </xdr:from>
    <xdr:to>
      <xdr:col>15</xdr:col>
      <xdr:colOff>594752</xdr:colOff>
      <xdr:row>20</xdr:row>
      <xdr:rowOff>60324</xdr:rowOff>
    </xdr:to>
    <xdr:graphicFrame macro="">
      <xdr:nvGraphicFramePr>
        <xdr:cNvPr id="3" name="Chart 2">
          <a:extLst>
            <a:ext uri="{FF2B5EF4-FFF2-40B4-BE49-F238E27FC236}">
              <a16:creationId xmlns:a16="http://schemas.microsoft.com/office/drawing/2014/main" id="{26DC9275-EB7E-C445-A997-8404FD1FB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382287</xdr:colOff>
      <xdr:row>20</xdr:row>
      <xdr:rowOff>55429</xdr:rowOff>
    </xdr:from>
    <xdr:to>
      <xdr:col>15</xdr:col>
      <xdr:colOff>594751</xdr:colOff>
      <xdr:row>35</xdr:row>
      <xdr:rowOff>182431</xdr:rowOff>
    </xdr:to>
    <xdr:graphicFrame macro="">
      <xdr:nvGraphicFramePr>
        <xdr:cNvPr id="4" name="Chart 3">
          <a:extLst>
            <a:ext uri="{FF2B5EF4-FFF2-40B4-BE49-F238E27FC236}">
              <a16:creationId xmlns:a16="http://schemas.microsoft.com/office/drawing/2014/main" id="{C1E020BD-8C97-D546-8775-03B558909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6</xdr:row>
      <xdr:rowOff>21044</xdr:rowOff>
    </xdr:from>
    <xdr:to>
      <xdr:col>5</xdr:col>
      <xdr:colOff>176270</xdr:colOff>
      <xdr:row>10</xdr:row>
      <xdr:rowOff>110647</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47F7B790-BBB0-1C66-380E-436CF76B0BB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76500" y="2100669"/>
              <a:ext cx="1827270" cy="8516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10</xdr:row>
      <xdr:rowOff>129053</xdr:rowOff>
    </xdr:from>
    <xdr:to>
      <xdr:col>5</xdr:col>
      <xdr:colOff>176270</xdr:colOff>
      <xdr:row>17</xdr:row>
      <xdr:rowOff>147885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B5DC7D1F-F178-1AF5-2245-C4D1572C31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76500" y="2970678"/>
              <a:ext cx="1827270" cy="1352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184058</xdr:colOff>
      <xdr:row>6</xdr:row>
      <xdr:rowOff>213</xdr:rowOff>
    </xdr:from>
    <xdr:to>
      <xdr:col>7</xdr:col>
      <xdr:colOff>362324</xdr:colOff>
      <xdr:row>18</xdr:row>
      <xdr:rowOff>143087</xdr:rowOff>
    </xdr:to>
    <mc:AlternateContent xmlns:mc="http://schemas.openxmlformats.org/markup-compatibility/2006" xmlns:a14="http://schemas.microsoft.com/office/drawing/2010/main">
      <mc:Choice Requires="a14">
        <xdr:graphicFrame macro="">
          <xdr:nvGraphicFramePr>
            <xdr:cNvPr id="10" name="Type of Business">
              <a:extLst>
                <a:ext uri="{FF2B5EF4-FFF2-40B4-BE49-F238E27FC236}">
                  <a16:creationId xmlns:a16="http://schemas.microsoft.com/office/drawing/2014/main" id="{ACD2BDB7-B1CA-FCBB-200D-89A3DDBE1B6C}"/>
                </a:ext>
              </a:extLst>
            </xdr:cNvPr>
            <xdr:cNvGraphicFramePr/>
          </xdr:nvGraphicFramePr>
          <xdr:xfrm>
            <a:off x="0" y="0"/>
            <a:ext cx="0" cy="0"/>
          </xdr:xfrm>
          <a:graphic>
            <a:graphicData uri="http://schemas.microsoft.com/office/drawing/2010/slicer">
              <sle:slicer xmlns:sle="http://schemas.microsoft.com/office/drawing/2010/slicer" name="Type of Business"/>
            </a:graphicData>
          </a:graphic>
        </xdr:graphicFrame>
      </mc:Choice>
      <mc:Fallback xmlns="">
        <xdr:sp macro="" textlink="">
          <xdr:nvSpPr>
            <xdr:cNvPr id="0" name=""/>
            <xdr:cNvSpPr>
              <a:spLocks noTextEdit="1"/>
            </xdr:cNvSpPr>
          </xdr:nvSpPr>
          <xdr:spPr>
            <a:xfrm>
              <a:off x="4311558" y="2079838"/>
              <a:ext cx="1829266" cy="2428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184056</xdr:colOff>
      <xdr:row>23</xdr:row>
      <xdr:rowOff>88815</xdr:rowOff>
    </xdr:from>
    <xdr:to>
      <xdr:col>7</xdr:col>
      <xdr:colOff>360327</xdr:colOff>
      <xdr:row>36</xdr:row>
      <xdr:rowOff>212</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F5F5BEEB-7861-B28A-6425-837B69DE6E5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311556" y="5406940"/>
              <a:ext cx="1827271" cy="23878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17</xdr:row>
      <xdr:rowOff>169544</xdr:rowOff>
    </xdr:from>
    <xdr:to>
      <xdr:col>5</xdr:col>
      <xdr:colOff>172278</xdr:colOff>
      <xdr:row>28</xdr:row>
      <xdr:rowOff>79588</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43EA3240-8163-9CCF-F710-CE9CCD9A408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476500" y="4344669"/>
              <a:ext cx="1823278" cy="2005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210711</xdr:colOff>
      <xdr:row>18</xdr:row>
      <xdr:rowOff>136703</xdr:rowOff>
    </xdr:from>
    <xdr:to>
      <xdr:col>7</xdr:col>
      <xdr:colOff>380044</xdr:colOff>
      <xdr:row>23</xdr:row>
      <xdr:rowOff>55176</xdr:rowOff>
    </xdr:to>
    <mc:AlternateContent xmlns:mc="http://schemas.openxmlformats.org/markup-compatibility/2006" xmlns:a14="http://schemas.microsoft.com/office/drawing/2010/main">
      <mc:Choice Requires="a14">
        <xdr:graphicFrame macro="">
          <xdr:nvGraphicFramePr>
            <xdr:cNvPr id="7" name="Sing type">
              <a:extLst>
                <a:ext uri="{FF2B5EF4-FFF2-40B4-BE49-F238E27FC236}">
                  <a16:creationId xmlns:a16="http://schemas.microsoft.com/office/drawing/2014/main" id="{09613333-9C6E-03FC-3FAF-274160E598FC}"/>
                </a:ext>
              </a:extLst>
            </xdr:cNvPr>
            <xdr:cNvGraphicFramePr/>
          </xdr:nvGraphicFramePr>
          <xdr:xfrm>
            <a:off x="0" y="0"/>
            <a:ext cx="0" cy="0"/>
          </xdr:xfrm>
          <a:graphic>
            <a:graphicData uri="http://schemas.microsoft.com/office/drawing/2010/slicer">
              <sle:slicer xmlns:sle="http://schemas.microsoft.com/office/drawing/2010/slicer" name="Sing type"/>
            </a:graphicData>
          </a:graphic>
        </xdr:graphicFrame>
      </mc:Choice>
      <mc:Fallback xmlns="">
        <xdr:sp macro="" textlink="">
          <xdr:nvSpPr>
            <xdr:cNvPr id="0" name=""/>
            <xdr:cNvSpPr>
              <a:spLocks noTextEdit="1"/>
            </xdr:cNvSpPr>
          </xdr:nvSpPr>
          <xdr:spPr>
            <a:xfrm>
              <a:off x="4338211" y="4502328"/>
              <a:ext cx="1820333" cy="870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15875</xdr:colOff>
      <xdr:row>28</xdr:row>
      <xdr:rowOff>136738</xdr:rowOff>
    </xdr:from>
    <xdr:to>
      <xdr:col>5</xdr:col>
      <xdr:colOff>193675</xdr:colOff>
      <xdr:row>35</xdr:row>
      <xdr:rowOff>174838</xdr:rowOff>
    </xdr:to>
    <mc:AlternateContent xmlns:mc="http://schemas.openxmlformats.org/markup-compatibility/2006" xmlns:a14="http://schemas.microsoft.com/office/drawing/2010/main">
      <mc:Choice Requires="a14">
        <xdr:graphicFrame macro="">
          <xdr:nvGraphicFramePr>
            <xdr:cNvPr id="13" name="Order Source">
              <a:extLst>
                <a:ext uri="{FF2B5EF4-FFF2-40B4-BE49-F238E27FC236}">
                  <a16:creationId xmlns:a16="http://schemas.microsoft.com/office/drawing/2014/main" id="{43F77B17-5BD8-0AD2-65B4-2BA8BA8BDA1A}"/>
                </a:ext>
              </a:extLst>
            </xdr:cNvPr>
            <xdr:cNvGraphicFramePr/>
          </xdr:nvGraphicFramePr>
          <xdr:xfrm>
            <a:off x="0" y="0"/>
            <a:ext cx="0" cy="0"/>
          </xdr:xfrm>
          <a:graphic>
            <a:graphicData uri="http://schemas.microsoft.com/office/drawing/2010/slicer">
              <sle:slicer xmlns:sle="http://schemas.microsoft.com/office/drawing/2010/slicer" name="Order Source"/>
            </a:graphicData>
          </a:graphic>
        </xdr:graphicFrame>
      </mc:Choice>
      <mc:Fallback xmlns="">
        <xdr:sp macro="" textlink="">
          <xdr:nvSpPr>
            <xdr:cNvPr id="0" name=""/>
            <xdr:cNvSpPr>
              <a:spLocks noTextEdit="1"/>
            </xdr:cNvSpPr>
          </xdr:nvSpPr>
          <xdr:spPr>
            <a:xfrm>
              <a:off x="2492375" y="6407363"/>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eryna Sheptak" refreshedDate="46113.716831134261" createdVersion="8" refreshedVersion="8" minRefreshableVersion="3" recordCount="1174" xr:uid="{0D76A6B4-0E6C-4A4B-8AC8-80AB53730981}">
  <cacheSource type="worksheet">
    <worksheetSource ref="A1:X1048576" sheet="Work"/>
  </cacheSource>
  <cacheFields count="24">
    <cacheField name="Order Id" numFmtId="0">
      <sharedItems containsString="0" containsBlank="1" containsNumber="1" containsInteger="1" minValue="1" maxValue="1009"/>
    </cacheField>
    <cacheField name="Sign size" numFmtId="0">
      <sharedItems containsBlank="1"/>
    </cacheField>
    <cacheField name="Sing type" numFmtId="0">
      <sharedItems containsBlank="1" count="3">
        <s v="Insta Tag "/>
        <s v="Neon sing"/>
        <m/>
      </sharedItems>
    </cacheField>
    <cacheField name="Sign name" numFmtId="0">
      <sharedItems containsBlank="1"/>
    </cacheField>
    <cacheField name="Color" numFmtId="0">
      <sharedItems containsBlank="1"/>
    </cacheField>
    <cacheField name="First name" numFmtId="0">
      <sharedItems containsBlank="1"/>
    </cacheField>
    <cacheField name="Surname" numFmtId="0">
      <sharedItems containsBlank="1"/>
    </cacheField>
    <cacheField name="Gender" numFmtId="0">
      <sharedItems containsBlank="1" count="3">
        <s v="Female"/>
        <s v="Male"/>
        <m/>
      </sharedItems>
    </cacheField>
    <cacheField name="Age" numFmtId="0">
      <sharedItems containsString="0" containsBlank="1" containsNumber="1" containsInteger="1" minValue="19" maxValue="78"/>
    </cacheField>
    <cacheField name="Age Type" numFmtId="0">
      <sharedItems containsBlank="1" count="4">
        <s v="Young"/>
        <s v="Middle Age"/>
        <s v="Old"/>
        <m/>
      </sharedItems>
    </cacheField>
    <cacheField name="Quantity" numFmtId="0">
      <sharedItems containsString="0" containsBlank="1" containsNumber="1" containsInteger="1" minValue="1" maxValue="5"/>
    </cacheField>
    <cacheField name="Price" numFmtId="0">
      <sharedItems containsString="0" containsBlank="1" containsNumber="1" containsInteger="1" minValue="170" maxValue="23720"/>
    </cacheField>
    <cacheField name="Unit cost" numFmtId="0">
      <sharedItems containsString="0" containsBlank="1" containsNumber="1" minValue="50" maxValue="13900"/>
    </cacheField>
    <cacheField name="Revenue" numFmtId="0">
      <sharedItems containsString="0" containsBlank="1" containsNumber="1" containsInteger="1" minValue="170" maxValue="104200"/>
    </cacheField>
    <cacheField name="Profit" numFmtId="0">
      <sharedItems containsString="0" containsBlank="1" containsNumber="1" minValue="-4920" maxValue="41700"/>
    </cacheField>
    <cacheField name="City" numFmtId="0">
      <sharedItems containsBlank="1" count="46">
        <s v="Yevpatoria"/>
        <s v="Luhansk"/>
        <s v="Vinnytsia"/>
        <s v="Poltava"/>
        <s v="Mukachevo"/>
        <s v="Kolomyia"/>
        <s v="Alchevsk"/>
        <s v="Dnipro"/>
        <s v="Melitopol"/>
        <s v="Kropyvnytskyi"/>
        <s v="Kerch"/>
        <s v="Kyiv"/>
        <s v="Bila Tserkva"/>
        <s v="Pavlohrad"/>
        <s v="Kovel"/>
        <s v="Sevastopol"/>
        <s v="Lutsk"/>
        <s v="Kramatorsk"/>
        <s v="Kamianets-Podilskyi"/>
        <s v="Lviv"/>
        <s v="Odesa"/>
        <s v="Ternopil"/>
        <s v="Nikopol"/>
        <s v="Brovary"/>
        <s v="Rivne"/>
        <s v="Ivano-Frankivsk"/>
        <s v="Drohobych"/>
        <s v="Feodosia"/>
        <s v="Cherkasy"/>
        <s v="Kherson"/>
        <s v="Kryvyi Rih"/>
        <s v="Uzhhorod"/>
        <s v="Simferopol"/>
        <s v="Bakhmut"/>
        <s v="Sloviansk"/>
        <s v="Zaporizhzhia"/>
        <s v="Mariupol"/>
        <s v="Zhytomyr"/>
        <s v="Uman"/>
        <s v="Chernihiv"/>
        <s v="Chervonohrad"/>
        <s v="Mykolaiv"/>
        <s v="Berdyansk"/>
        <s v="Sumy"/>
        <s v="Kharkiv"/>
        <m/>
      </sharedItems>
    </cacheField>
    <cacheField name="Region" numFmtId="0">
      <sharedItems containsBlank="1" count="6">
        <s v="South"/>
        <s v="East"/>
        <s v="Central"/>
        <s v="West"/>
        <s v="North"/>
        <m/>
      </sharedItems>
    </cacheField>
    <cacheField name="Country" numFmtId="0">
      <sharedItems containsBlank="1"/>
    </cacheField>
    <cacheField name="Client Type" numFmtId="0">
      <sharedItems containsBlank="1"/>
    </cacheField>
    <cacheField name="Reapet Customer" numFmtId="0">
      <sharedItems containsBlank="1"/>
    </cacheField>
    <cacheField name="Type of Business" numFmtId="0">
      <sharedItems containsBlank="1" count="9">
        <s v="Beauty Salon"/>
        <s v="Restaurant"/>
        <s v="Retail Store"/>
        <s v="Coffee Shop"/>
        <s v="Cafe"/>
        <s v="Barbershop"/>
        <s v="Tattoo Studio"/>
        <s v="Gym"/>
        <m/>
      </sharedItems>
    </cacheField>
    <cacheField name="Order Source" numFmtId="0">
      <sharedItems containsBlank="1" count="5">
        <s v="Instagram"/>
        <s v="TikTok"/>
        <s v="Website"/>
        <s v="Referral"/>
        <m/>
      </sharedItems>
    </cacheField>
    <cacheField name="Order Date" numFmtId="0">
      <sharedItems containsNonDate="0" containsDate="1" containsString="0" containsBlank="1" minDate="2023-01-02T00:00:00" maxDate="2024-01-01T00:00:00"/>
    </cacheField>
    <cacheField name="Month" numFmtId="0">
      <sharedItems containsBlank="1" count="13">
        <s v="March"/>
        <s v="February"/>
        <s v="September"/>
        <s v="August"/>
        <s v="January"/>
        <s v="November"/>
        <s v="June"/>
        <s v="April"/>
        <s v="July"/>
        <s v="October"/>
        <s v="December"/>
        <s v="May"/>
        <m/>
      </sharedItems>
    </cacheField>
  </cacheFields>
  <extLst>
    <ext xmlns:x14="http://schemas.microsoft.com/office/spreadsheetml/2009/9/main" uri="{725AE2AE-9491-48be-B2B4-4EB974FC3084}">
      <x14:pivotCacheDefinition pivotCacheId="528917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4">
  <r>
    <n v="1"/>
    <s v="30х37"/>
    <x v="0"/>
    <s v="Qr code"/>
    <s v="Black"/>
    <s v="Olya"/>
    <s v="Shevchenko"/>
    <x v="0"/>
    <n v="33"/>
    <x v="0"/>
    <n v="3"/>
    <n v="1000"/>
    <n v="400"/>
    <n v="3000"/>
    <n v="1800"/>
    <x v="0"/>
    <x v="0"/>
    <s v="Ukraine"/>
    <s v="Business"/>
    <s v="No"/>
    <x v="0"/>
    <x v="0"/>
    <d v="2023-03-14T00:00:00"/>
    <x v="0"/>
  </r>
  <r>
    <n v="2"/>
    <s v="20х20"/>
    <x v="0"/>
    <s v="Qr code"/>
    <s v="Silver"/>
    <s v="Olenka"/>
    <s v="Kovalenko"/>
    <x v="0"/>
    <n v="27"/>
    <x v="0"/>
    <n v="1"/>
    <n v="650"/>
    <n v="320"/>
    <n v="650"/>
    <n v="330"/>
    <x v="1"/>
    <x v="1"/>
    <s v="Ukraine"/>
    <s v="Business"/>
    <s v="No"/>
    <x v="1"/>
    <x v="1"/>
    <d v="2023-02-17T00:00:00"/>
    <x v="1"/>
  </r>
  <r>
    <n v="3"/>
    <s v="25х31"/>
    <x v="0"/>
    <s v="Qr code"/>
    <s v="Silver"/>
    <s v="Sergii"/>
    <s v="Bondarenko"/>
    <x v="1"/>
    <n v="45"/>
    <x v="1"/>
    <n v="5"/>
    <n v="950"/>
    <n v="400"/>
    <n v="4750"/>
    <n v="2750"/>
    <x v="2"/>
    <x v="2"/>
    <s v="Ukraine"/>
    <s v="Business"/>
    <s v="No"/>
    <x v="1"/>
    <x v="2"/>
    <d v="2023-09-17T00:00:00"/>
    <x v="2"/>
  </r>
  <r>
    <n v="4"/>
    <s v="25х31"/>
    <x v="0"/>
    <s v="Qr code"/>
    <s v="Gold"/>
    <s v="Nadii"/>
    <s v="Tkachenko"/>
    <x v="0"/>
    <n v="52"/>
    <x v="2"/>
    <n v="2"/>
    <n v="900"/>
    <n v="400"/>
    <n v="1800"/>
    <n v="1000"/>
    <x v="3"/>
    <x v="0"/>
    <s v="Ukraine"/>
    <s v="Business"/>
    <s v="No"/>
    <x v="2"/>
    <x v="3"/>
    <d v="2023-08-17T00:00:00"/>
    <x v="3"/>
  </r>
  <r>
    <n v="5"/>
    <s v="20х20"/>
    <x v="0"/>
    <s v="Qr code"/>
    <s v="Black"/>
    <s v="Yana"/>
    <s v="Kravchenko"/>
    <x v="0"/>
    <n v="23"/>
    <x v="0"/>
    <n v="4"/>
    <n v="650"/>
    <n v="650"/>
    <n v="2600"/>
    <n v="0"/>
    <x v="2"/>
    <x v="2"/>
    <s v="Ukraine"/>
    <s v="Business"/>
    <s v="No"/>
    <x v="3"/>
    <x v="0"/>
    <d v="2023-01-10T00:00:00"/>
    <x v="4"/>
  </r>
  <r>
    <n v="6"/>
    <s v="25х25"/>
    <x v="0"/>
    <s v="Qr code"/>
    <s v="Black"/>
    <s v="Yand"/>
    <s v="Boyko"/>
    <x v="0"/>
    <n v="38"/>
    <x v="1"/>
    <n v="2"/>
    <n v="650"/>
    <n v="400"/>
    <n v="1300"/>
    <n v="500"/>
    <x v="4"/>
    <x v="3"/>
    <s v="Ukraine"/>
    <s v="Business"/>
    <s v="No"/>
    <x v="3"/>
    <x v="2"/>
    <d v="2023-11-05T00:00:00"/>
    <x v="5"/>
  </r>
  <r>
    <n v="7"/>
    <s v="20х20"/>
    <x v="0"/>
    <s v="Qr code"/>
    <s v="Silver"/>
    <s v="Maria"/>
    <s v="Kovalchuk"/>
    <x v="0"/>
    <n v="41"/>
    <x v="1"/>
    <n v="1"/>
    <n v="700"/>
    <n v="320"/>
    <n v="700"/>
    <n v="380"/>
    <x v="5"/>
    <x v="3"/>
    <s v="Ukraine"/>
    <s v="Business"/>
    <s v="No"/>
    <x v="1"/>
    <x v="3"/>
    <d v="2023-06-16T00:00:00"/>
    <x v="6"/>
  </r>
  <r>
    <n v="8"/>
    <s v="25х31"/>
    <x v="0"/>
    <s v="Qr code"/>
    <s v="Green"/>
    <s v="Fedir"/>
    <s v="Melnyk"/>
    <x v="1"/>
    <n v="29"/>
    <x v="0"/>
    <n v="3"/>
    <n v="950"/>
    <n v="350"/>
    <n v="2850"/>
    <n v="1800"/>
    <x v="4"/>
    <x v="3"/>
    <s v="Ukraine"/>
    <s v="Business"/>
    <s v="No"/>
    <x v="1"/>
    <x v="1"/>
    <d v="2023-04-20T00:00:00"/>
    <x v="7"/>
  </r>
  <r>
    <n v="9"/>
    <s v="25х31"/>
    <x v="0"/>
    <s v="Qr code"/>
    <s v="Black"/>
    <s v="Dmytro"/>
    <s v="Marchenko"/>
    <x v="1"/>
    <n v="60"/>
    <x v="2"/>
    <n v="5"/>
    <n v="950"/>
    <n v="350"/>
    <n v="4750"/>
    <n v="3000"/>
    <x v="6"/>
    <x v="1"/>
    <s v="Ukraine"/>
    <s v="Business"/>
    <s v="No"/>
    <x v="4"/>
    <x v="1"/>
    <d v="2023-07-14T00:00:00"/>
    <x v="8"/>
  </r>
  <r>
    <n v="10"/>
    <s v="25х31"/>
    <x v="0"/>
    <s v="Qr code"/>
    <s v="Silver"/>
    <s v="Katerina"/>
    <s v="Lysenko"/>
    <x v="0"/>
    <n v="33"/>
    <x v="0"/>
    <n v="4"/>
    <n v="950"/>
    <n v="400"/>
    <n v="3800"/>
    <n v="2200"/>
    <x v="7"/>
    <x v="0"/>
    <s v="Ukraine"/>
    <s v="Business"/>
    <s v="No"/>
    <x v="5"/>
    <x v="0"/>
    <d v="2023-06-05T00:00:00"/>
    <x v="6"/>
  </r>
  <r>
    <n v="11"/>
    <s v="25х31"/>
    <x v="0"/>
    <s v="Qr code"/>
    <s v="Black"/>
    <s v="Volodya"/>
    <s v="Rudenko"/>
    <x v="1"/>
    <n v="22"/>
    <x v="0"/>
    <n v="1"/>
    <n v="950"/>
    <n v="350"/>
    <n v="950"/>
    <n v="600"/>
    <x v="8"/>
    <x v="0"/>
    <s v="Ukraine"/>
    <s v="Business"/>
    <s v="No"/>
    <x v="3"/>
    <x v="2"/>
    <d v="2023-04-05T00:00:00"/>
    <x v="7"/>
  </r>
  <r>
    <n v="12"/>
    <s v="25х31"/>
    <x v="0"/>
    <s v="Qr code"/>
    <s v="Silver"/>
    <s v="Nazar"/>
    <s v="Savchenko"/>
    <x v="1"/>
    <n v="47"/>
    <x v="1"/>
    <n v="2"/>
    <n v="950"/>
    <n v="470"/>
    <n v="1900"/>
    <n v="960"/>
    <x v="9"/>
    <x v="3"/>
    <s v="Ukraine"/>
    <s v="Business"/>
    <s v="No"/>
    <x v="4"/>
    <x v="3"/>
    <d v="2023-03-28T00:00:00"/>
    <x v="0"/>
  </r>
  <r>
    <n v="13"/>
    <s v="30х37"/>
    <x v="0"/>
    <s v="Qr code"/>
    <s v="Black"/>
    <s v="Alina"/>
    <s v="Hrytsenko"/>
    <x v="0"/>
    <n v="55"/>
    <x v="2"/>
    <n v="3"/>
    <n v="1050"/>
    <n v="400"/>
    <n v="3150"/>
    <n v="1950"/>
    <x v="5"/>
    <x v="3"/>
    <s v="Ukraine"/>
    <s v="Business"/>
    <s v="No"/>
    <x v="5"/>
    <x v="2"/>
    <d v="2023-10-05T00:00:00"/>
    <x v="9"/>
  </r>
  <r>
    <n v="14"/>
    <s v="25х31"/>
    <x v="0"/>
    <s v="Qr code"/>
    <s v="Black"/>
    <s v="Nazar"/>
    <s v="Polishchuk"/>
    <x v="1"/>
    <n v="36"/>
    <x v="1"/>
    <n v="4"/>
    <n v="1150"/>
    <n v="400"/>
    <n v="4600"/>
    <n v="3000"/>
    <x v="10"/>
    <x v="0"/>
    <s v="Ukraine"/>
    <s v="Business"/>
    <s v="No"/>
    <x v="2"/>
    <x v="3"/>
    <d v="2023-06-19T00:00:00"/>
    <x v="6"/>
  </r>
  <r>
    <n v="15"/>
    <s v="25х25"/>
    <x v="0"/>
    <s v="Qr code"/>
    <s v="Silver"/>
    <s v="Inessa"/>
    <s v="Tymoshenko"/>
    <x v="0"/>
    <n v="28"/>
    <x v="0"/>
    <n v="5"/>
    <n v="950"/>
    <n v="450"/>
    <n v="4750"/>
    <n v="2500"/>
    <x v="11"/>
    <x v="2"/>
    <s v="Ukraine"/>
    <s v="Business"/>
    <s v="No"/>
    <x v="6"/>
    <x v="0"/>
    <d v="2023-06-14T00:00:00"/>
    <x v="6"/>
  </r>
  <r>
    <n v="16"/>
    <s v="30х37"/>
    <x v="0"/>
    <s v="Qr code"/>
    <s v="Black"/>
    <s v="Inna"/>
    <s v="Kostenko"/>
    <x v="0"/>
    <n v="50"/>
    <x v="2"/>
    <n v="2"/>
    <n v="1050"/>
    <n v="500"/>
    <n v="2100"/>
    <n v="1100"/>
    <x v="12"/>
    <x v="2"/>
    <s v="Ukraine"/>
    <s v="Business"/>
    <s v="No"/>
    <x v="1"/>
    <x v="1"/>
    <d v="2023-02-13T00:00:00"/>
    <x v="1"/>
  </r>
  <r>
    <n v="17"/>
    <s v="25х31"/>
    <x v="0"/>
    <s v="Qr code"/>
    <s v="Silver"/>
    <s v="Vasyl"/>
    <s v="Zakharchenko"/>
    <x v="1"/>
    <n v="39"/>
    <x v="1"/>
    <n v="1"/>
    <n v="670"/>
    <n v="550"/>
    <n v="670"/>
    <n v="120"/>
    <x v="13"/>
    <x v="1"/>
    <s v="Ukraine"/>
    <s v="Business"/>
    <s v="No"/>
    <x v="6"/>
    <x v="0"/>
    <d v="2023-06-16T00:00:00"/>
    <x v="6"/>
  </r>
  <r>
    <n v="18"/>
    <s v="30х37"/>
    <x v="0"/>
    <s v="Qr code"/>
    <s v="Silver"/>
    <s v="Tereza"/>
    <s v="Denysenko"/>
    <x v="0"/>
    <n v="31"/>
    <x v="0"/>
    <n v="3"/>
    <n v="1100"/>
    <n v="600"/>
    <n v="3300"/>
    <n v="1500"/>
    <x v="14"/>
    <x v="3"/>
    <s v="Ukraine"/>
    <s v="Business"/>
    <s v="No"/>
    <x v="6"/>
    <x v="3"/>
    <d v="2023-06-06T00:00:00"/>
    <x v="6"/>
  </r>
  <r>
    <n v="19"/>
    <s v="25х25"/>
    <x v="0"/>
    <s v="Qr code"/>
    <s v="Red"/>
    <s v="Dmytro"/>
    <s v="Ivanenko"/>
    <x v="1"/>
    <n v="44"/>
    <x v="1"/>
    <n v="4"/>
    <n v="600"/>
    <n v="400"/>
    <n v="2400"/>
    <n v="800"/>
    <x v="15"/>
    <x v="0"/>
    <s v="Ukraine"/>
    <s v="Business"/>
    <s v="No"/>
    <x v="1"/>
    <x v="2"/>
    <d v="2023-07-18T00:00:00"/>
    <x v="8"/>
  </r>
  <r>
    <n v="20"/>
    <s v="20х20"/>
    <x v="0"/>
    <s v="Qr code"/>
    <s v="Silver"/>
    <s v="Daria"/>
    <s v="Oliynyk"/>
    <x v="0"/>
    <n v="26"/>
    <x v="0"/>
    <n v="5"/>
    <n v="800"/>
    <n v="350"/>
    <n v="4000"/>
    <n v="2250"/>
    <x v="16"/>
    <x v="3"/>
    <s v="Ukraine"/>
    <s v="Business"/>
    <s v="No"/>
    <x v="3"/>
    <x v="1"/>
    <d v="2023-04-07T00:00:00"/>
    <x v="7"/>
  </r>
  <r>
    <n v="21"/>
    <s v="25х31"/>
    <x v="0"/>
    <s v="Qr code"/>
    <s v="Silver"/>
    <s v="Dasha"/>
    <s v="Shevchenko"/>
    <x v="0"/>
    <n v="48"/>
    <x v="1"/>
    <n v="2"/>
    <n v="850"/>
    <n v="400"/>
    <n v="1700"/>
    <n v="900"/>
    <x v="17"/>
    <x v="1"/>
    <s v="Ukraine"/>
    <s v="Business"/>
    <s v="No"/>
    <x v="7"/>
    <x v="3"/>
    <d v="2023-12-01T00:00:00"/>
    <x v="10"/>
  </r>
  <r>
    <n v="22"/>
    <s v="25х31"/>
    <x v="0"/>
    <s v="Qr code"/>
    <s v="Silver"/>
    <s v="Evgenia"/>
    <s v="Kovalenko"/>
    <x v="0"/>
    <n v="53"/>
    <x v="2"/>
    <n v="3"/>
    <n v="850"/>
    <n v="850"/>
    <n v="2550"/>
    <n v="0"/>
    <x v="18"/>
    <x v="3"/>
    <s v="Ukraine"/>
    <s v="Business"/>
    <s v="No"/>
    <x v="4"/>
    <x v="2"/>
    <d v="2023-07-24T00:00:00"/>
    <x v="8"/>
  </r>
  <r>
    <n v="23"/>
    <s v="20х20"/>
    <x v="0"/>
    <s v="Qr code"/>
    <s v="Red"/>
    <s v="Nika"/>
    <s v="Bondarenko"/>
    <x v="0"/>
    <n v="30"/>
    <x v="0"/>
    <n v="1"/>
    <n v="750"/>
    <n v="750"/>
    <n v="750"/>
    <n v="0"/>
    <x v="19"/>
    <x v="3"/>
    <s v="Ukraine"/>
    <s v="Business"/>
    <s v="No"/>
    <x v="4"/>
    <x v="0"/>
    <d v="2023-06-28T00:00:00"/>
    <x v="6"/>
  </r>
  <r>
    <n v="24"/>
    <s v="25х31"/>
    <x v="0"/>
    <s v="Qr code"/>
    <s v="Silver"/>
    <s v="Nikol"/>
    <s v="Tkachenko"/>
    <x v="0"/>
    <n v="37"/>
    <x v="1"/>
    <n v="4"/>
    <n v="1000"/>
    <n v="500"/>
    <n v="4000"/>
    <n v="2000"/>
    <x v="20"/>
    <x v="0"/>
    <s v="Ukraine"/>
    <s v="Business"/>
    <s v="No"/>
    <x v="3"/>
    <x v="1"/>
    <d v="2023-02-12T00:00:00"/>
    <x v="1"/>
  </r>
  <r>
    <n v="25"/>
    <s v="25x31"/>
    <x v="0"/>
    <s v="Qr code"/>
    <s v="Black"/>
    <s v="Nikolas"/>
    <s v="Kravchenko"/>
    <x v="1"/>
    <n v="42"/>
    <x v="1"/>
    <n v="5"/>
    <n v="750"/>
    <n v="350"/>
    <n v="3750"/>
    <n v="2000"/>
    <x v="21"/>
    <x v="3"/>
    <s v="Ukraine"/>
    <s v="Business"/>
    <s v="No"/>
    <x v="2"/>
    <x v="0"/>
    <d v="2023-02-09T00:00:00"/>
    <x v="1"/>
  </r>
  <r>
    <n v="26"/>
    <s v="25x25"/>
    <x v="0"/>
    <s v="Qr code"/>
    <s v="Silver"/>
    <s v="Maria"/>
    <s v="Boyko"/>
    <x v="0"/>
    <n v="24"/>
    <x v="0"/>
    <n v="3"/>
    <n v="850"/>
    <n v="500"/>
    <n v="2550"/>
    <n v="1050"/>
    <x v="8"/>
    <x v="0"/>
    <s v="Ukraine"/>
    <s v="Business"/>
    <s v="No"/>
    <x v="0"/>
    <x v="2"/>
    <d v="2023-01-18T00:00:00"/>
    <x v="4"/>
  </r>
  <r>
    <n v="27"/>
    <s v="25x31"/>
    <x v="0"/>
    <s v="Qr code"/>
    <s v="Silver"/>
    <s v="Vasyl"/>
    <s v="Kovalchuk"/>
    <x v="1"/>
    <n v="57"/>
    <x v="2"/>
    <n v="2"/>
    <n v="850"/>
    <n v="400"/>
    <n v="1700"/>
    <n v="900"/>
    <x v="18"/>
    <x v="3"/>
    <s v="Ukraine"/>
    <s v="Business"/>
    <s v="No"/>
    <x v="4"/>
    <x v="3"/>
    <d v="2023-01-23T00:00:00"/>
    <x v="4"/>
  </r>
  <r>
    <n v="28"/>
    <s v="25x31"/>
    <x v="0"/>
    <s v="Qr code"/>
    <s v="Silver"/>
    <s v="Alex"/>
    <s v="Melnyk"/>
    <x v="1"/>
    <n v="35"/>
    <x v="0"/>
    <n v="4"/>
    <n v="1000"/>
    <n v="500"/>
    <n v="4000"/>
    <n v="2000"/>
    <x v="18"/>
    <x v="3"/>
    <s v="Ukraine"/>
    <s v="Business"/>
    <s v="No"/>
    <x v="6"/>
    <x v="1"/>
    <d v="2023-05-03T00:00:00"/>
    <x v="11"/>
  </r>
  <r>
    <n v="29"/>
    <s v="30х37"/>
    <x v="0"/>
    <s v="Qr code"/>
    <s v="Silver"/>
    <s v="Sasha"/>
    <s v="Marchenko"/>
    <x v="1"/>
    <n v="40"/>
    <x v="1"/>
    <n v="1"/>
    <n v="950"/>
    <n v="500"/>
    <n v="950"/>
    <n v="450"/>
    <x v="19"/>
    <x v="3"/>
    <s v="Ukraine"/>
    <s v="Business"/>
    <s v="No"/>
    <x v="5"/>
    <x v="2"/>
    <d v="2023-05-27T00:00:00"/>
    <x v="11"/>
  </r>
  <r>
    <n v="30"/>
    <s v="25х31"/>
    <x v="0"/>
    <s v="Qr code"/>
    <s v="Silver"/>
    <s v="Alina"/>
    <s v="Lysenko"/>
    <x v="0"/>
    <n v="21"/>
    <x v="0"/>
    <n v="5"/>
    <n v="850"/>
    <n v="400"/>
    <n v="4250"/>
    <n v="2250"/>
    <x v="22"/>
    <x v="4"/>
    <s v="Ukraine"/>
    <s v="Business"/>
    <s v="No"/>
    <x v="6"/>
    <x v="0"/>
    <d v="2023-10-30T00:00:00"/>
    <x v="9"/>
  </r>
  <r>
    <n v="31"/>
    <s v="25x31"/>
    <x v="0"/>
    <s v="Qr code"/>
    <s v="Silver"/>
    <s v="Tatiana"/>
    <s v="Rudenko"/>
    <x v="0"/>
    <n v="59"/>
    <x v="2"/>
    <n v="2"/>
    <n v="1000"/>
    <n v="500"/>
    <n v="2000"/>
    <n v="1000"/>
    <x v="23"/>
    <x v="4"/>
    <s v="Ukraine"/>
    <s v="Business"/>
    <s v="No"/>
    <x v="6"/>
    <x v="3"/>
    <d v="2023-04-13T00:00:00"/>
    <x v="7"/>
  </r>
  <r>
    <n v="32"/>
    <s v="25x31"/>
    <x v="0"/>
    <s v="Qr code"/>
    <s v="Silver"/>
    <s v="Tanya"/>
    <s v="Savchenko"/>
    <x v="0"/>
    <n v="32"/>
    <x v="0"/>
    <n v="3"/>
    <n v="850"/>
    <n v="850"/>
    <n v="2550"/>
    <n v="0"/>
    <x v="19"/>
    <x v="3"/>
    <s v="Ukraine"/>
    <s v="Business"/>
    <s v="No"/>
    <x v="6"/>
    <x v="1"/>
    <d v="2023-03-12T00:00:00"/>
    <x v="0"/>
  </r>
  <r>
    <n v="33"/>
    <s v="30х37"/>
    <x v="0"/>
    <s v="Qr code"/>
    <s v="Silver"/>
    <s v="Viktoria"/>
    <s v="Hrytsenko"/>
    <x v="0"/>
    <n v="46"/>
    <x v="1"/>
    <n v="4"/>
    <n v="950"/>
    <n v="500"/>
    <n v="3800"/>
    <n v="1800"/>
    <x v="24"/>
    <x v="3"/>
    <s v="Ukraine"/>
    <s v="Business"/>
    <s v="No"/>
    <x v="6"/>
    <x v="0"/>
    <d v="2023-11-27T00:00:00"/>
    <x v="5"/>
  </r>
  <r>
    <n v="34"/>
    <s v="25x31"/>
    <x v="0"/>
    <s v="Qr code"/>
    <s v="Black"/>
    <s v="Nadia"/>
    <s v="Polishchuk"/>
    <x v="0"/>
    <n v="54"/>
    <x v="2"/>
    <n v="1"/>
    <n v="700"/>
    <n v="400"/>
    <n v="700"/>
    <n v="300"/>
    <x v="13"/>
    <x v="1"/>
    <s v="Ukraine"/>
    <s v="Business"/>
    <s v="No"/>
    <x v="2"/>
    <x v="2"/>
    <d v="2023-10-27T00:00:00"/>
    <x v="9"/>
  </r>
  <r>
    <n v="35"/>
    <s v="25x25"/>
    <x v="0"/>
    <s v="Qr code"/>
    <s v="Green"/>
    <s v="Tatiana"/>
    <s v="Tymoshenko"/>
    <x v="0"/>
    <n v="25"/>
    <x v="0"/>
    <n v="5"/>
    <n v="750"/>
    <n v="750"/>
    <n v="3750"/>
    <n v="0"/>
    <x v="25"/>
    <x v="3"/>
    <s v="Ukraine"/>
    <s v="Business"/>
    <s v="No"/>
    <x v="5"/>
    <x v="3"/>
    <d v="2023-05-07T00:00:00"/>
    <x v="11"/>
  </r>
  <r>
    <n v="36"/>
    <s v="25x31"/>
    <x v="0"/>
    <s v="Qr code"/>
    <s v="Black"/>
    <s v="Miroslava"/>
    <s v="Kostenko"/>
    <x v="0"/>
    <n v="43"/>
    <x v="1"/>
    <n v="3"/>
    <n v="850"/>
    <n v="350"/>
    <n v="2550"/>
    <n v="1500"/>
    <x v="14"/>
    <x v="3"/>
    <s v="Ukraine"/>
    <s v="Business"/>
    <s v="No"/>
    <x v="4"/>
    <x v="1"/>
    <d v="2023-05-19T00:00:00"/>
    <x v="11"/>
  </r>
  <r>
    <n v="37"/>
    <s v="25x31"/>
    <x v="0"/>
    <s v="Qr code"/>
    <s v="Black"/>
    <s v="Oleg"/>
    <s v="Zakharchenko"/>
    <x v="1"/>
    <n v="58"/>
    <x v="2"/>
    <n v="2"/>
    <n v="870"/>
    <n v="400"/>
    <n v="1740"/>
    <n v="940"/>
    <x v="25"/>
    <x v="3"/>
    <s v="Ukraine"/>
    <s v="Business"/>
    <s v="No"/>
    <x v="7"/>
    <x v="3"/>
    <d v="2023-06-12T00:00:00"/>
    <x v="6"/>
  </r>
  <r>
    <n v="38"/>
    <s v="25x31"/>
    <x v="0"/>
    <s v="Qr code"/>
    <s v="Black"/>
    <s v="Oleg"/>
    <s v="Denysenko"/>
    <x v="1"/>
    <n v="20"/>
    <x v="0"/>
    <n v="4"/>
    <n v="870"/>
    <n v="400"/>
    <n v="3480"/>
    <n v="1880"/>
    <x v="22"/>
    <x v="4"/>
    <s v="Ukraine"/>
    <s v="Business"/>
    <s v="No"/>
    <x v="6"/>
    <x v="2"/>
    <d v="2023-07-25T00:00:00"/>
    <x v="8"/>
  </r>
  <r>
    <n v="39"/>
    <s v="25х31"/>
    <x v="0"/>
    <s v="Qr code"/>
    <s v="Black"/>
    <s v="Daria"/>
    <s v="Ivanenko"/>
    <x v="0"/>
    <n v="49"/>
    <x v="1"/>
    <n v="1"/>
    <n v="720"/>
    <n v="350"/>
    <n v="720"/>
    <n v="370"/>
    <x v="17"/>
    <x v="1"/>
    <s v="Ukraine"/>
    <s v="Business"/>
    <s v="No"/>
    <x v="4"/>
    <x v="0"/>
    <d v="2023-11-17T00:00:00"/>
    <x v="5"/>
  </r>
  <r>
    <n v="40"/>
    <s v="25x31"/>
    <x v="0"/>
    <s v="Qr code"/>
    <s v="Silver"/>
    <s v="Oleg"/>
    <s v="Oliynyk"/>
    <x v="1"/>
    <n v="34"/>
    <x v="0"/>
    <n v="5"/>
    <n v="850"/>
    <n v="400"/>
    <n v="4250"/>
    <n v="2250"/>
    <x v="10"/>
    <x v="0"/>
    <s v="Ukraine"/>
    <s v="Business"/>
    <s v="No"/>
    <x v="1"/>
    <x v="1"/>
    <d v="2023-08-15T00:00:00"/>
    <x v="3"/>
  </r>
  <r>
    <n v="41"/>
    <s v="30х37"/>
    <x v="0"/>
    <s v="Qr code"/>
    <s v="Black"/>
    <s v="Vasyl"/>
    <s v="Shevchenko"/>
    <x v="1"/>
    <n v="27"/>
    <x v="0"/>
    <n v="2"/>
    <n v="950"/>
    <n v="400"/>
    <n v="1900"/>
    <n v="1100"/>
    <x v="26"/>
    <x v="3"/>
    <s v="Ukraine"/>
    <s v="Business"/>
    <s v="No"/>
    <x v="5"/>
    <x v="0"/>
    <d v="2023-12-04T00:00:00"/>
    <x v="10"/>
  </r>
  <r>
    <n v="42"/>
    <s v="30x37"/>
    <x v="0"/>
    <s v="Qr code"/>
    <s v="Silver-Black"/>
    <s v="Petro"/>
    <s v="Kovalenko"/>
    <x v="1"/>
    <n v="45"/>
    <x v="1"/>
    <n v="3"/>
    <n v="950"/>
    <n v="500"/>
    <n v="2850"/>
    <n v="1350"/>
    <x v="27"/>
    <x v="0"/>
    <s v="Ukraine"/>
    <s v="Business"/>
    <s v="No"/>
    <x v="7"/>
    <x v="3"/>
    <d v="2023-01-17T00:00:00"/>
    <x v="4"/>
  </r>
  <r>
    <n v="43"/>
    <s v="25x31"/>
    <x v="0"/>
    <s v="Qr code"/>
    <s v="Silver-Black"/>
    <s v="Michael"/>
    <s v="Bondarenko"/>
    <x v="1"/>
    <n v="52"/>
    <x v="2"/>
    <n v="4"/>
    <n v="790"/>
    <n v="400"/>
    <n v="3160"/>
    <n v="1560"/>
    <x v="2"/>
    <x v="2"/>
    <s v="Ukraine"/>
    <s v="Business"/>
    <s v="No"/>
    <x v="2"/>
    <x v="2"/>
    <d v="2023-09-30T00:00:00"/>
    <x v="2"/>
  </r>
  <r>
    <n v="44"/>
    <s v="25х31"/>
    <x v="0"/>
    <s v="Qr code"/>
    <s v="Black"/>
    <s v="Svitlana"/>
    <s v="Tkachenko"/>
    <x v="0"/>
    <n v="23"/>
    <x v="0"/>
    <n v="1"/>
    <n v="750"/>
    <n v="350"/>
    <n v="750"/>
    <n v="400"/>
    <x v="28"/>
    <x v="2"/>
    <s v="Ukraine"/>
    <s v="Business"/>
    <s v="No"/>
    <x v="4"/>
    <x v="1"/>
    <d v="2023-02-06T00:00:00"/>
    <x v="1"/>
  </r>
  <r>
    <n v="45"/>
    <s v="30x37"/>
    <x v="0"/>
    <s v="Qr code"/>
    <s v="Silver"/>
    <s v="Alina"/>
    <s v="Kravchenko"/>
    <x v="0"/>
    <n v="38"/>
    <x v="1"/>
    <n v="5"/>
    <n v="950"/>
    <n v="500"/>
    <n v="4750"/>
    <n v="2250"/>
    <x v="29"/>
    <x v="0"/>
    <s v="Ukraine"/>
    <s v="Business"/>
    <s v="No"/>
    <x v="4"/>
    <x v="2"/>
    <d v="2023-08-04T00:00:00"/>
    <x v="3"/>
  </r>
  <r>
    <n v="46"/>
    <s v="20x20"/>
    <x v="0"/>
    <s v="Qr code"/>
    <s v="Silver"/>
    <s v="Vitalia"/>
    <s v="Boyko"/>
    <x v="0"/>
    <n v="41"/>
    <x v="1"/>
    <n v="3"/>
    <n v="800"/>
    <n v="400"/>
    <n v="2400"/>
    <n v="1200"/>
    <x v="4"/>
    <x v="3"/>
    <s v="Ukraine"/>
    <s v="Business"/>
    <s v="No"/>
    <x v="1"/>
    <x v="0"/>
    <d v="2023-05-04T00:00:00"/>
    <x v="11"/>
  </r>
  <r>
    <n v="47"/>
    <s v="25x31"/>
    <x v="0"/>
    <s v="Qr code"/>
    <s v="Green"/>
    <s v="Vita"/>
    <s v="Kovalchuk"/>
    <x v="0"/>
    <n v="29"/>
    <x v="0"/>
    <n v="2"/>
    <n v="650"/>
    <n v="350"/>
    <n v="1300"/>
    <n v="600"/>
    <x v="30"/>
    <x v="0"/>
    <s v="Ukraine"/>
    <s v="Business"/>
    <s v="No"/>
    <x v="1"/>
    <x v="3"/>
    <d v="2023-01-19T00:00:00"/>
    <x v="4"/>
  </r>
  <r>
    <n v="48"/>
    <s v="25х31"/>
    <x v="0"/>
    <s v="Qr code"/>
    <s v="Silver"/>
    <s v="Olya"/>
    <s v="Melnyk"/>
    <x v="0"/>
    <n v="60"/>
    <x v="2"/>
    <n v="4"/>
    <n v="850"/>
    <n v="400"/>
    <n v="3400"/>
    <n v="1800"/>
    <x v="31"/>
    <x v="3"/>
    <s v="Ukraine"/>
    <s v="Business"/>
    <s v="No"/>
    <x v="4"/>
    <x v="1"/>
    <d v="2023-06-03T00:00:00"/>
    <x v="6"/>
  </r>
  <r>
    <n v="49"/>
    <s v="25х31"/>
    <x v="0"/>
    <s v="Qr code"/>
    <s v="Silver-Black"/>
    <s v="Viorika"/>
    <s v="Marchenko"/>
    <x v="0"/>
    <n v="33"/>
    <x v="0"/>
    <n v="1"/>
    <n v="1000"/>
    <n v="500"/>
    <n v="1000"/>
    <n v="500"/>
    <x v="26"/>
    <x v="3"/>
    <s v="Ukraine"/>
    <s v="Business"/>
    <s v="No"/>
    <x v="1"/>
    <x v="0"/>
    <d v="2023-07-25T00:00:00"/>
    <x v="8"/>
  </r>
  <r>
    <n v="50"/>
    <s v="25x31"/>
    <x v="0"/>
    <s v="Qr code"/>
    <s v="Silver"/>
    <s v="Olya"/>
    <s v="Lysenko"/>
    <x v="0"/>
    <n v="22"/>
    <x v="0"/>
    <n v="5"/>
    <n v="850"/>
    <n v="400"/>
    <n v="4250"/>
    <n v="2250"/>
    <x v="32"/>
    <x v="0"/>
    <s v="Ukraine"/>
    <s v="Business"/>
    <s v="No"/>
    <x v="0"/>
    <x v="2"/>
    <d v="2023-10-06T00:00:00"/>
    <x v="9"/>
  </r>
  <r>
    <n v="51"/>
    <s v="25x31"/>
    <x v="0"/>
    <s v="Qr code"/>
    <s v="Silver-Black"/>
    <s v="Petro"/>
    <s v="Rudenko"/>
    <x v="1"/>
    <n v="47"/>
    <x v="1"/>
    <n v="3"/>
    <n v="1000"/>
    <n v="500"/>
    <n v="3000"/>
    <n v="1500"/>
    <x v="33"/>
    <x v="1"/>
    <s v="Ukraine"/>
    <s v="Business"/>
    <s v="No"/>
    <x v="4"/>
    <x v="3"/>
    <d v="2023-12-21T00:00:00"/>
    <x v="10"/>
  </r>
  <r>
    <n v="52"/>
    <s v="25x25"/>
    <x v="0"/>
    <s v="Qr code"/>
    <s v="Silver"/>
    <s v="Muron"/>
    <s v="Savchenko"/>
    <x v="1"/>
    <n v="55"/>
    <x v="2"/>
    <n v="1"/>
    <n v="750"/>
    <n v="400"/>
    <n v="750"/>
    <n v="350"/>
    <x v="6"/>
    <x v="1"/>
    <s v="Ukraine"/>
    <s v="Business"/>
    <s v="No"/>
    <x v="0"/>
    <x v="1"/>
    <d v="2023-03-14T00:00:00"/>
    <x v="0"/>
  </r>
  <r>
    <n v="53"/>
    <s v="20х20"/>
    <x v="0"/>
    <s v="Qr code"/>
    <s v="Black"/>
    <s v="Anna"/>
    <s v="Hrytsenko"/>
    <x v="0"/>
    <n v="36"/>
    <x v="1"/>
    <n v="2"/>
    <n v="680"/>
    <n v="350"/>
    <n v="1360"/>
    <n v="660"/>
    <x v="34"/>
    <x v="1"/>
    <s v="Ukraine"/>
    <s v="Business"/>
    <s v="No"/>
    <x v="4"/>
    <x v="0"/>
    <d v="2023-03-28T00:00:00"/>
    <x v="0"/>
  </r>
  <r>
    <n v="54"/>
    <s v="25х31"/>
    <x v="0"/>
    <s v="Qr code"/>
    <s v="Black"/>
    <s v="Anna"/>
    <s v="Polishchuk"/>
    <x v="0"/>
    <n v="28"/>
    <x v="0"/>
    <n v="4"/>
    <n v="720"/>
    <n v="350"/>
    <n v="2880"/>
    <n v="1480"/>
    <x v="35"/>
    <x v="0"/>
    <s v="Ukraine"/>
    <s v="Business"/>
    <s v="No"/>
    <x v="3"/>
    <x v="2"/>
    <d v="2023-10-22T00:00:00"/>
    <x v="9"/>
  </r>
  <r>
    <n v="55"/>
    <s v="25х31"/>
    <x v="0"/>
    <s v="Qr code"/>
    <s v="Black"/>
    <s v="Anna"/>
    <s v="Tymoshenko"/>
    <x v="0"/>
    <n v="50"/>
    <x v="2"/>
    <n v="5"/>
    <n v="720"/>
    <n v="350"/>
    <n v="3600"/>
    <n v="1850"/>
    <x v="15"/>
    <x v="0"/>
    <s v="Ukraine"/>
    <s v="Business"/>
    <s v="No"/>
    <x v="2"/>
    <x v="3"/>
    <d v="2023-08-25T00:00:00"/>
    <x v="3"/>
  </r>
  <r>
    <n v="56"/>
    <s v="25х31"/>
    <x v="0"/>
    <s v="Qr code"/>
    <s v="Black"/>
    <s v="Daria"/>
    <s v="Kostenko"/>
    <x v="0"/>
    <n v="39"/>
    <x v="1"/>
    <n v="2"/>
    <n v="790"/>
    <n v="350"/>
    <n v="1580"/>
    <n v="880"/>
    <x v="10"/>
    <x v="0"/>
    <s v="Ukraine"/>
    <s v="Business"/>
    <s v="No"/>
    <x v="1"/>
    <x v="1"/>
    <d v="2023-09-05T00:00:00"/>
    <x v="2"/>
  </r>
  <r>
    <n v="57"/>
    <s v="25х25"/>
    <x v="0"/>
    <s v="Qr code"/>
    <s v="Red"/>
    <s v="Daria"/>
    <s v="Zakharchenko"/>
    <x v="0"/>
    <n v="31"/>
    <x v="0"/>
    <n v="3"/>
    <n v="700"/>
    <n v="350"/>
    <n v="2100"/>
    <n v="1050"/>
    <x v="36"/>
    <x v="0"/>
    <s v="Ukraine"/>
    <s v="Business"/>
    <s v="No"/>
    <x v="0"/>
    <x v="2"/>
    <d v="2023-09-10T00:00:00"/>
    <x v="2"/>
  </r>
  <r>
    <n v="58"/>
    <s v="25х31"/>
    <x v="0"/>
    <s v="Qr code"/>
    <s v="Silver-Black"/>
    <s v="Sulvestr"/>
    <s v="Denysenko"/>
    <x v="1"/>
    <n v="44"/>
    <x v="1"/>
    <n v="1"/>
    <n v="850"/>
    <n v="400"/>
    <n v="850"/>
    <n v="450"/>
    <x v="11"/>
    <x v="2"/>
    <s v="Ukraine"/>
    <s v="Business"/>
    <s v="No"/>
    <x v="5"/>
    <x v="0"/>
    <d v="2023-12-21T00:00:00"/>
    <x v="10"/>
  </r>
  <r>
    <n v="59"/>
    <s v="25x31"/>
    <x v="0"/>
    <s v="Qr code"/>
    <s v="Silver-Black"/>
    <s v="Ira"/>
    <s v="Ivanenko"/>
    <x v="0"/>
    <n v="26"/>
    <x v="0"/>
    <n v="4"/>
    <n v="1000"/>
    <n v="500"/>
    <n v="4000"/>
    <n v="2000"/>
    <x v="1"/>
    <x v="1"/>
    <s v="Ukraine"/>
    <s v="Business"/>
    <s v="No"/>
    <x v="1"/>
    <x v="3"/>
    <d v="2023-03-26T00:00:00"/>
    <x v="0"/>
  </r>
  <r>
    <n v="60"/>
    <s v="25x31"/>
    <x v="0"/>
    <s v="Qr code"/>
    <s v="Silver"/>
    <s v="Uliana"/>
    <s v="Oliynyk"/>
    <x v="0"/>
    <n v="48"/>
    <x v="1"/>
    <n v="5"/>
    <n v="900"/>
    <n v="500"/>
    <n v="4500"/>
    <n v="2000"/>
    <x v="13"/>
    <x v="1"/>
    <s v="Ukraine"/>
    <s v="Business"/>
    <s v="No"/>
    <x v="7"/>
    <x v="1"/>
    <d v="2023-08-13T00:00:00"/>
    <x v="3"/>
  </r>
  <r>
    <n v="61"/>
    <s v="20х27"/>
    <x v="0"/>
    <s v="Qr code"/>
    <s v="Silver-Black"/>
    <s v="Irina"/>
    <s v="Shevchenko"/>
    <x v="0"/>
    <n v="53"/>
    <x v="2"/>
    <n v="3"/>
    <n v="640"/>
    <n v="350"/>
    <n v="1920"/>
    <n v="870"/>
    <x v="25"/>
    <x v="3"/>
    <s v="Ukraine"/>
    <s v="Business"/>
    <s v="No"/>
    <x v="4"/>
    <x v="0"/>
    <d v="2023-10-05T00:00:00"/>
    <x v="9"/>
  </r>
  <r>
    <n v="62"/>
    <s v="20х27"/>
    <x v="0"/>
    <s v="Qr code"/>
    <s v="Silver-Black"/>
    <s v="Irina"/>
    <s v="Kovalenko"/>
    <x v="0"/>
    <n v="30"/>
    <x v="0"/>
    <n v="2"/>
    <n v="640"/>
    <n v="350"/>
    <n v="1280"/>
    <n v="580"/>
    <x v="0"/>
    <x v="0"/>
    <s v="Ukraine"/>
    <s v="Business"/>
    <s v="No"/>
    <x v="3"/>
    <x v="2"/>
    <d v="2023-01-24T00:00:00"/>
    <x v="4"/>
  </r>
  <r>
    <n v="63"/>
    <s v="30х37"/>
    <x v="0"/>
    <s v="Qr code"/>
    <s v="Black"/>
    <s v="Irina"/>
    <s v="Bondarenko"/>
    <x v="0"/>
    <n v="37"/>
    <x v="1"/>
    <n v="4"/>
    <n v="810"/>
    <n v="400"/>
    <n v="3240"/>
    <n v="1640"/>
    <x v="8"/>
    <x v="0"/>
    <s v="Ukraine"/>
    <s v="Business"/>
    <s v="No"/>
    <x v="2"/>
    <x v="3"/>
    <d v="2023-12-21T00:00:00"/>
    <x v="10"/>
  </r>
  <r>
    <n v="64"/>
    <s v="25x31"/>
    <x v="0"/>
    <s v="Qr code"/>
    <s v="Silver-Black"/>
    <s v="Svitlana"/>
    <s v="Tkachenko"/>
    <x v="0"/>
    <n v="42"/>
    <x v="1"/>
    <n v="1"/>
    <n v="1000"/>
    <n v="500"/>
    <n v="1000"/>
    <n v="500"/>
    <x v="8"/>
    <x v="0"/>
    <s v="Ukraine"/>
    <s v="Business"/>
    <s v="No"/>
    <x v="4"/>
    <x v="1"/>
    <d v="2023-01-27T00:00:00"/>
    <x v="4"/>
  </r>
  <r>
    <n v="65"/>
    <s v="20x20"/>
    <x v="0"/>
    <s v="Qr code"/>
    <s v="Green"/>
    <s v="Katerina"/>
    <s v="Kravchenko"/>
    <x v="0"/>
    <n v="24"/>
    <x v="0"/>
    <n v="5"/>
    <n v="600"/>
    <n v="280"/>
    <n v="3000"/>
    <n v="1600"/>
    <x v="37"/>
    <x v="4"/>
    <s v="Ukraine"/>
    <s v="Business"/>
    <s v="No"/>
    <x v="2"/>
    <x v="0"/>
    <d v="2023-02-07T00:00:00"/>
    <x v="1"/>
  </r>
  <r>
    <n v="66"/>
    <s v="25x31"/>
    <x v="0"/>
    <s v="Qr code"/>
    <s v="Silver-Black"/>
    <s v="Rostik"/>
    <s v="Boyko"/>
    <x v="1"/>
    <n v="57"/>
    <x v="2"/>
    <n v="2"/>
    <n v="850"/>
    <n v="400"/>
    <n v="1700"/>
    <n v="900"/>
    <x v="38"/>
    <x v="2"/>
    <s v="Ukraine"/>
    <s v="Business"/>
    <s v="No"/>
    <x v="4"/>
    <x v="2"/>
    <d v="2023-02-21T00:00:00"/>
    <x v="1"/>
  </r>
  <r>
    <n v="67"/>
    <s v="25х31"/>
    <x v="0"/>
    <s v="Qr code"/>
    <s v="Black"/>
    <s v="Denis"/>
    <s v="Kovalchuk"/>
    <x v="1"/>
    <n v="35"/>
    <x v="0"/>
    <n v="3"/>
    <n v="790"/>
    <n v="350"/>
    <n v="2370"/>
    <n v="1320"/>
    <x v="34"/>
    <x v="1"/>
    <s v="Ukraine"/>
    <s v="Business"/>
    <s v="No"/>
    <x v="3"/>
    <x v="3"/>
    <d v="2023-08-30T00:00:00"/>
    <x v="3"/>
  </r>
  <r>
    <n v="68"/>
    <s v="30х37"/>
    <x v="0"/>
    <s v="Qr code"/>
    <s v="Black"/>
    <s v="Daria"/>
    <s v="Melnyk"/>
    <x v="0"/>
    <n v="40"/>
    <x v="1"/>
    <n v="4"/>
    <n v="880"/>
    <n v="400"/>
    <n v="3520"/>
    <n v="1920"/>
    <x v="13"/>
    <x v="1"/>
    <s v="Ukraine"/>
    <s v="Business"/>
    <s v="No"/>
    <x v="3"/>
    <x v="1"/>
    <d v="2023-12-28T00:00:00"/>
    <x v="10"/>
  </r>
  <r>
    <n v="69"/>
    <s v="25x31"/>
    <x v="0"/>
    <s v="Qr code"/>
    <s v="Silver-Black"/>
    <s v="Ira"/>
    <s v="Marchenko"/>
    <x v="0"/>
    <n v="21"/>
    <x v="0"/>
    <n v="1"/>
    <n v="850"/>
    <n v="400"/>
    <n v="850"/>
    <n v="450"/>
    <x v="1"/>
    <x v="1"/>
    <s v="Ukraine"/>
    <s v="Business"/>
    <s v="No"/>
    <x v="7"/>
    <x v="2"/>
    <d v="2023-04-01T00:00:00"/>
    <x v="7"/>
  </r>
  <r>
    <n v="70"/>
    <s v="20х20"/>
    <x v="0"/>
    <s v="Qr code"/>
    <s v="Black"/>
    <s v="Olenka"/>
    <s v="Lysenko"/>
    <x v="0"/>
    <n v="59"/>
    <x v="2"/>
    <n v="5"/>
    <n v="650"/>
    <n v="280"/>
    <n v="3250"/>
    <n v="1850"/>
    <x v="32"/>
    <x v="0"/>
    <s v="Ukraine"/>
    <s v="Business"/>
    <s v="No"/>
    <x v="5"/>
    <x v="0"/>
    <d v="2023-07-27T00:00:00"/>
    <x v="8"/>
  </r>
  <r>
    <n v="71"/>
    <s v="25x31"/>
    <x v="0"/>
    <s v="Qr code"/>
    <s v="Green"/>
    <s v="Ira"/>
    <s v="Rudenko"/>
    <x v="0"/>
    <n v="32"/>
    <x v="0"/>
    <n v="3"/>
    <n v="850"/>
    <n v="350"/>
    <n v="2550"/>
    <n v="1500"/>
    <x v="20"/>
    <x v="0"/>
    <s v="Ukraine"/>
    <s v="Business"/>
    <s v="No"/>
    <x v="1"/>
    <x v="3"/>
    <d v="2023-07-02T00:00:00"/>
    <x v="8"/>
  </r>
  <r>
    <n v="72"/>
    <s v="25x31"/>
    <x v="0"/>
    <s v="Qr code"/>
    <s v="Silver-Black"/>
    <s v="Svitlana"/>
    <s v="Savchenko"/>
    <x v="0"/>
    <n v="46"/>
    <x v="1"/>
    <n v="2"/>
    <n v="750"/>
    <n v="380"/>
    <n v="1500"/>
    <n v="740"/>
    <x v="16"/>
    <x v="3"/>
    <s v="Ukraine"/>
    <s v="Business"/>
    <s v="No"/>
    <x v="3"/>
    <x v="1"/>
    <d v="2023-11-20T00:00:00"/>
    <x v="5"/>
  </r>
  <r>
    <n v="73"/>
    <s v="25x25"/>
    <x v="0"/>
    <s v="Qr code"/>
    <s v="Silver"/>
    <s v="Hanna"/>
    <s v="Hrytsenko"/>
    <x v="0"/>
    <n v="54"/>
    <x v="2"/>
    <n v="4"/>
    <n v="850"/>
    <n v="400"/>
    <n v="3400"/>
    <n v="1800"/>
    <x v="27"/>
    <x v="0"/>
    <s v="Ukraine"/>
    <s v="Business"/>
    <s v="No"/>
    <x v="6"/>
    <x v="0"/>
    <d v="2023-09-05T00:00:00"/>
    <x v="2"/>
  </r>
  <r>
    <n v="74"/>
    <s v="30х37"/>
    <x v="0"/>
    <s v="Qr code"/>
    <s v="Silver"/>
    <s v="Dmutro"/>
    <s v="Polishchuk"/>
    <x v="1"/>
    <n v="25"/>
    <x v="0"/>
    <n v="1"/>
    <n v="950"/>
    <n v="500"/>
    <n v="950"/>
    <n v="450"/>
    <x v="27"/>
    <x v="0"/>
    <s v="Ukraine"/>
    <s v="Business"/>
    <s v="No"/>
    <x v="6"/>
    <x v="2"/>
    <d v="2023-08-23T00:00:00"/>
    <x v="3"/>
  </r>
  <r>
    <n v="75"/>
    <s v="25x25"/>
    <x v="0"/>
    <s v="Qr code"/>
    <s v="Silver"/>
    <s v="Petro"/>
    <s v="Tymoshenko"/>
    <x v="1"/>
    <n v="43"/>
    <x v="1"/>
    <n v="5"/>
    <n v="900"/>
    <n v="500"/>
    <n v="4500"/>
    <n v="2000"/>
    <x v="1"/>
    <x v="1"/>
    <s v="Ukraine"/>
    <s v="Business"/>
    <s v="No"/>
    <x v="1"/>
    <x v="3"/>
    <d v="2023-04-27T00:00:00"/>
    <x v="7"/>
  </r>
  <r>
    <n v="76"/>
    <s v="30х37"/>
    <x v="0"/>
    <s v="Qr code"/>
    <s v="Silver-Black"/>
    <s v="Anatoliy"/>
    <s v="Kostenko"/>
    <x v="1"/>
    <n v="58"/>
    <x v="2"/>
    <n v="2"/>
    <n v="950"/>
    <n v="500"/>
    <n v="1900"/>
    <n v="900"/>
    <x v="24"/>
    <x v="3"/>
    <s v="Ukraine"/>
    <s v="Business"/>
    <s v="No"/>
    <x v="5"/>
    <x v="1"/>
    <d v="2023-10-16T00:00:00"/>
    <x v="9"/>
  </r>
  <r>
    <n v="77"/>
    <s v="25x25"/>
    <x v="0"/>
    <s v="Qr code"/>
    <s v="Silver"/>
    <s v="Maksym"/>
    <s v="Zakharchenko"/>
    <x v="1"/>
    <n v="20"/>
    <x v="0"/>
    <n v="3"/>
    <n v="750"/>
    <n v="400"/>
    <n v="2250"/>
    <n v="1050"/>
    <x v="26"/>
    <x v="3"/>
    <s v="Ukraine"/>
    <s v="Business"/>
    <s v="No"/>
    <x v="5"/>
    <x v="2"/>
    <d v="2023-05-15T00:00:00"/>
    <x v="11"/>
  </r>
  <r>
    <n v="78"/>
    <s v="25x25 "/>
    <x v="0"/>
    <s v="Qr code"/>
    <s v="Silver"/>
    <s v="Ksenia"/>
    <s v="Denysenko"/>
    <x v="0"/>
    <n v="49"/>
    <x v="1"/>
    <n v="4"/>
    <n v="750"/>
    <n v="400"/>
    <n v="3000"/>
    <n v="1400"/>
    <x v="24"/>
    <x v="3"/>
    <s v="Ukraine"/>
    <s v="Business"/>
    <s v="No"/>
    <x v="7"/>
    <x v="0"/>
    <d v="2023-03-25T00:00:00"/>
    <x v="0"/>
  </r>
  <r>
    <n v="79"/>
    <s v="25х31"/>
    <x v="0"/>
    <s v="Qr code"/>
    <s v="Silver"/>
    <s v="Maksym"/>
    <s v="Ivanenko"/>
    <x v="1"/>
    <n v="25"/>
    <x v="0"/>
    <n v="1"/>
    <n v="850"/>
    <n v="400"/>
    <n v="850"/>
    <n v="450"/>
    <x v="17"/>
    <x v="1"/>
    <s v="Ukraine"/>
    <s v="Business"/>
    <s v="No"/>
    <x v="7"/>
    <x v="3"/>
    <d v="2023-06-26T00:00:00"/>
    <x v="6"/>
  </r>
  <r>
    <n v="80"/>
    <s v="25x31"/>
    <x v="0"/>
    <s v="Qr code"/>
    <s v="Silver"/>
    <s v="Hanna"/>
    <s v="Oliynyk"/>
    <x v="0"/>
    <n v="31"/>
    <x v="0"/>
    <n v="5"/>
    <n v="890"/>
    <n v="400"/>
    <n v="4450"/>
    <n v="2450"/>
    <x v="3"/>
    <x v="0"/>
    <s v="Ukraine"/>
    <s v="Business"/>
    <s v="No"/>
    <x v="6"/>
    <x v="1"/>
    <d v="2023-09-27T00:00:00"/>
    <x v="2"/>
  </r>
  <r>
    <n v="81"/>
    <s v="30x37"/>
    <x v="0"/>
    <s v="Qr code"/>
    <s v="Silver"/>
    <s v="Nikola"/>
    <s v="Shevchenko"/>
    <x v="1"/>
    <n v="56"/>
    <x v="2"/>
    <n v="3"/>
    <n v="950"/>
    <n v="500"/>
    <n v="2850"/>
    <n v="1350"/>
    <x v="15"/>
    <x v="0"/>
    <s v="Ukraine"/>
    <s v="Business"/>
    <s v="No"/>
    <x v="4"/>
    <x v="0"/>
    <d v="2023-10-19T00:00:00"/>
    <x v="9"/>
  </r>
  <r>
    <n v="82"/>
    <s v="30x30"/>
    <x v="0"/>
    <s v="Qr code"/>
    <s v="Silver-Black"/>
    <s v="Ihnat"/>
    <s v="Kovalenko"/>
    <x v="1"/>
    <n v="42"/>
    <x v="1"/>
    <n v="2"/>
    <n v="890"/>
    <n v="400"/>
    <n v="1780"/>
    <n v="980"/>
    <x v="23"/>
    <x v="4"/>
    <s v="Ukraine"/>
    <s v="Business"/>
    <s v="No"/>
    <x v="3"/>
    <x v="2"/>
    <d v="2023-03-07T00:00:00"/>
    <x v="0"/>
  </r>
  <r>
    <n v="83"/>
    <s v="20x27"/>
    <x v="0"/>
    <s v="Qr code"/>
    <s v="Silver"/>
    <s v="Slava"/>
    <s v="Bondarenko"/>
    <x v="0"/>
    <n v="34"/>
    <x v="0"/>
    <n v="4"/>
    <n v="940"/>
    <n v="450"/>
    <n v="3760"/>
    <n v="1960"/>
    <x v="39"/>
    <x v="4"/>
    <s v="Ukraine"/>
    <s v="Business"/>
    <s v="No"/>
    <x v="7"/>
    <x v="3"/>
    <d v="2023-02-15T00:00:00"/>
    <x v="1"/>
  </r>
  <r>
    <n v="84"/>
    <s v="25x31"/>
    <x v="0"/>
    <s v="Qr code"/>
    <s v="Silver-Black"/>
    <s v="Galyna"/>
    <s v="Tkachenko"/>
    <x v="0"/>
    <n v="23"/>
    <x v="0"/>
    <n v="1"/>
    <n v="890"/>
    <n v="400"/>
    <n v="890"/>
    <n v="490"/>
    <x v="21"/>
    <x v="3"/>
    <s v="Ukraine"/>
    <s v="Business"/>
    <s v="No"/>
    <x v="7"/>
    <x v="1"/>
    <d v="2023-08-27T00:00:00"/>
    <x v="3"/>
  </r>
  <r>
    <n v="85"/>
    <s v="30x30"/>
    <x v="0"/>
    <s v="Qr code"/>
    <s v="Black"/>
    <s v="Volodymyr"/>
    <s v="Kravchenko"/>
    <x v="1"/>
    <n v="56"/>
    <x v="2"/>
    <n v="5"/>
    <n v="890"/>
    <n v="400"/>
    <n v="4450"/>
    <n v="2450"/>
    <x v="17"/>
    <x v="1"/>
    <s v="Ukraine"/>
    <s v="Business"/>
    <s v="No"/>
    <x v="7"/>
    <x v="0"/>
    <d v="2023-06-06T00:00:00"/>
    <x v="6"/>
  </r>
  <r>
    <n v="86"/>
    <s v="20x20"/>
    <x v="0"/>
    <s v="Qr code"/>
    <s v="Silver-Black"/>
    <s v="Vitaliaa"/>
    <s v="Boyko"/>
    <x v="0"/>
    <n v="24"/>
    <x v="0"/>
    <n v="2"/>
    <n v="642"/>
    <n v="320"/>
    <n v="1284"/>
    <n v="644"/>
    <x v="27"/>
    <x v="0"/>
    <s v="Ukraine"/>
    <s v="Business"/>
    <s v="No"/>
    <x v="4"/>
    <x v="2"/>
    <d v="2023-10-19T00:00:00"/>
    <x v="9"/>
  </r>
  <r>
    <n v="87"/>
    <s v="20x20"/>
    <x v="0"/>
    <s v="Qr code"/>
    <s v="Silver-Black"/>
    <s v="Vitalia"/>
    <s v="Kovalchuk"/>
    <x v="0"/>
    <n v="64"/>
    <x v="2"/>
    <n v="3"/>
    <n v="642"/>
    <n v="320"/>
    <n v="1926"/>
    <n v="966"/>
    <x v="40"/>
    <x v="3"/>
    <s v="Ukraine"/>
    <s v="Business"/>
    <s v="No"/>
    <x v="7"/>
    <x v="3"/>
    <d v="2023-10-11T00:00:00"/>
    <x v="9"/>
  </r>
  <r>
    <n v="88"/>
    <s v="25x31"/>
    <x v="0"/>
    <s v="Qr code"/>
    <s v="Silver-Black"/>
    <s v="Kateryna"/>
    <s v="Melnyk"/>
    <x v="0"/>
    <n v="64"/>
    <x v="2"/>
    <n v="4"/>
    <n v="890"/>
    <n v="400"/>
    <n v="3560"/>
    <n v="1960"/>
    <x v="13"/>
    <x v="1"/>
    <s v="Ukraine"/>
    <s v="Business"/>
    <s v="No"/>
    <x v="1"/>
    <x v="1"/>
    <d v="2023-01-27T00:00:00"/>
    <x v="4"/>
  </r>
  <r>
    <n v="89"/>
    <s v="30x37"/>
    <x v="0"/>
    <s v="Qr code"/>
    <s v="Black"/>
    <s v="Segey"/>
    <s v="Marchenko"/>
    <x v="1"/>
    <n v="23"/>
    <x v="0"/>
    <n v="1"/>
    <n v="990"/>
    <n v="400"/>
    <n v="990"/>
    <n v="590"/>
    <x v="38"/>
    <x v="2"/>
    <s v="Ukraine"/>
    <s v="Business"/>
    <s v="No"/>
    <x v="3"/>
    <x v="2"/>
    <d v="2023-12-20T00:00:00"/>
    <x v="10"/>
  </r>
  <r>
    <n v="90"/>
    <s v="25x31"/>
    <x v="0"/>
    <s v="Qr code"/>
    <s v="Silver"/>
    <s v="Fedir"/>
    <s v="Lysenko"/>
    <x v="1"/>
    <n v="19"/>
    <x v="0"/>
    <n v="5"/>
    <n v="800"/>
    <n v="400"/>
    <n v="4000"/>
    <n v="2000"/>
    <x v="39"/>
    <x v="4"/>
    <s v="Ukraine"/>
    <s v="Business"/>
    <s v="No"/>
    <x v="6"/>
    <x v="0"/>
    <d v="2023-10-06T00:00:00"/>
    <x v="9"/>
  </r>
  <r>
    <n v="91"/>
    <s v="25х31"/>
    <x v="0"/>
    <s v="Qr code"/>
    <s v="Black"/>
    <s v="Dmytro"/>
    <s v="Rudenko"/>
    <x v="1"/>
    <n v="21"/>
    <x v="0"/>
    <n v="3"/>
    <n v="890"/>
    <n v="350"/>
    <n v="2670"/>
    <n v="1620"/>
    <x v="18"/>
    <x v="3"/>
    <s v="Ukraine"/>
    <s v="Business"/>
    <s v="No"/>
    <x v="4"/>
    <x v="3"/>
    <d v="2023-05-28T00:00:00"/>
    <x v="11"/>
  </r>
  <r>
    <n v="92"/>
    <s v="20x27"/>
    <x v="0"/>
    <s v="Qr code"/>
    <s v="Silver-Black"/>
    <s v="Kateryna"/>
    <s v="Savchenko"/>
    <x v="0"/>
    <n v="56"/>
    <x v="2"/>
    <n v="2"/>
    <n v="940"/>
    <n v="420"/>
    <n v="1880"/>
    <n v="1040"/>
    <x v="39"/>
    <x v="4"/>
    <s v="Ukraine"/>
    <s v="Business"/>
    <s v="No"/>
    <x v="3"/>
    <x v="1"/>
    <d v="2023-07-26T00:00:00"/>
    <x v="8"/>
  </r>
  <r>
    <n v="93"/>
    <s v="10x10"/>
    <x v="0"/>
    <s v="Qr code"/>
    <s v="Silver-Black"/>
    <s v="Volodya"/>
    <s v="Hrytsenko"/>
    <x v="1"/>
    <n v="34"/>
    <x v="0"/>
    <n v="4"/>
    <n v="375"/>
    <n v="150"/>
    <n v="1500"/>
    <n v="900"/>
    <x v="6"/>
    <x v="1"/>
    <s v="Ukraine"/>
    <s v="Business"/>
    <s v="No"/>
    <x v="0"/>
    <x v="0"/>
    <d v="2023-07-01T00:00:00"/>
    <x v="8"/>
  </r>
  <r>
    <n v="94"/>
    <s v="25x31"/>
    <x v="0"/>
    <s v="Qr code"/>
    <s v="Black"/>
    <s v="Nazar"/>
    <s v="Polishchuk"/>
    <x v="1"/>
    <n v="64"/>
    <x v="2"/>
    <n v="1"/>
    <n v="890"/>
    <n v="350"/>
    <n v="890"/>
    <n v="540"/>
    <x v="3"/>
    <x v="0"/>
    <s v="Ukraine"/>
    <s v="Business"/>
    <s v="No"/>
    <x v="3"/>
    <x v="2"/>
    <d v="2023-11-16T00:00:00"/>
    <x v="5"/>
  </r>
  <r>
    <n v="95"/>
    <s v="30х37"/>
    <x v="0"/>
    <s v="Qr code"/>
    <s v="Silver-Black"/>
    <s v="Alina"/>
    <s v="Tymoshenko"/>
    <x v="0"/>
    <n v="78"/>
    <x v="2"/>
    <n v="5"/>
    <n v="990"/>
    <n v="450"/>
    <n v="4950"/>
    <n v="2700"/>
    <x v="27"/>
    <x v="0"/>
    <s v="Ukraine"/>
    <s v="Business"/>
    <s v="No"/>
    <x v="0"/>
    <x v="3"/>
    <d v="2023-05-29T00:00:00"/>
    <x v="11"/>
  </r>
  <r>
    <n v="96"/>
    <s v="25x31"/>
    <x v="0"/>
    <s v="Qr code"/>
    <s v="Silver-Black"/>
    <s v="Nazar"/>
    <s v="Kostenko"/>
    <x v="1"/>
    <n v="54"/>
    <x v="2"/>
    <n v="2"/>
    <n v="1040"/>
    <n v="500"/>
    <n v="2080"/>
    <n v="1080"/>
    <x v="22"/>
    <x v="4"/>
    <s v="Ukraine"/>
    <s v="Business"/>
    <s v="No"/>
    <x v="5"/>
    <x v="1"/>
    <d v="2023-06-21T00:00:00"/>
    <x v="6"/>
  </r>
  <r>
    <n v="97"/>
    <s v="25х31"/>
    <x v="0"/>
    <s v="Qr code"/>
    <s v="Black"/>
    <s v="Inessa"/>
    <s v="Zakharchenko"/>
    <x v="0"/>
    <n v="32"/>
    <x v="0"/>
    <n v="3"/>
    <n v="970"/>
    <n v="500"/>
    <n v="2910"/>
    <n v="1410"/>
    <x v="30"/>
    <x v="0"/>
    <s v="Ukraine"/>
    <s v="Business"/>
    <s v="No"/>
    <x v="4"/>
    <x v="0"/>
    <d v="2023-03-12T00:00:00"/>
    <x v="0"/>
  </r>
  <r>
    <n v="98"/>
    <s v="20x27"/>
    <x v="0"/>
    <s v="Qr code"/>
    <s v="Silver-Black"/>
    <s v="Inna"/>
    <s v="Denysenko"/>
    <x v="0"/>
    <n v="24"/>
    <x v="0"/>
    <n v="4"/>
    <n v="940"/>
    <n v="420"/>
    <n v="3760"/>
    <n v="2080"/>
    <x v="16"/>
    <x v="3"/>
    <s v="Ukraine"/>
    <s v="Business"/>
    <s v="No"/>
    <x v="3"/>
    <x v="2"/>
    <d v="2023-05-04T00:00:00"/>
    <x v="11"/>
  </r>
  <r>
    <n v="99"/>
    <s v="25х31"/>
    <x v="0"/>
    <s v="Qr code"/>
    <s v="Silver-Black"/>
    <s v="Vasyl"/>
    <s v="Ivanenko"/>
    <x v="1"/>
    <n v="57"/>
    <x v="2"/>
    <n v="1"/>
    <n v="890"/>
    <n v="400"/>
    <n v="890"/>
    <n v="490"/>
    <x v="33"/>
    <x v="1"/>
    <s v="Ukraine"/>
    <s v="Business"/>
    <s v="No"/>
    <x v="0"/>
    <x v="3"/>
    <d v="2023-01-16T00:00:00"/>
    <x v="4"/>
  </r>
  <r>
    <n v="100"/>
    <s v="20x27"/>
    <x v="0"/>
    <s v="Qr code"/>
    <s v="Silver-Black"/>
    <s v="Tereza"/>
    <s v="Oliynyk"/>
    <x v="0"/>
    <n v="35"/>
    <x v="0"/>
    <n v="5"/>
    <n v="672"/>
    <n v="380"/>
    <n v="3360"/>
    <n v="1460"/>
    <x v="19"/>
    <x v="3"/>
    <s v="Ukraine"/>
    <s v="Business"/>
    <s v="No"/>
    <x v="5"/>
    <x v="1"/>
    <d v="2023-10-05T00:00:00"/>
    <x v="9"/>
  </r>
  <r>
    <n v="101"/>
    <s v="20x27"/>
    <x v="0"/>
    <s v="Qr code"/>
    <s v="Black"/>
    <s v="Dmytro"/>
    <s v="Shevchenko"/>
    <x v="1"/>
    <n v="40"/>
    <x v="1"/>
    <n v="3"/>
    <n v="672"/>
    <n v="330"/>
    <n v="2016"/>
    <n v="1026"/>
    <x v="41"/>
    <x v="0"/>
    <s v="Ukraine"/>
    <s v="Business"/>
    <s v="No"/>
    <x v="5"/>
    <x v="2"/>
    <d v="2023-12-26T00:00:00"/>
    <x v="10"/>
  </r>
  <r>
    <n v="102"/>
    <s v="20x27"/>
    <x v="0"/>
    <s v="Qr code"/>
    <s v="Silver"/>
    <s v="Daria"/>
    <s v="Kovalenko"/>
    <x v="0"/>
    <n v="21"/>
    <x v="0"/>
    <n v="2"/>
    <n v="672"/>
    <n v="380"/>
    <n v="1344"/>
    <n v="584"/>
    <x v="30"/>
    <x v="0"/>
    <s v="Ukraine"/>
    <s v="Business"/>
    <s v="No"/>
    <x v="3"/>
    <x v="0"/>
    <d v="2023-03-05T00:00:00"/>
    <x v="0"/>
  </r>
  <r>
    <n v="103"/>
    <s v="30х37"/>
    <x v="0"/>
    <s v="Qr code"/>
    <s v="Silver-Black"/>
    <s v="Dasha"/>
    <s v="Bondarenko"/>
    <x v="0"/>
    <n v="59"/>
    <x v="2"/>
    <n v="4"/>
    <n v="990"/>
    <n v="500"/>
    <n v="3960"/>
    <n v="1960"/>
    <x v="29"/>
    <x v="0"/>
    <s v="Ukraine"/>
    <s v="Business"/>
    <s v="No"/>
    <x v="5"/>
    <x v="3"/>
    <d v="2023-09-05T00:00:00"/>
    <x v="2"/>
  </r>
  <r>
    <n v="104"/>
    <s v="20x27"/>
    <x v="0"/>
    <s v="Qr code"/>
    <s v="Silver"/>
    <s v="Evgenia"/>
    <s v="Tkachenko"/>
    <x v="0"/>
    <n v="32"/>
    <x v="0"/>
    <n v="1"/>
    <n v="790"/>
    <n v="380"/>
    <n v="790"/>
    <n v="410"/>
    <x v="3"/>
    <x v="0"/>
    <s v="Ukraine"/>
    <s v="Business"/>
    <s v="No"/>
    <x v="3"/>
    <x v="1"/>
    <d v="2023-08-22T00:00:00"/>
    <x v="3"/>
  </r>
  <r>
    <n v="105"/>
    <s v="25x31"/>
    <x v="0"/>
    <s v="Qr code"/>
    <s v="Red"/>
    <s v="Nika"/>
    <s v="Kravchenko"/>
    <x v="0"/>
    <n v="46"/>
    <x v="1"/>
    <n v="5"/>
    <n v="890"/>
    <n v="350"/>
    <n v="4450"/>
    <n v="2700"/>
    <x v="10"/>
    <x v="0"/>
    <s v="Ukraine"/>
    <s v="Business"/>
    <s v="No"/>
    <x v="4"/>
    <x v="0"/>
    <d v="2023-12-17T00:00:00"/>
    <x v="10"/>
  </r>
  <r>
    <n v="106"/>
    <s v="30x37"/>
    <x v="0"/>
    <s v="Qr code"/>
    <s v="Black"/>
    <s v="Nikol"/>
    <s v="Boyko"/>
    <x v="0"/>
    <n v="54"/>
    <x v="2"/>
    <n v="2"/>
    <n v="990"/>
    <n v="400"/>
    <n v="1980"/>
    <n v="1180"/>
    <x v="18"/>
    <x v="3"/>
    <s v="Ukraine"/>
    <s v="Business"/>
    <s v="No"/>
    <x v="1"/>
    <x v="2"/>
    <d v="2023-05-13T00:00:00"/>
    <x v="11"/>
  </r>
  <r>
    <n v="107"/>
    <s v="30х37"/>
    <x v="0"/>
    <s v="Qr code"/>
    <s v="Silver-Black"/>
    <s v="Nikolas"/>
    <s v="Kovalchuk"/>
    <x v="1"/>
    <n v="25"/>
    <x v="0"/>
    <n v="3"/>
    <n v="990"/>
    <n v="500"/>
    <n v="2970"/>
    <n v="1470"/>
    <x v="11"/>
    <x v="2"/>
    <s v="Ukraine"/>
    <s v="Business"/>
    <s v="No"/>
    <x v="2"/>
    <x v="3"/>
    <d v="2023-01-13T00:00:00"/>
    <x v="4"/>
  </r>
  <r>
    <n v="108"/>
    <s v="25x31"/>
    <x v="0"/>
    <s v="Qr code"/>
    <s v="Silver-Black"/>
    <s v="Maria"/>
    <s v="Melnyk"/>
    <x v="0"/>
    <n v="43"/>
    <x v="1"/>
    <n v="4"/>
    <n v="890"/>
    <n v="400"/>
    <n v="3560"/>
    <n v="1960"/>
    <x v="42"/>
    <x v="0"/>
    <s v="Ukraine"/>
    <s v="Business"/>
    <s v="No"/>
    <x v="6"/>
    <x v="1"/>
    <d v="2023-02-27T00:00:00"/>
    <x v="1"/>
  </r>
  <r>
    <n v="109"/>
    <s v="25x31"/>
    <x v="0"/>
    <s v="Qr code"/>
    <s v="Silver-Black"/>
    <s v="Vasyl"/>
    <s v="Marchenko"/>
    <x v="1"/>
    <n v="58"/>
    <x v="2"/>
    <n v="1"/>
    <n v="1040"/>
    <n v="500"/>
    <n v="1040"/>
    <n v="540"/>
    <x v="21"/>
    <x v="3"/>
    <s v="Ukraine"/>
    <s v="Business"/>
    <s v="No"/>
    <x v="4"/>
    <x v="0"/>
    <d v="2023-04-13T00:00:00"/>
    <x v="7"/>
  </r>
  <r>
    <n v="110"/>
    <s v="20х27"/>
    <x v="0"/>
    <s v="Qr code"/>
    <s v="Black"/>
    <s v="Alex"/>
    <s v="Lysenko"/>
    <x v="1"/>
    <n v="20"/>
    <x v="0"/>
    <n v="5"/>
    <n v="790"/>
    <n v="350"/>
    <n v="3950"/>
    <n v="2200"/>
    <x v="18"/>
    <x v="3"/>
    <s v="Ukraine"/>
    <s v="Business"/>
    <s v="No"/>
    <x v="3"/>
    <x v="2"/>
    <d v="2023-11-26T00:00:00"/>
    <x v="5"/>
  </r>
  <r>
    <n v="111"/>
    <s v="20x27"/>
    <x v="0"/>
    <s v="Qr code"/>
    <s v="Silver-Black"/>
    <s v="Sasha"/>
    <s v="Rudenko"/>
    <x v="1"/>
    <n v="49"/>
    <x v="1"/>
    <n v="5"/>
    <n v="940"/>
    <n v="420"/>
    <n v="4700"/>
    <n v="2600"/>
    <x v="36"/>
    <x v="0"/>
    <s v="Ukraine"/>
    <s v="Business"/>
    <s v="No"/>
    <x v="2"/>
    <x v="3"/>
    <d v="2023-08-13T00:00:00"/>
    <x v="3"/>
  </r>
  <r>
    <n v="112"/>
    <s v="25x31 "/>
    <x v="0"/>
    <s v="Qr code"/>
    <s v="Silver-Black"/>
    <s v="Vlad"/>
    <s v="Savchenko"/>
    <x v="1"/>
    <n v="25"/>
    <x v="0"/>
    <n v="3"/>
    <n v="890"/>
    <n v="400"/>
    <n v="2670"/>
    <n v="1470"/>
    <x v="12"/>
    <x v="2"/>
    <s v="Ukraine"/>
    <s v="Business"/>
    <s v="No"/>
    <x v="7"/>
    <x v="1"/>
    <d v="2023-07-20T00:00:00"/>
    <x v="8"/>
  </r>
  <r>
    <n v="113"/>
    <s v="25х31"/>
    <x v="0"/>
    <s v="Qr code"/>
    <s v="Black"/>
    <s v="Hanna"/>
    <s v="Hrytsenko"/>
    <x v="0"/>
    <n v="31"/>
    <x v="0"/>
    <n v="2"/>
    <n v="890"/>
    <n v="350"/>
    <n v="1780"/>
    <n v="1080"/>
    <x v="0"/>
    <x v="0"/>
    <s v="Ukraine"/>
    <s v="Business"/>
    <s v="No"/>
    <x v="2"/>
    <x v="2"/>
    <d v="2023-03-18T00:00:00"/>
    <x v="0"/>
  </r>
  <r>
    <n v="114"/>
    <s v="20х20"/>
    <x v="0"/>
    <s v="Qr code"/>
    <s v="Red"/>
    <s v="Nikola"/>
    <s v="Polishchuk"/>
    <x v="1"/>
    <n v="56"/>
    <x v="2"/>
    <n v="4"/>
    <n v="690"/>
    <n v="280"/>
    <n v="2760"/>
    <n v="1640"/>
    <x v="17"/>
    <x v="1"/>
    <s v="Ukraine"/>
    <s v="Business"/>
    <s v="No"/>
    <x v="1"/>
    <x v="0"/>
    <d v="2023-08-20T00:00:00"/>
    <x v="3"/>
  </r>
  <r>
    <n v="115"/>
    <s v="20х27"/>
    <x v="0"/>
    <s v="Qr code"/>
    <s v="Silver-Black"/>
    <s v="Ihnat"/>
    <s v="Tymoshenko"/>
    <x v="1"/>
    <n v="42"/>
    <x v="1"/>
    <n v="1"/>
    <n v="790"/>
    <n v="380"/>
    <n v="790"/>
    <n v="410"/>
    <x v="21"/>
    <x v="3"/>
    <s v="Ukraine"/>
    <s v="Business"/>
    <s v="No"/>
    <x v="3"/>
    <x v="3"/>
    <d v="2023-12-26T00:00:00"/>
    <x v="10"/>
  </r>
  <r>
    <n v="116"/>
    <s v="25x31"/>
    <x v="0"/>
    <s v="Qr code"/>
    <s v="Silver"/>
    <s v="Slava"/>
    <s v="Kostenko"/>
    <x v="0"/>
    <n v="34"/>
    <x v="0"/>
    <n v="5"/>
    <n v="890"/>
    <n v="890"/>
    <n v="4450"/>
    <n v="0"/>
    <x v="43"/>
    <x v="4"/>
    <s v="Ukraine"/>
    <s v="Business"/>
    <s v="No"/>
    <x v="2"/>
    <x v="1"/>
    <d v="2023-10-15T00:00:00"/>
    <x v="9"/>
  </r>
  <r>
    <n v="117"/>
    <s v="25x31"/>
    <x v="0"/>
    <s v="Qr code"/>
    <s v="Black"/>
    <s v="Galyna"/>
    <s v="Zakharchenko"/>
    <x v="0"/>
    <n v="23"/>
    <x v="0"/>
    <n v="2"/>
    <n v="890"/>
    <n v="350"/>
    <n v="1780"/>
    <n v="1080"/>
    <x v="28"/>
    <x v="2"/>
    <s v="Ukraine"/>
    <s v="Business"/>
    <s v="No"/>
    <x v="7"/>
    <x v="0"/>
    <d v="2023-11-20T00:00:00"/>
    <x v="5"/>
  </r>
  <r>
    <n v="118"/>
    <s v="20x27"/>
    <x v="0"/>
    <s v="Qr code"/>
    <s v="Black"/>
    <s v="Volodymyr"/>
    <s v="Denysenko"/>
    <x v="1"/>
    <n v="56"/>
    <x v="2"/>
    <n v="3"/>
    <n v="790"/>
    <n v="320"/>
    <n v="2370"/>
    <n v="1410"/>
    <x v="19"/>
    <x v="3"/>
    <s v="Ukraine"/>
    <s v="Business"/>
    <s v="No"/>
    <x v="3"/>
    <x v="2"/>
    <d v="2023-11-17T00:00:00"/>
    <x v="5"/>
  </r>
  <r>
    <n v="119"/>
    <s v="20x20"/>
    <x v="0"/>
    <s v="Qr code"/>
    <s v="Silver-Black"/>
    <s v="Vitaliaa"/>
    <s v="Ivanenko"/>
    <x v="0"/>
    <n v="24"/>
    <x v="0"/>
    <n v="4"/>
    <n v="840"/>
    <n v="350"/>
    <n v="3360"/>
    <n v="1960"/>
    <x v="17"/>
    <x v="1"/>
    <s v="Ukraine"/>
    <s v="Business"/>
    <s v="No"/>
    <x v="7"/>
    <x v="3"/>
    <d v="2023-03-11T00:00:00"/>
    <x v="0"/>
  </r>
  <r>
    <n v="120"/>
    <s v="25х31"/>
    <x v="0"/>
    <s v="Qr code"/>
    <s v="Black"/>
    <s v="Vitalia"/>
    <s v="Oliynyk"/>
    <x v="0"/>
    <n v="64"/>
    <x v="2"/>
    <n v="1"/>
    <n v="890"/>
    <n v="350"/>
    <n v="890"/>
    <n v="540"/>
    <x v="11"/>
    <x v="2"/>
    <s v="Ukraine"/>
    <s v="Business"/>
    <s v="No"/>
    <x v="7"/>
    <x v="1"/>
    <d v="2023-02-20T00:00:00"/>
    <x v="1"/>
  </r>
  <r>
    <n v="121"/>
    <s v="25x31"/>
    <x v="0"/>
    <s v="Qr code"/>
    <s v="Silver"/>
    <s v="Kateryna"/>
    <s v="Shevchenko"/>
    <x v="0"/>
    <n v="64"/>
    <x v="2"/>
    <n v="5"/>
    <n v="1040"/>
    <n v="400"/>
    <n v="5200"/>
    <n v="3200"/>
    <x v="14"/>
    <x v="3"/>
    <s v="Ukraine"/>
    <s v="Business"/>
    <s v="No"/>
    <x v="2"/>
    <x v="2"/>
    <d v="2023-06-26T00:00:00"/>
    <x v="6"/>
  </r>
  <r>
    <n v="122"/>
    <s v="30x37"/>
    <x v="0"/>
    <s v="Qr code"/>
    <s v="Silver"/>
    <s v="Segey"/>
    <s v="Kovalenko"/>
    <x v="1"/>
    <n v="23"/>
    <x v="0"/>
    <n v="3"/>
    <n v="990"/>
    <n v="500"/>
    <n v="2970"/>
    <n v="1470"/>
    <x v="22"/>
    <x v="4"/>
    <s v="Ukraine"/>
    <s v="Business"/>
    <s v="No"/>
    <x v="7"/>
    <x v="0"/>
    <d v="2023-04-30T00:00:00"/>
    <x v="7"/>
  </r>
  <r>
    <n v="123"/>
    <s v="20x27"/>
    <x v="0"/>
    <s v="Qr code"/>
    <s v="Black"/>
    <s v="Fedir"/>
    <s v="Bondarenko"/>
    <x v="1"/>
    <n v="19"/>
    <x v="0"/>
    <n v="2"/>
    <n v="790"/>
    <n v="320"/>
    <n v="1580"/>
    <n v="940"/>
    <x v="5"/>
    <x v="3"/>
    <s v="Ukraine"/>
    <s v="Business"/>
    <s v="No"/>
    <x v="7"/>
    <x v="3"/>
    <d v="2023-02-25T00:00:00"/>
    <x v="1"/>
  </r>
  <r>
    <n v="124"/>
    <s v="30x37"/>
    <x v="0"/>
    <s v="Qr code"/>
    <s v="Silver-Black"/>
    <s v="Dmytro"/>
    <s v="Tkachenko"/>
    <x v="1"/>
    <n v="21"/>
    <x v="0"/>
    <n v="4"/>
    <n v="990"/>
    <n v="500"/>
    <n v="3960"/>
    <n v="1960"/>
    <x v="33"/>
    <x v="1"/>
    <s v="Ukraine"/>
    <s v="Business"/>
    <s v="No"/>
    <x v="3"/>
    <x v="1"/>
    <d v="2023-12-05T00:00:00"/>
    <x v="10"/>
  </r>
  <r>
    <n v="125"/>
    <s v="20x27"/>
    <x v="0"/>
    <s v="Qr code"/>
    <s v="Silver-Black"/>
    <s v="Katerina"/>
    <s v="Kravchenko"/>
    <x v="0"/>
    <n v="56"/>
    <x v="2"/>
    <n v="1"/>
    <n v="790"/>
    <n v="380"/>
    <n v="790"/>
    <n v="410"/>
    <x v="12"/>
    <x v="2"/>
    <s v="Ukraine"/>
    <s v="Business"/>
    <s v="No"/>
    <x v="5"/>
    <x v="0"/>
    <d v="2023-03-28T00:00:00"/>
    <x v="0"/>
  </r>
  <r>
    <n v="126"/>
    <s v="25x25"/>
    <x v="0"/>
    <s v="Qr code"/>
    <s v="Yellow"/>
    <s v="Volodya"/>
    <s v="Boyko"/>
    <x v="1"/>
    <n v="34"/>
    <x v="0"/>
    <n v="5"/>
    <n v="1275"/>
    <n v="700"/>
    <n v="6375"/>
    <n v="2875"/>
    <x v="44"/>
    <x v="1"/>
    <s v="Ukraine"/>
    <s v="Business"/>
    <s v="No"/>
    <x v="3"/>
    <x v="2"/>
    <d v="2023-12-05T00:00:00"/>
    <x v="10"/>
  </r>
  <r>
    <n v="127"/>
    <s v="25х25"/>
    <x v="0"/>
    <s v="Qr code"/>
    <s v="Silver-Black"/>
    <s v="Nazar"/>
    <s v="Kovalchuk"/>
    <x v="1"/>
    <n v="64"/>
    <x v="2"/>
    <n v="2"/>
    <n v="711"/>
    <n v="400"/>
    <n v="1422"/>
    <n v="622"/>
    <x v="39"/>
    <x v="4"/>
    <s v="Ukraine"/>
    <s v="Business"/>
    <s v="No"/>
    <x v="1"/>
    <x v="3"/>
    <d v="2023-07-02T00:00:00"/>
    <x v="8"/>
  </r>
  <r>
    <n v="128"/>
    <s v="25x31 "/>
    <x v="0"/>
    <s v="Qr code"/>
    <s v="Silver-Black"/>
    <s v="Alina"/>
    <s v="Melnyk"/>
    <x v="0"/>
    <n v="78"/>
    <x v="2"/>
    <n v="3"/>
    <n v="890"/>
    <n v="623"/>
    <n v="2670"/>
    <n v="801"/>
    <x v="6"/>
    <x v="1"/>
    <s v="Ukraine"/>
    <s v="Business"/>
    <s v="No"/>
    <x v="3"/>
    <x v="1"/>
    <d v="2023-01-25T00:00:00"/>
    <x v="4"/>
  </r>
  <r>
    <n v="129"/>
    <s v="30x37"/>
    <x v="0"/>
    <s v="Qr code"/>
    <s v="Red"/>
    <s v="Nazar"/>
    <s v="Marchenko"/>
    <x v="1"/>
    <n v="54"/>
    <x v="2"/>
    <n v="4"/>
    <n v="990"/>
    <n v="400"/>
    <n v="3960"/>
    <n v="2360"/>
    <x v="1"/>
    <x v="1"/>
    <s v="Ukraine"/>
    <s v="Business"/>
    <s v="No"/>
    <x v="2"/>
    <x v="2"/>
    <d v="2023-07-13T00:00:00"/>
    <x v="8"/>
  </r>
  <r>
    <n v="130"/>
    <s v="20x20"/>
    <x v="0"/>
    <s v="Qr code"/>
    <s v="Silver"/>
    <s v="Inessa"/>
    <s v="Lysenko"/>
    <x v="0"/>
    <n v="32"/>
    <x v="0"/>
    <n v="1"/>
    <n v="690"/>
    <n v="520"/>
    <n v="690"/>
    <n v="170"/>
    <x v="28"/>
    <x v="2"/>
    <s v="Ukraine"/>
    <s v="Business"/>
    <s v="No"/>
    <x v="4"/>
    <x v="0"/>
    <d v="2023-11-17T00:00:00"/>
    <x v="5"/>
  </r>
  <r>
    <n v="131"/>
    <s v="20x27"/>
    <x v="0"/>
    <s v="Qr code"/>
    <s v="Silver-Black"/>
    <s v="Inna"/>
    <s v="Rudenko"/>
    <x v="0"/>
    <n v="55"/>
    <x v="2"/>
    <n v="5"/>
    <n v="790"/>
    <n v="380"/>
    <n v="3950"/>
    <n v="2050"/>
    <x v="33"/>
    <x v="1"/>
    <s v="Ukraine"/>
    <s v="Business"/>
    <s v="No"/>
    <x v="3"/>
    <x v="3"/>
    <d v="2023-08-06T00:00:00"/>
    <x v="3"/>
  </r>
  <r>
    <n v="132"/>
    <s v="30x30"/>
    <x v="0"/>
    <s v="Qr code"/>
    <s v="Red"/>
    <s v="Kostya"/>
    <s v="Savchenko"/>
    <x v="1"/>
    <n v="36"/>
    <x v="1"/>
    <n v="3"/>
    <n v="1595"/>
    <n v="1000"/>
    <n v="4785"/>
    <n v="1785"/>
    <x v="23"/>
    <x v="4"/>
    <s v="Ukraine"/>
    <s v="Business"/>
    <s v="No"/>
    <x v="1"/>
    <x v="1"/>
    <d v="2023-04-06T00:00:00"/>
    <x v="7"/>
  </r>
  <r>
    <n v="133"/>
    <s v="25x31"/>
    <x v="0"/>
    <s v="Qr code"/>
    <s v="Yellow"/>
    <s v="Igor"/>
    <s v="Hrytsenko"/>
    <x v="1"/>
    <n v="28"/>
    <x v="0"/>
    <n v="2"/>
    <n v="890"/>
    <n v="350"/>
    <n v="1780"/>
    <n v="1080"/>
    <x v="18"/>
    <x v="3"/>
    <s v="Ukraine"/>
    <s v="Business"/>
    <s v="No"/>
    <x v="1"/>
    <x v="0"/>
    <d v="2023-10-03T00:00:00"/>
    <x v="9"/>
  </r>
  <r>
    <n v="134"/>
    <s v="30x37"/>
    <x v="0"/>
    <s v="Qr code"/>
    <s v="Silver-Black"/>
    <s v="Alina"/>
    <s v="Polishchuk"/>
    <x v="0"/>
    <n v="50"/>
    <x v="2"/>
    <n v="4"/>
    <n v="990"/>
    <n v="450"/>
    <n v="3960"/>
    <n v="2160"/>
    <x v="27"/>
    <x v="0"/>
    <s v="Ukraine"/>
    <s v="Business"/>
    <s v="No"/>
    <x v="3"/>
    <x v="2"/>
    <d v="2023-10-27T00:00:00"/>
    <x v="9"/>
  </r>
  <r>
    <n v="135"/>
    <s v="30x37"/>
    <x v="0"/>
    <s v="Qr code"/>
    <s v="Green"/>
    <s v="Lybov"/>
    <s v="Tymoshenko"/>
    <x v="0"/>
    <n v="39"/>
    <x v="1"/>
    <n v="1"/>
    <n v="990"/>
    <n v="400"/>
    <n v="990"/>
    <n v="590"/>
    <x v="36"/>
    <x v="0"/>
    <s v="Ukraine"/>
    <s v="Business"/>
    <s v="No"/>
    <x v="6"/>
    <x v="3"/>
    <d v="2023-01-04T00:00:00"/>
    <x v="4"/>
  </r>
  <r>
    <n v="136"/>
    <s v="25х31"/>
    <x v="0"/>
    <s v="Qr code"/>
    <s v="Silver-Black"/>
    <s v="Hanna"/>
    <s v="Kostenko"/>
    <x v="0"/>
    <n v="31"/>
    <x v="0"/>
    <n v="5"/>
    <n v="1040"/>
    <n v="500"/>
    <n v="5200"/>
    <n v="2700"/>
    <x v="18"/>
    <x v="3"/>
    <s v="Ukraine"/>
    <s v="Business"/>
    <s v="No"/>
    <x v="5"/>
    <x v="1"/>
    <d v="2023-12-13T00:00:00"/>
    <x v="10"/>
  </r>
  <r>
    <n v="137"/>
    <s v="30х30"/>
    <x v="0"/>
    <s v="Qr code"/>
    <s v="Black"/>
    <s v="Nikola"/>
    <s v="Zakharchenko"/>
    <x v="1"/>
    <n v="44"/>
    <x v="1"/>
    <n v="2"/>
    <n v="6270"/>
    <n v="3150"/>
    <n v="12540"/>
    <n v="6240"/>
    <x v="19"/>
    <x v="3"/>
    <s v="Ukraine"/>
    <s v="Business"/>
    <s v="No"/>
    <x v="0"/>
    <x v="2"/>
    <d v="2023-11-02T00:00:00"/>
    <x v="5"/>
  </r>
  <r>
    <n v="138"/>
    <s v="25x25"/>
    <x v="0"/>
    <s v="Qr code"/>
    <s v="Green"/>
    <s v="Ihnat"/>
    <s v="Denysenko"/>
    <x v="1"/>
    <n v="26"/>
    <x v="0"/>
    <n v="3"/>
    <n v="1100"/>
    <n v="680"/>
    <n v="3300"/>
    <n v="1260"/>
    <x v="3"/>
    <x v="0"/>
    <s v="Ukraine"/>
    <s v="Business"/>
    <s v="No"/>
    <x v="4"/>
    <x v="0"/>
    <d v="2023-08-14T00:00:00"/>
    <x v="3"/>
  </r>
  <r>
    <n v="139"/>
    <s v="30x30"/>
    <x v="0"/>
    <s v="Qr code"/>
    <s v="Silver-Black"/>
    <s v="Slava"/>
    <s v="Ivanenko"/>
    <x v="0"/>
    <n v="48"/>
    <x v="1"/>
    <n v="4"/>
    <n v="1200"/>
    <n v="580"/>
    <n v="4800"/>
    <n v="2480"/>
    <x v="42"/>
    <x v="0"/>
    <s v="Ukraine"/>
    <s v="Business"/>
    <s v="No"/>
    <x v="0"/>
    <x v="3"/>
    <d v="2023-06-07T00:00:00"/>
    <x v="6"/>
  </r>
  <r>
    <n v="140"/>
    <s v="30х30"/>
    <x v="0"/>
    <s v="Qr code"/>
    <s v="Red"/>
    <s v="Galyna"/>
    <s v="Oliynyk"/>
    <x v="0"/>
    <n v="53"/>
    <x v="2"/>
    <n v="3"/>
    <n v="1635"/>
    <n v="1000"/>
    <n v="4905"/>
    <n v="1905"/>
    <x v="2"/>
    <x v="2"/>
    <s v="Ukraine"/>
    <s v="Business"/>
    <s v="No"/>
    <x v="1"/>
    <x v="1"/>
    <d v="2023-10-06T00:00:00"/>
    <x v="9"/>
  </r>
  <r>
    <n v="141"/>
    <s v="30x37"/>
    <x v="0"/>
    <s v="Qr code"/>
    <s v="Gold-Black"/>
    <s v="Volodymyr"/>
    <s v="Shevchenko"/>
    <x v="1"/>
    <n v="30"/>
    <x v="0"/>
    <n v="1"/>
    <n v="990"/>
    <n v="450"/>
    <n v="990"/>
    <n v="540"/>
    <x v="31"/>
    <x v="3"/>
    <s v="Ukraine"/>
    <s v="Business"/>
    <s v="No"/>
    <x v="3"/>
    <x v="0"/>
    <d v="2023-06-13T00:00:00"/>
    <x v="6"/>
  </r>
  <r>
    <n v="142"/>
    <s v="25х31"/>
    <x v="0"/>
    <s v="Qr code"/>
    <s v="Silver"/>
    <s v="Vitaliaa"/>
    <s v="Kovalenko"/>
    <x v="0"/>
    <n v="37"/>
    <x v="1"/>
    <n v="4"/>
    <n v="1040"/>
    <n v="500"/>
    <n v="4160"/>
    <n v="2160"/>
    <x v="33"/>
    <x v="1"/>
    <s v="Ukraine"/>
    <s v="Business"/>
    <s v="No"/>
    <x v="3"/>
    <x v="2"/>
    <d v="2023-08-23T00:00:00"/>
    <x v="3"/>
  </r>
  <r>
    <n v="143"/>
    <s v="30x37"/>
    <x v="0"/>
    <s v="Qr code"/>
    <s v="Silver"/>
    <s v="Vitalia"/>
    <s v="Bondarenko"/>
    <x v="0"/>
    <n v="42"/>
    <x v="1"/>
    <n v="5"/>
    <n v="1840"/>
    <n v="900"/>
    <n v="9200"/>
    <n v="4700"/>
    <x v="6"/>
    <x v="1"/>
    <s v="Ukraine"/>
    <s v="Business"/>
    <s v="No"/>
    <x v="3"/>
    <x v="3"/>
    <d v="2023-02-11T00:00:00"/>
    <x v="1"/>
  </r>
  <r>
    <n v="144"/>
    <s v="20x27"/>
    <x v="0"/>
    <s v="Qr code"/>
    <s v="Gold"/>
    <s v="Kateryna"/>
    <s v="Tkachenko"/>
    <x v="0"/>
    <n v="24"/>
    <x v="0"/>
    <n v="3"/>
    <n v="940"/>
    <n v="420"/>
    <n v="2820"/>
    <n v="1560"/>
    <x v="44"/>
    <x v="1"/>
    <s v="Ukraine"/>
    <s v="Business"/>
    <s v="No"/>
    <x v="5"/>
    <x v="1"/>
    <d v="2023-05-23T00:00:00"/>
    <x v="11"/>
  </r>
  <r>
    <n v="145"/>
    <s v="20x27"/>
    <x v="0"/>
    <s v="Qr code"/>
    <s v="Yellow"/>
    <s v="Segey"/>
    <s v="Kravchenko"/>
    <x v="1"/>
    <n v="57"/>
    <x v="2"/>
    <n v="2"/>
    <n v="940"/>
    <n v="350"/>
    <n v="1880"/>
    <n v="1180"/>
    <x v="11"/>
    <x v="2"/>
    <s v="Ukraine"/>
    <s v="Business"/>
    <s v="No"/>
    <x v="2"/>
    <x v="2"/>
    <d v="2023-06-07T00:00:00"/>
    <x v="6"/>
  </r>
  <r>
    <n v="146"/>
    <s v="20x27"/>
    <x v="0"/>
    <s v="Qr code"/>
    <s v="Silver-Black"/>
    <s v="Fedir"/>
    <s v="Boyko"/>
    <x v="1"/>
    <n v="35"/>
    <x v="0"/>
    <n v="4"/>
    <n v="790"/>
    <n v="380"/>
    <n v="3160"/>
    <n v="1640"/>
    <x v="35"/>
    <x v="0"/>
    <s v="Ukraine"/>
    <s v="Business"/>
    <s v="No"/>
    <x v="6"/>
    <x v="0"/>
    <d v="2023-02-07T00:00:00"/>
    <x v="1"/>
  </r>
  <r>
    <n v="147"/>
    <s v="25х31"/>
    <x v="0"/>
    <s v="Qr code"/>
    <s v="Gold"/>
    <s v="Dmytro"/>
    <s v="Kovalchuk"/>
    <x v="1"/>
    <n v="40"/>
    <x v="1"/>
    <n v="1"/>
    <n v="890"/>
    <n v="400"/>
    <n v="890"/>
    <n v="490"/>
    <x v="36"/>
    <x v="0"/>
    <s v="Ukraine"/>
    <s v="Business"/>
    <s v="No"/>
    <x v="6"/>
    <x v="3"/>
    <d v="2023-10-31T00:00:00"/>
    <x v="9"/>
  </r>
  <r>
    <n v="148"/>
    <s v="25x30"/>
    <x v="0"/>
    <s v="Qr code"/>
    <s v="Gold"/>
    <s v="Katerina"/>
    <s v="Melnyk"/>
    <x v="0"/>
    <n v="21"/>
    <x v="0"/>
    <n v="5"/>
    <n v="2185"/>
    <n v="1100"/>
    <n v="10925"/>
    <n v="5425"/>
    <x v="23"/>
    <x v="4"/>
    <s v="Ukraine"/>
    <s v="Business"/>
    <s v="No"/>
    <x v="6"/>
    <x v="1"/>
    <d v="2023-08-19T00:00:00"/>
    <x v="3"/>
  </r>
  <r>
    <n v="149"/>
    <s v="25x31"/>
    <x v="0"/>
    <s v="Qr code"/>
    <s v="Silver-Black"/>
    <s v="Volodya"/>
    <s v="Marchenko"/>
    <x v="1"/>
    <n v="36"/>
    <x v="1"/>
    <n v="2"/>
    <n v="890"/>
    <n v="400"/>
    <n v="1780"/>
    <n v="980"/>
    <x v="33"/>
    <x v="1"/>
    <s v="Ukraine"/>
    <s v="Business"/>
    <s v="No"/>
    <x v="0"/>
    <x v="0"/>
    <d v="2023-09-02T00:00:00"/>
    <x v="2"/>
  </r>
  <r>
    <n v="150"/>
    <s v="20x20"/>
    <x v="0"/>
    <s v="Qr code"/>
    <s v="Silver-Black"/>
    <s v="Dmytro"/>
    <s v="Lysenko"/>
    <x v="1"/>
    <n v="28"/>
    <x v="0"/>
    <n v="3"/>
    <n v="840"/>
    <n v="380"/>
    <n v="2520"/>
    <n v="1380"/>
    <x v="7"/>
    <x v="0"/>
    <s v="Ukraine"/>
    <s v="Business"/>
    <s v="No"/>
    <x v="5"/>
    <x v="2"/>
    <d v="2023-02-11T00:00:00"/>
    <x v="1"/>
  </r>
  <r>
    <n v="151"/>
    <s v="30x37"/>
    <x v="0"/>
    <s v="Qr code"/>
    <s v="Gold-Black"/>
    <s v="Katerina"/>
    <s v="Rudenko"/>
    <x v="0"/>
    <n v="50"/>
    <x v="2"/>
    <n v="4"/>
    <n v="990"/>
    <n v="500"/>
    <n v="3960"/>
    <n v="1960"/>
    <x v="30"/>
    <x v="0"/>
    <s v="Ukraine"/>
    <s v="Business"/>
    <s v="No"/>
    <x v="6"/>
    <x v="3"/>
    <d v="2023-02-05T00:00:00"/>
    <x v="1"/>
  </r>
  <r>
    <n v="152"/>
    <s v="30x37"/>
    <x v="0"/>
    <s v="Qr code"/>
    <s v="Silver"/>
    <s v="Volodya"/>
    <s v="Savchenko"/>
    <x v="1"/>
    <n v="39"/>
    <x v="1"/>
    <n v="1"/>
    <n v="700"/>
    <n v="500"/>
    <n v="700"/>
    <n v="200"/>
    <x v="30"/>
    <x v="0"/>
    <s v="Ukraine"/>
    <s v="Business"/>
    <s v="No"/>
    <x v="3"/>
    <x v="1"/>
    <d v="2023-12-29T00:00:00"/>
    <x v="10"/>
  </r>
  <r>
    <n v="153"/>
    <s v="30x30"/>
    <x v="0"/>
    <s v="Qr code"/>
    <s v="Silver"/>
    <s v="Nazar"/>
    <s v="Hrytsenko"/>
    <x v="1"/>
    <n v="31"/>
    <x v="0"/>
    <n v="5"/>
    <n v="1530"/>
    <n v="800"/>
    <n v="7650"/>
    <n v="3650"/>
    <x v="22"/>
    <x v="4"/>
    <s v="Ukraine"/>
    <s v="Business"/>
    <s v="No"/>
    <x v="2"/>
    <x v="2"/>
    <d v="2023-04-15T00:00:00"/>
    <x v="7"/>
  </r>
  <r>
    <n v="154"/>
    <s v="20x20"/>
    <x v="0"/>
    <s v="Qr code"/>
    <s v="Silver-Black"/>
    <s v="Alina"/>
    <s v="Polishchuk"/>
    <x v="0"/>
    <n v="44"/>
    <x v="1"/>
    <n v="3"/>
    <n v="715"/>
    <n v="350"/>
    <n v="2145"/>
    <n v="1095"/>
    <x v="12"/>
    <x v="2"/>
    <s v="Ukraine"/>
    <s v="Business"/>
    <s v="No"/>
    <x v="1"/>
    <x v="0"/>
    <d v="2023-02-04T00:00:00"/>
    <x v="1"/>
  </r>
  <r>
    <n v="155"/>
    <s v="20x27"/>
    <x v="0"/>
    <s v="Qr code"/>
    <s v="Silver-Black"/>
    <s v="Nazar"/>
    <s v="Tymoshenko"/>
    <x v="1"/>
    <n v="26"/>
    <x v="0"/>
    <n v="2"/>
    <n v="670"/>
    <n v="380"/>
    <n v="1340"/>
    <n v="580"/>
    <x v="4"/>
    <x v="3"/>
    <s v="Ukraine"/>
    <s v="Business"/>
    <s v="No"/>
    <x v="4"/>
    <x v="3"/>
    <d v="2023-05-25T00:00:00"/>
    <x v="11"/>
  </r>
  <r>
    <n v="156"/>
    <s v="25x31"/>
    <x v="0"/>
    <s v="Qr code"/>
    <s v="Silver"/>
    <s v="Inessa"/>
    <s v="Kostenko"/>
    <x v="0"/>
    <n v="48"/>
    <x v="1"/>
    <n v="4"/>
    <n v="940"/>
    <n v="500"/>
    <n v="3760"/>
    <n v="1760"/>
    <x v="29"/>
    <x v="0"/>
    <s v="Ukraine"/>
    <s v="Business"/>
    <s v="No"/>
    <x v="0"/>
    <x v="1"/>
    <d v="2023-11-04T00:00:00"/>
    <x v="5"/>
  </r>
  <r>
    <n v="157"/>
    <s v="30x37"/>
    <x v="0"/>
    <s v="Qr code"/>
    <s v="Silver-Black"/>
    <s v="Inna"/>
    <s v="Zakharchenko"/>
    <x v="0"/>
    <n v="53"/>
    <x v="2"/>
    <n v="1"/>
    <n v="990"/>
    <n v="500"/>
    <n v="990"/>
    <n v="490"/>
    <x v="41"/>
    <x v="0"/>
    <s v="Ukraine"/>
    <s v="Business"/>
    <s v="No"/>
    <x v="7"/>
    <x v="0"/>
    <d v="2023-04-03T00:00:00"/>
    <x v="7"/>
  </r>
  <r>
    <n v="158"/>
    <s v="30x37"/>
    <x v="0"/>
    <s v="Qr code"/>
    <s v="Gold"/>
    <s v="Anya"/>
    <s v="Denysenko"/>
    <x v="0"/>
    <n v="30"/>
    <x v="0"/>
    <n v="5"/>
    <n v="990"/>
    <n v="500"/>
    <n v="4950"/>
    <n v="2450"/>
    <x v="35"/>
    <x v="0"/>
    <s v="Ukraine"/>
    <s v="Business"/>
    <s v="No"/>
    <x v="0"/>
    <x v="2"/>
    <d v="2023-02-17T00:00:00"/>
    <x v="1"/>
  </r>
  <r>
    <n v="159"/>
    <s v="30x37"/>
    <x v="0"/>
    <s v="Qr code"/>
    <s v="Gold"/>
    <s v="Igor"/>
    <s v="Ivanenko"/>
    <x v="1"/>
    <n v="37"/>
    <x v="1"/>
    <n v="2"/>
    <n v="900"/>
    <n v="500"/>
    <n v="1800"/>
    <n v="800"/>
    <x v="5"/>
    <x v="3"/>
    <s v="Ukraine"/>
    <s v="Business"/>
    <s v="No"/>
    <x v="0"/>
    <x v="3"/>
    <d v="2023-06-02T00:00:00"/>
    <x v="6"/>
  </r>
  <r>
    <n v="160"/>
    <s v="25х31"/>
    <x v="0"/>
    <s v="Qr code"/>
    <s v="Gold-Black"/>
    <s v="Alina"/>
    <s v="Oliynyk"/>
    <x v="0"/>
    <n v="42"/>
    <x v="1"/>
    <n v="3"/>
    <n v="890"/>
    <n v="400"/>
    <n v="2670"/>
    <n v="1470"/>
    <x v="12"/>
    <x v="2"/>
    <s v="Ukraine"/>
    <s v="Business"/>
    <s v="No"/>
    <x v="0"/>
    <x v="1"/>
    <d v="2023-12-17T00:00:00"/>
    <x v="10"/>
  </r>
  <r>
    <n v="161"/>
    <s v="25x31"/>
    <x v="0"/>
    <s v="Qr code"/>
    <s v="Gold"/>
    <s v="Lybov"/>
    <s v="Shevchenko"/>
    <x v="0"/>
    <n v="24"/>
    <x v="0"/>
    <n v="4"/>
    <n v="1040"/>
    <n v="500"/>
    <n v="4160"/>
    <n v="2160"/>
    <x v="30"/>
    <x v="0"/>
    <s v="Ukraine"/>
    <s v="Business"/>
    <s v="No"/>
    <x v="5"/>
    <x v="2"/>
    <d v="2023-11-10T00:00:00"/>
    <x v="5"/>
  </r>
  <r>
    <n v="162"/>
    <s v="20x27"/>
    <x v="0"/>
    <s v="Qr code"/>
    <s v="Black"/>
    <s v="Hanna"/>
    <s v="Kovalenko"/>
    <x v="0"/>
    <n v="57"/>
    <x v="2"/>
    <n v="1"/>
    <n v="1040"/>
    <n v="350"/>
    <n v="1040"/>
    <n v="690"/>
    <x v="34"/>
    <x v="1"/>
    <s v="Ukraine"/>
    <s v="Business"/>
    <s v="No"/>
    <x v="2"/>
    <x v="0"/>
    <d v="2023-06-10T00:00:00"/>
    <x v="6"/>
  </r>
  <r>
    <n v="163"/>
    <s v="30x37"/>
    <x v="0"/>
    <s v="Qr code"/>
    <s v="Gold-Black"/>
    <s v="Nikola"/>
    <s v="Bondarenko"/>
    <x v="1"/>
    <n v="35"/>
    <x v="0"/>
    <n v="5"/>
    <n v="990"/>
    <n v="500"/>
    <n v="4950"/>
    <n v="2450"/>
    <x v="15"/>
    <x v="0"/>
    <s v="Ukraine"/>
    <s v="Business"/>
    <s v="No"/>
    <x v="1"/>
    <x v="3"/>
    <d v="2023-09-28T00:00:00"/>
    <x v="2"/>
  </r>
  <r>
    <n v="164"/>
    <s v="25x25 "/>
    <x v="0"/>
    <s v="Qr code"/>
    <s v="Black"/>
    <s v="Ihnat"/>
    <s v="Tkachenko"/>
    <x v="1"/>
    <n v="40"/>
    <x v="1"/>
    <n v="3"/>
    <n v="4470"/>
    <n v="3100"/>
    <n v="13410"/>
    <n v="4110"/>
    <x v="39"/>
    <x v="4"/>
    <s v="Ukraine"/>
    <s v="Business"/>
    <s v="No"/>
    <x v="7"/>
    <x v="1"/>
    <d v="2023-07-14T00:00:00"/>
    <x v="8"/>
  </r>
  <r>
    <n v="165"/>
    <s v="25х31"/>
    <x v="0"/>
    <s v="Qr code"/>
    <s v="Black"/>
    <s v="Slava"/>
    <s v="Kravchenko"/>
    <x v="0"/>
    <n v="21"/>
    <x v="0"/>
    <n v="2"/>
    <n v="1240"/>
    <n v="750"/>
    <n v="2480"/>
    <n v="980"/>
    <x v="41"/>
    <x v="0"/>
    <s v="Ukraine"/>
    <s v="Business"/>
    <s v="No"/>
    <x v="3"/>
    <x v="0"/>
    <d v="2023-06-02T00:00:00"/>
    <x v="6"/>
  </r>
  <r>
    <n v="166"/>
    <s v="25x31 "/>
    <x v="0"/>
    <s v="Qr code"/>
    <s v="Black"/>
    <s v="Galyna"/>
    <s v="Boyko"/>
    <x v="0"/>
    <n v="59"/>
    <x v="2"/>
    <n v="4"/>
    <n v="1500"/>
    <n v="750"/>
    <n v="6000"/>
    <n v="3000"/>
    <x v="24"/>
    <x v="3"/>
    <s v="Ukraine"/>
    <s v="Business"/>
    <s v="No"/>
    <x v="5"/>
    <x v="2"/>
    <d v="2023-02-16T00:00:00"/>
    <x v="1"/>
  </r>
  <r>
    <n v="167"/>
    <s v="20x20"/>
    <x v="0"/>
    <s v="Qr code"/>
    <s v="Gold-Black"/>
    <s v="Volodymyr"/>
    <s v="Kovalchuk"/>
    <x v="1"/>
    <n v="32"/>
    <x v="0"/>
    <n v="1"/>
    <n v="1655"/>
    <n v="1000"/>
    <n v="1655"/>
    <n v="655"/>
    <x v="27"/>
    <x v="0"/>
    <s v="Ukraine"/>
    <s v="Business"/>
    <s v="No"/>
    <x v="7"/>
    <x v="3"/>
    <d v="2023-10-04T00:00:00"/>
    <x v="9"/>
  </r>
  <r>
    <n v="168"/>
    <s v="25x31"/>
    <x v="0"/>
    <s v="Qr code"/>
    <s v="Black"/>
    <s v="Vitaliaa"/>
    <s v="Melnyk"/>
    <x v="0"/>
    <n v="46"/>
    <x v="1"/>
    <n v="5"/>
    <n v="890"/>
    <n v="350"/>
    <n v="4450"/>
    <n v="2700"/>
    <x v="31"/>
    <x v="3"/>
    <s v="Ukraine"/>
    <s v="Business"/>
    <s v="No"/>
    <x v="0"/>
    <x v="1"/>
    <d v="2023-05-06T00:00:00"/>
    <x v="11"/>
  </r>
  <r>
    <n v="168"/>
    <s v="25х25"/>
    <x v="0"/>
    <s v="Qr code"/>
    <s v="Silver-Black"/>
    <s v="Vitalia"/>
    <s v="Marchenko"/>
    <x v="0"/>
    <n v="54"/>
    <x v="2"/>
    <n v="2"/>
    <n v="790"/>
    <n v="790"/>
    <n v="1580"/>
    <n v="0"/>
    <x v="28"/>
    <x v="2"/>
    <s v="Ukraine"/>
    <s v="Business"/>
    <s v="No"/>
    <x v="3"/>
    <x v="2"/>
    <d v="2023-03-17T00:00:00"/>
    <x v="0"/>
  </r>
  <r>
    <n v="169"/>
    <s v="25х31"/>
    <x v="0"/>
    <s v="Qr code"/>
    <s v="Silver"/>
    <s v="Kateryna"/>
    <s v="Lysenko"/>
    <x v="0"/>
    <n v="25"/>
    <x v="0"/>
    <n v="3"/>
    <n v="1650"/>
    <n v="800"/>
    <n v="4950"/>
    <n v="2550"/>
    <x v="43"/>
    <x v="4"/>
    <s v="Ukraine"/>
    <s v="Business"/>
    <s v="No"/>
    <x v="6"/>
    <x v="0"/>
    <d v="2023-07-25T00:00:00"/>
    <x v="8"/>
  </r>
  <r>
    <n v="170"/>
    <s v="30x37"/>
    <x v="0"/>
    <s v="Qr code"/>
    <s v="Gold-Black"/>
    <s v="Segey"/>
    <s v="Rudenko"/>
    <x v="1"/>
    <n v="43"/>
    <x v="1"/>
    <n v="4"/>
    <n v="1100"/>
    <n v="700"/>
    <n v="4400"/>
    <n v="1600"/>
    <x v="23"/>
    <x v="4"/>
    <s v="Ukraine"/>
    <s v="Business"/>
    <s v="No"/>
    <x v="2"/>
    <x v="3"/>
    <d v="2023-07-18T00:00:00"/>
    <x v="8"/>
  </r>
  <r>
    <n v="171"/>
    <s v="20x20"/>
    <x v="0"/>
    <s v="Qr code"/>
    <s v="Black"/>
    <s v="Fedir"/>
    <s v="Savchenko"/>
    <x v="1"/>
    <n v="58"/>
    <x v="2"/>
    <n v="5"/>
    <n v="1190"/>
    <n v="650"/>
    <n v="5950"/>
    <n v="2700"/>
    <x v="24"/>
    <x v="3"/>
    <s v="Ukraine"/>
    <s v="Business"/>
    <s v="No"/>
    <x v="7"/>
    <x v="1"/>
    <d v="2023-01-22T00:00:00"/>
    <x v="4"/>
  </r>
  <r>
    <n v="172"/>
    <s v="30x37"/>
    <x v="0"/>
    <s v="Qr code"/>
    <s v="Black"/>
    <s v="Dmytro"/>
    <s v="Hrytsenko"/>
    <x v="1"/>
    <n v="20"/>
    <x v="0"/>
    <n v="2"/>
    <n v="990"/>
    <n v="400"/>
    <n v="1980"/>
    <n v="1180"/>
    <x v="29"/>
    <x v="0"/>
    <s v="Ukraine"/>
    <s v="Business"/>
    <s v="No"/>
    <x v="4"/>
    <x v="0"/>
    <d v="2023-04-02T00:00:00"/>
    <x v="7"/>
  </r>
  <r>
    <n v="173"/>
    <s v="30x37"/>
    <x v="0"/>
    <s v="Qr code"/>
    <s v="Silver-Black"/>
    <s v="Katerina"/>
    <s v="Polishchuk"/>
    <x v="0"/>
    <n v="49"/>
    <x v="1"/>
    <n v="3"/>
    <n v="890"/>
    <n v="500"/>
    <n v="2670"/>
    <n v="1170"/>
    <x v="13"/>
    <x v="1"/>
    <s v="Ukraine"/>
    <s v="Business"/>
    <s v="No"/>
    <x v="7"/>
    <x v="2"/>
    <d v="2023-04-05T00:00:00"/>
    <x v="7"/>
  </r>
  <r>
    <n v="174"/>
    <s v="30x30"/>
    <x v="0"/>
    <s v="Qr code"/>
    <s v="Black"/>
    <s v="Volodya"/>
    <s v="Tymoshenko"/>
    <x v="1"/>
    <n v="34"/>
    <x v="0"/>
    <n v="4"/>
    <n v="1650"/>
    <n v="1000"/>
    <n v="6600"/>
    <n v="2600"/>
    <x v="23"/>
    <x v="4"/>
    <s v="Ukraine"/>
    <s v="Business"/>
    <s v="No"/>
    <x v="0"/>
    <x v="3"/>
    <d v="2023-05-04T00:00:00"/>
    <x v="11"/>
  </r>
  <r>
    <n v="175"/>
    <s v="20x20 "/>
    <x v="0"/>
    <s v="Qr code"/>
    <s v="Green"/>
    <s v="Dmytro"/>
    <s v="Kostenko"/>
    <x v="1"/>
    <n v="27"/>
    <x v="0"/>
    <n v="3"/>
    <n v="890"/>
    <n v="400"/>
    <n v="2670"/>
    <n v="1470"/>
    <x v="27"/>
    <x v="0"/>
    <s v="Ukraine"/>
    <s v="Business"/>
    <s v="No"/>
    <x v="1"/>
    <x v="1"/>
    <d v="2023-10-23T00:00:00"/>
    <x v="9"/>
  </r>
  <r>
    <n v="176"/>
    <s v="25x31"/>
    <x v="0"/>
    <s v="Qr code"/>
    <s v="Gold-Black"/>
    <s v="Kateryna"/>
    <s v="Zakharchenko"/>
    <x v="0"/>
    <n v="45"/>
    <x v="1"/>
    <n v="1"/>
    <n v="1240"/>
    <n v="600"/>
    <n v="1240"/>
    <n v="640"/>
    <x v="29"/>
    <x v="0"/>
    <s v="Ukraine"/>
    <s v="Business"/>
    <s v="No"/>
    <x v="2"/>
    <x v="2"/>
    <d v="2023-12-26T00:00:00"/>
    <x v="10"/>
  </r>
  <r>
    <n v="177"/>
    <s v="25x31"/>
    <x v="0"/>
    <s v="Qr code"/>
    <s v="Silver-Black"/>
    <s v="Segey"/>
    <s v="Denysenko"/>
    <x v="1"/>
    <n v="52"/>
    <x v="2"/>
    <n v="4"/>
    <n v="1090"/>
    <n v="600"/>
    <n v="4360"/>
    <n v="1960"/>
    <x v="40"/>
    <x v="3"/>
    <s v="Ukraine"/>
    <s v="Business"/>
    <s v="No"/>
    <x v="4"/>
    <x v="0"/>
    <d v="2023-06-08T00:00:00"/>
    <x v="6"/>
  </r>
  <r>
    <n v="178"/>
    <s v="30x37"/>
    <x v="0"/>
    <s v="Qr code"/>
    <s v="Silver-Black"/>
    <s v="Fedir"/>
    <s v="Ivanenko"/>
    <x v="1"/>
    <n v="23"/>
    <x v="0"/>
    <n v="5"/>
    <n v="990"/>
    <n v="500"/>
    <n v="4950"/>
    <n v="2450"/>
    <x v="6"/>
    <x v="1"/>
    <s v="Ukraine"/>
    <s v="Business"/>
    <s v="No"/>
    <x v="0"/>
    <x v="3"/>
    <d v="2023-05-27T00:00:00"/>
    <x v="11"/>
  </r>
  <r>
    <n v="179"/>
    <s v="30x37"/>
    <x v="0"/>
    <s v="Qr code"/>
    <s v="Black"/>
    <s v="Dmytro"/>
    <s v="Oliynyk"/>
    <x v="1"/>
    <n v="38"/>
    <x v="1"/>
    <n v="3"/>
    <n v="990"/>
    <n v="400"/>
    <n v="2970"/>
    <n v="1770"/>
    <x v="20"/>
    <x v="0"/>
    <s v="Ukraine"/>
    <s v="Business"/>
    <s v="No"/>
    <x v="0"/>
    <x v="1"/>
    <d v="2023-04-13T00:00:00"/>
    <x v="7"/>
  </r>
  <r>
    <n v="180"/>
    <s v="40x40"/>
    <x v="0"/>
    <s v="Qr code"/>
    <s v="Black"/>
    <s v="Katerina"/>
    <s v="Shevchenko"/>
    <x v="0"/>
    <n v="41"/>
    <x v="1"/>
    <n v="2"/>
    <n v="1800"/>
    <n v="1000"/>
    <n v="3600"/>
    <n v="1600"/>
    <x v="13"/>
    <x v="1"/>
    <s v="Ukraine"/>
    <s v="Business"/>
    <s v="No"/>
    <x v="3"/>
    <x v="0"/>
    <d v="2023-01-17T00:00:00"/>
    <x v="4"/>
  </r>
  <r>
    <n v="181"/>
    <s v="25x31"/>
    <x v="0"/>
    <s v="Qr code"/>
    <s v="Green"/>
    <s v="Volodya"/>
    <s v="Kovalenko"/>
    <x v="1"/>
    <n v="29"/>
    <x v="0"/>
    <n v="4"/>
    <n v="1090"/>
    <n v="600"/>
    <n v="4360"/>
    <n v="1960"/>
    <x v="31"/>
    <x v="3"/>
    <s v="Ukraine"/>
    <s v="Business"/>
    <s v="No"/>
    <x v="1"/>
    <x v="2"/>
    <d v="2023-08-19T00:00:00"/>
    <x v="3"/>
  </r>
  <r>
    <n v="182"/>
    <s v="25x31"/>
    <x v="0"/>
    <s v="Qr code"/>
    <s v="Silver-Black"/>
    <s v="Dmytro"/>
    <s v="Bondarenko"/>
    <x v="1"/>
    <n v="60"/>
    <x v="2"/>
    <n v="1"/>
    <n v="1090"/>
    <n v="600"/>
    <n v="1090"/>
    <n v="490"/>
    <x v="20"/>
    <x v="0"/>
    <s v="Ukraine"/>
    <s v="Business"/>
    <s v="No"/>
    <x v="2"/>
    <x v="3"/>
    <d v="2023-11-15T00:00:00"/>
    <x v="5"/>
  </r>
  <r>
    <n v="183"/>
    <s v="25x31"/>
    <x v="0"/>
    <s v="Qr code"/>
    <s v="Gold-Black"/>
    <s v="Katerina"/>
    <s v="Tkachenko"/>
    <x v="0"/>
    <n v="33"/>
    <x v="0"/>
    <n v="5"/>
    <n v="1240"/>
    <n v="600"/>
    <n v="6200"/>
    <n v="3200"/>
    <x v="7"/>
    <x v="0"/>
    <s v="Ukraine"/>
    <s v="Business"/>
    <s v="No"/>
    <x v="6"/>
    <x v="1"/>
    <d v="2023-02-17T00:00:00"/>
    <x v="1"/>
  </r>
  <r>
    <n v="184"/>
    <s v="100х37"/>
    <x v="0"/>
    <s v="Qr code"/>
    <s v="Black"/>
    <s v="Volodya"/>
    <s v="Kravchenko"/>
    <x v="1"/>
    <n v="22"/>
    <x v="0"/>
    <n v="2"/>
    <n v="1700"/>
    <n v="650"/>
    <n v="3400"/>
    <n v="2100"/>
    <x v="22"/>
    <x v="4"/>
    <s v="Ukraine"/>
    <s v="Business"/>
    <s v="No"/>
    <x v="3"/>
    <x v="2"/>
    <d v="2023-10-06T00:00:00"/>
    <x v="9"/>
  </r>
  <r>
    <n v="185"/>
    <s v="20x27"/>
    <x v="0"/>
    <s v="Qr code"/>
    <s v="Silver-Black"/>
    <s v="Nazar"/>
    <s v="Boyko"/>
    <x v="1"/>
    <n v="47"/>
    <x v="1"/>
    <n v="3"/>
    <n v="790"/>
    <n v="380"/>
    <n v="2370"/>
    <n v="1230"/>
    <x v="30"/>
    <x v="0"/>
    <s v="Ukraine"/>
    <s v="Business"/>
    <s v="No"/>
    <x v="7"/>
    <x v="0"/>
    <d v="2023-09-13T00:00:00"/>
    <x v="2"/>
  </r>
  <r>
    <n v="186"/>
    <s v="20х20"/>
    <x v="0"/>
    <s v="Qr code"/>
    <s v="Gold-Black"/>
    <s v="Alina"/>
    <s v="Kovalchuk"/>
    <x v="0"/>
    <n v="55"/>
    <x v="2"/>
    <n v="4"/>
    <n v="890"/>
    <n v="500"/>
    <n v="3560"/>
    <n v="1560"/>
    <x v="22"/>
    <x v="4"/>
    <s v="Ukraine"/>
    <s v="Business"/>
    <s v="No"/>
    <x v="1"/>
    <x v="3"/>
    <d v="2023-01-04T00:00:00"/>
    <x v="4"/>
  </r>
  <r>
    <n v="187"/>
    <s v="20х27"/>
    <x v="0"/>
    <s v="Qr code"/>
    <s v="Gold-Black"/>
    <s v="Nazar"/>
    <s v="Melnyk"/>
    <x v="1"/>
    <n v="36"/>
    <x v="1"/>
    <n v="1"/>
    <n v="990"/>
    <n v="500"/>
    <n v="990"/>
    <n v="490"/>
    <x v="29"/>
    <x v="0"/>
    <s v="Ukraine"/>
    <s v="Business"/>
    <s v="No"/>
    <x v="5"/>
    <x v="1"/>
    <d v="2023-06-04T00:00:00"/>
    <x v="6"/>
  </r>
  <r>
    <n v="188"/>
    <s v="20x27"/>
    <x v="0"/>
    <s v="Qr code"/>
    <s v="Silver"/>
    <s v="Inessa"/>
    <s v="Marchenko"/>
    <x v="0"/>
    <n v="28"/>
    <x v="0"/>
    <n v="5"/>
    <n v="940"/>
    <n v="500"/>
    <n v="4700"/>
    <n v="2200"/>
    <x v="23"/>
    <x v="4"/>
    <s v="Ukraine"/>
    <s v="Business"/>
    <s v="No"/>
    <x v="2"/>
    <x v="0"/>
    <d v="2023-01-27T00:00:00"/>
    <x v="4"/>
  </r>
  <r>
    <n v="189"/>
    <s v="20х20"/>
    <x v="0"/>
    <s v="Qr code"/>
    <s v="Silver"/>
    <s v="Inna"/>
    <s v="Lysenko"/>
    <x v="0"/>
    <n v="50"/>
    <x v="2"/>
    <n v="3"/>
    <n v="690"/>
    <n v="380"/>
    <n v="2070"/>
    <n v="930"/>
    <x v="21"/>
    <x v="3"/>
    <s v="Ukraine"/>
    <s v="Business"/>
    <s v="No"/>
    <x v="1"/>
    <x v="2"/>
    <d v="2023-12-27T00:00:00"/>
    <x v="10"/>
  </r>
  <r>
    <n v="190"/>
    <s v="30x30"/>
    <x v="0"/>
    <s v="Qr code"/>
    <s v="Black"/>
    <s v="Anya"/>
    <s v="Rudenko"/>
    <x v="0"/>
    <n v="39"/>
    <x v="1"/>
    <n v="2"/>
    <n v="1000"/>
    <n v="300"/>
    <n v="2000"/>
    <n v="1400"/>
    <x v="33"/>
    <x v="1"/>
    <s v="Ukraine"/>
    <s v="Business"/>
    <s v="No"/>
    <x v="0"/>
    <x v="3"/>
    <d v="2023-08-10T00:00:00"/>
    <x v="3"/>
  </r>
  <r>
    <n v="191"/>
    <s v="25x31"/>
    <x v="0"/>
    <s v="Qr code"/>
    <s v="Black"/>
    <s v="Igor"/>
    <s v="Savchenko"/>
    <x v="1"/>
    <n v="31"/>
    <x v="0"/>
    <n v="4"/>
    <n v="2000"/>
    <n v="1400"/>
    <n v="8000"/>
    <n v="2400"/>
    <x v="10"/>
    <x v="0"/>
    <s v="Ukraine"/>
    <s v="Business"/>
    <s v="No"/>
    <x v="3"/>
    <x v="1"/>
    <d v="2023-12-15T00:00:00"/>
    <x v="10"/>
  </r>
  <r>
    <n v="192"/>
    <s v="25x31 "/>
    <x v="0"/>
    <s v="Qr code"/>
    <s v="Silver"/>
    <s v="Alina"/>
    <s v="Hrytsenko"/>
    <x v="0"/>
    <n v="44"/>
    <x v="1"/>
    <n v="1"/>
    <n v="890"/>
    <n v="400"/>
    <n v="890"/>
    <n v="490"/>
    <x v="22"/>
    <x v="4"/>
    <s v="Ukraine"/>
    <s v="Business"/>
    <s v="No"/>
    <x v="6"/>
    <x v="2"/>
    <d v="2023-06-30T00:00:00"/>
    <x v="6"/>
  </r>
  <r>
    <n v="193"/>
    <s v="25x31"/>
    <x v="0"/>
    <s v="Qr code"/>
    <s v="Gold-Black"/>
    <s v="Lybov"/>
    <s v="Polishchuk"/>
    <x v="0"/>
    <n v="26"/>
    <x v="0"/>
    <n v="5"/>
    <n v="1000"/>
    <n v="450"/>
    <n v="5000"/>
    <n v="2750"/>
    <x v="34"/>
    <x v="1"/>
    <s v="Ukraine"/>
    <s v="Business"/>
    <s v="No"/>
    <x v="7"/>
    <x v="0"/>
    <d v="2023-09-19T00:00:00"/>
    <x v="2"/>
  </r>
  <r>
    <n v="194"/>
    <s v="25х31"/>
    <x v="0"/>
    <s v="Qr code"/>
    <s v="Silver-Black"/>
    <s v="Hanna"/>
    <s v="Tymoshenko"/>
    <x v="0"/>
    <n v="48"/>
    <x v="1"/>
    <n v="2"/>
    <n v="930"/>
    <n v="600"/>
    <n v="1860"/>
    <n v="660"/>
    <x v="28"/>
    <x v="2"/>
    <s v="Ukraine"/>
    <s v="Business"/>
    <s v="No"/>
    <x v="6"/>
    <x v="3"/>
    <d v="2023-09-11T00:00:00"/>
    <x v="2"/>
  </r>
  <r>
    <n v="195"/>
    <s v="25х31 "/>
    <x v="0"/>
    <s v="Qr code"/>
    <s v="Black"/>
    <s v="Nikola"/>
    <s v="Kostenko"/>
    <x v="1"/>
    <n v="53"/>
    <x v="2"/>
    <n v="3"/>
    <n v="1000"/>
    <n v="650"/>
    <n v="3000"/>
    <n v="1050"/>
    <x v="7"/>
    <x v="0"/>
    <s v="Ukraine"/>
    <s v="Business"/>
    <s v="No"/>
    <x v="6"/>
    <x v="1"/>
    <d v="2023-10-31T00:00:00"/>
    <x v="9"/>
  </r>
  <r>
    <n v="196"/>
    <s v="42x37"/>
    <x v="0"/>
    <s v="Qr code"/>
    <s v="Black"/>
    <s v="Ihnat"/>
    <s v="Zakharchenko"/>
    <x v="1"/>
    <n v="30"/>
    <x v="0"/>
    <n v="4"/>
    <n v="1150"/>
    <n v="700"/>
    <n v="4600"/>
    <n v="1800"/>
    <x v="29"/>
    <x v="0"/>
    <s v="Ukraine"/>
    <s v="Business"/>
    <s v="No"/>
    <x v="6"/>
    <x v="0"/>
    <d v="2023-05-12T00:00:00"/>
    <x v="11"/>
  </r>
  <r>
    <n v="198"/>
    <s v="25х31"/>
    <x v="0"/>
    <s v="Qr code"/>
    <s v="Silver-Black"/>
    <s v="Slava"/>
    <s v="Denysenko"/>
    <x v="0"/>
    <n v="37"/>
    <x v="1"/>
    <n v="1"/>
    <n v="670"/>
    <n v="400"/>
    <n v="670"/>
    <n v="270"/>
    <x v="3"/>
    <x v="0"/>
    <s v="Ukraine"/>
    <s v="Business"/>
    <s v="No"/>
    <x v="3"/>
    <x v="2"/>
    <d v="2023-04-07T00:00:00"/>
    <x v="7"/>
  </r>
  <r>
    <n v="199"/>
    <s v="30х9"/>
    <x v="0"/>
    <s v="Qr code"/>
    <s v="Silver-Black"/>
    <s v="Galyna"/>
    <s v="Ivanenko"/>
    <x v="0"/>
    <n v="42"/>
    <x v="1"/>
    <n v="5"/>
    <n v="250"/>
    <n v="100"/>
    <n v="1250"/>
    <n v="750"/>
    <x v="10"/>
    <x v="0"/>
    <s v="Ukraine"/>
    <s v="Business"/>
    <s v="No"/>
    <x v="1"/>
    <x v="3"/>
    <d v="2023-08-04T00:00:00"/>
    <x v="3"/>
  </r>
  <r>
    <n v="200"/>
    <s v="20х10"/>
    <x v="0"/>
    <s v="Qr code"/>
    <s v="Black"/>
    <s v="Volodymyr"/>
    <s v="Oliynyk"/>
    <x v="1"/>
    <n v="24"/>
    <x v="0"/>
    <n v="3"/>
    <n v="1000"/>
    <n v="500"/>
    <n v="3000"/>
    <n v="1500"/>
    <x v="9"/>
    <x v="3"/>
    <s v="Ukraine"/>
    <s v="Business"/>
    <s v="No"/>
    <x v="5"/>
    <x v="1"/>
    <d v="2023-04-10T00:00:00"/>
    <x v="7"/>
  </r>
  <r>
    <n v="201"/>
    <s v="25x25"/>
    <x v="0"/>
    <s v="Qr code"/>
    <s v="Silver"/>
    <s v="Vitaliaa"/>
    <s v="Shevchenko"/>
    <x v="0"/>
    <n v="28"/>
    <x v="0"/>
    <n v="5"/>
    <n v="1150"/>
    <n v="700"/>
    <n v="5750"/>
    <n v="2250"/>
    <x v="37"/>
    <x v="4"/>
    <s v="Ukraine"/>
    <s v="Business"/>
    <s v="No"/>
    <x v="6"/>
    <x v="2"/>
    <d v="2023-06-05T00:00:00"/>
    <x v="6"/>
  </r>
  <r>
    <n v="202"/>
    <s v="20x27"/>
    <x v="0"/>
    <s v="Qr code"/>
    <s v="Silver"/>
    <s v="Vitalia"/>
    <s v="Kovalenko"/>
    <x v="0"/>
    <n v="50"/>
    <x v="2"/>
    <n v="2"/>
    <n v="790"/>
    <n v="380"/>
    <n v="1580"/>
    <n v="820"/>
    <x v="21"/>
    <x v="3"/>
    <s v="Ukraine"/>
    <s v="Business"/>
    <s v="No"/>
    <x v="5"/>
    <x v="0"/>
    <d v="2023-11-02T00:00:00"/>
    <x v="5"/>
  </r>
  <r>
    <n v="203"/>
    <s v="30x37"/>
    <x v="0"/>
    <s v="Qr code"/>
    <s v="Silver"/>
    <s v="Kateryna"/>
    <s v="Bondarenko"/>
    <x v="0"/>
    <n v="39"/>
    <x v="1"/>
    <n v="1"/>
    <n v="1265"/>
    <n v="700"/>
    <n v="1265"/>
    <n v="565"/>
    <x v="21"/>
    <x v="3"/>
    <s v="Ukraine"/>
    <s v="Business"/>
    <s v="No"/>
    <x v="6"/>
    <x v="3"/>
    <d v="2023-01-26T00:00:00"/>
    <x v="4"/>
  </r>
  <r>
    <n v="204"/>
    <s v="25x31"/>
    <x v="0"/>
    <s v="Qr code"/>
    <s v="Red"/>
    <s v="Segey"/>
    <s v="Tkachenko"/>
    <x v="1"/>
    <n v="31"/>
    <x v="0"/>
    <n v="3"/>
    <n v="1090"/>
    <n v="600"/>
    <n v="3270"/>
    <n v="1470"/>
    <x v="44"/>
    <x v="1"/>
    <s v="Ukraine"/>
    <s v="Business"/>
    <s v="No"/>
    <x v="1"/>
    <x v="1"/>
    <d v="2023-03-06T00:00:00"/>
    <x v="0"/>
  </r>
  <r>
    <n v="205"/>
    <s v="25x31"/>
    <x v="0"/>
    <s v="Qr code"/>
    <s v="Black"/>
    <s v="Artem"/>
    <s v="Kravchenko"/>
    <x v="1"/>
    <n v="44"/>
    <x v="1"/>
    <n v="4"/>
    <n v="1090"/>
    <n v="600"/>
    <n v="4360"/>
    <n v="1960"/>
    <x v="0"/>
    <x v="0"/>
    <s v="Ukraine"/>
    <s v="Business"/>
    <s v="No"/>
    <x v="4"/>
    <x v="0"/>
    <d v="2023-01-23T00:00:00"/>
    <x v="4"/>
  </r>
  <r>
    <n v="206"/>
    <s v="25x31"/>
    <x v="0"/>
    <s v="Qr code"/>
    <s v="Gold-Black"/>
    <s v="Bogdan"/>
    <s v="Boyko"/>
    <x v="1"/>
    <n v="26"/>
    <x v="0"/>
    <n v="5"/>
    <n v="1150"/>
    <n v="600"/>
    <n v="5750"/>
    <n v="2750"/>
    <x v="42"/>
    <x v="0"/>
    <s v="Ukraine"/>
    <s v="Business"/>
    <s v="No"/>
    <x v="6"/>
    <x v="2"/>
    <d v="2023-02-15T00:00:00"/>
    <x v="1"/>
  </r>
  <r>
    <n v="207"/>
    <s v="25x31 "/>
    <x v="0"/>
    <s v="Qr code"/>
    <s v="Silver"/>
    <s v="Lazar"/>
    <s v="Kovalchuk"/>
    <x v="1"/>
    <n v="48"/>
    <x v="1"/>
    <n v="2"/>
    <n v="710"/>
    <n v="400"/>
    <n v="1420"/>
    <n v="620"/>
    <x v="33"/>
    <x v="1"/>
    <s v="Ukraine"/>
    <s v="Business"/>
    <s v="No"/>
    <x v="5"/>
    <x v="3"/>
    <d v="2023-01-04T00:00:00"/>
    <x v="4"/>
  </r>
  <r>
    <n v="208"/>
    <s v="30x37"/>
    <x v="0"/>
    <s v="Qr code"/>
    <s v="Silver-Black"/>
    <s v="Viola"/>
    <s v="Melnyk"/>
    <x v="0"/>
    <n v="53"/>
    <x v="2"/>
    <n v="3"/>
    <n v="790"/>
    <n v="500"/>
    <n v="2370"/>
    <n v="870"/>
    <x v="7"/>
    <x v="0"/>
    <s v="Ukraine"/>
    <s v="Business"/>
    <s v="No"/>
    <x v="7"/>
    <x v="1"/>
    <d v="2023-06-25T00:00:00"/>
    <x v="6"/>
  </r>
  <r>
    <n v="209"/>
    <s v="20х27"/>
    <x v="0"/>
    <s v="Qr code"/>
    <s v="Black"/>
    <s v="Nazar"/>
    <s v="Marchenko"/>
    <x v="1"/>
    <n v="30"/>
    <x v="0"/>
    <n v="1"/>
    <n v="1040"/>
    <n v="600"/>
    <n v="1040"/>
    <n v="440"/>
    <x v="39"/>
    <x v="4"/>
    <s v="Ukraine"/>
    <s v="Business"/>
    <s v="No"/>
    <x v="3"/>
    <x v="2"/>
    <d v="2023-12-30T00:00:00"/>
    <x v="10"/>
  </r>
  <r>
    <n v="210"/>
    <s v="25x31"/>
    <x v="0"/>
    <s v="Qr code"/>
    <s v="Silver-Black"/>
    <s v="Alina"/>
    <s v="Lysenko"/>
    <x v="0"/>
    <n v="37"/>
    <x v="1"/>
    <n v="4"/>
    <n v="890"/>
    <n v="400"/>
    <n v="3560"/>
    <n v="1960"/>
    <x v="30"/>
    <x v="0"/>
    <s v="Ukraine"/>
    <s v="Business"/>
    <s v="No"/>
    <x v="7"/>
    <x v="0"/>
    <d v="2023-10-21T00:00:00"/>
    <x v="9"/>
  </r>
  <r>
    <n v="220"/>
    <s v="25x31"/>
    <x v="0"/>
    <s v="Qr code"/>
    <s v="Silver"/>
    <s v="Nazar"/>
    <s v="Rudenko"/>
    <x v="1"/>
    <n v="42"/>
    <x v="1"/>
    <n v="5"/>
    <n v="1000"/>
    <n v="600"/>
    <n v="5000"/>
    <n v="2000"/>
    <x v="20"/>
    <x v="0"/>
    <s v="Ukraine"/>
    <s v="Business"/>
    <s v="No"/>
    <x v="1"/>
    <x v="3"/>
    <d v="2023-04-12T00:00:00"/>
    <x v="7"/>
  </r>
  <r>
    <n v="221"/>
    <s v="25х31"/>
    <x v="0"/>
    <s v="Qr code"/>
    <s v="Black"/>
    <s v="Inessa"/>
    <s v="Savchenko"/>
    <x v="0"/>
    <n v="24"/>
    <x v="0"/>
    <n v="3"/>
    <n v="1655"/>
    <n v="800"/>
    <n v="4965"/>
    <n v="2565"/>
    <x v="28"/>
    <x v="2"/>
    <s v="Ukraine"/>
    <s v="Business"/>
    <s v="No"/>
    <x v="2"/>
    <x v="1"/>
    <d v="2023-06-30T00:00:00"/>
    <x v="6"/>
  </r>
  <r>
    <n v="222"/>
    <s v="25x31"/>
    <x v="0"/>
    <s v="Qr code"/>
    <s v="Black"/>
    <s v="Inna"/>
    <s v="Hrytsenko"/>
    <x v="0"/>
    <n v="57"/>
    <x v="2"/>
    <n v="2"/>
    <n v="1750"/>
    <n v="850"/>
    <n v="3500"/>
    <n v="1800"/>
    <x v="10"/>
    <x v="0"/>
    <s v="Ukraine"/>
    <s v="Business"/>
    <s v="No"/>
    <x v="1"/>
    <x v="0"/>
    <d v="2023-04-29T00:00:00"/>
    <x v="7"/>
  </r>
  <r>
    <n v="223"/>
    <s v="25х31"/>
    <x v="0"/>
    <s v="Qr code"/>
    <s v="Black"/>
    <s v="Anya"/>
    <s v="Polishchuk"/>
    <x v="0"/>
    <n v="35"/>
    <x v="0"/>
    <n v="4"/>
    <n v="890"/>
    <n v="400"/>
    <n v="3560"/>
    <n v="1960"/>
    <x v="29"/>
    <x v="0"/>
    <s v="Ukraine"/>
    <s v="Business"/>
    <s v="No"/>
    <x v="4"/>
    <x v="2"/>
    <d v="2023-05-01T00:00:00"/>
    <x v="11"/>
  </r>
  <r>
    <n v="224"/>
    <s v="25x31"/>
    <x v="0"/>
    <s v="Qr code"/>
    <s v="Silver"/>
    <s v="Igor"/>
    <s v="Tymoshenko"/>
    <x v="1"/>
    <n v="40"/>
    <x v="1"/>
    <n v="1"/>
    <n v="1650"/>
    <n v="750"/>
    <n v="1650"/>
    <n v="900"/>
    <x v="12"/>
    <x v="2"/>
    <s v="Ukraine"/>
    <s v="Business"/>
    <s v="No"/>
    <x v="7"/>
    <x v="3"/>
    <d v="2023-01-18T00:00:00"/>
    <x v="4"/>
  </r>
  <r>
    <n v="225"/>
    <s v="20x20"/>
    <x v="0"/>
    <s v="Qr code"/>
    <s v="Silver"/>
    <s v="Alina"/>
    <s v="Kostenko"/>
    <x v="0"/>
    <n v="21"/>
    <x v="0"/>
    <n v="5"/>
    <n v="2000"/>
    <n v="1300"/>
    <n v="10000"/>
    <n v="3500"/>
    <x v="37"/>
    <x v="4"/>
    <s v="Ukraine"/>
    <s v="Business"/>
    <s v="No"/>
    <x v="5"/>
    <x v="1"/>
    <d v="2023-05-09T00:00:00"/>
    <x v="11"/>
  </r>
  <r>
    <n v="226"/>
    <s v="25х31"/>
    <x v="0"/>
    <s v="Qr code"/>
    <s v="Silver-Black"/>
    <s v="Lybov"/>
    <s v="Zakharchenko"/>
    <x v="0"/>
    <n v="36"/>
    <x v="1"/>
    <n v="2"/>
    <n v="2020"/>
    <n v="1200"/>
    <n v="4040"/>
    <n v="1640"/>
    <x v="41"/>
    <x v="0"/>
    <s v="Ukraine"/>
    <s v="Business"/>
    <s v="No"/>
    <x v="2"/>
    <x v="2"/>
    <d v="2023-12-26T00:00:00"/>
    <x v="10"/>
  </r>
  <r>
    <n v="227"/>
    <s v="25x31"/>
    <x v="0"/>
    <s v="Qr code"/>
    <s v="Red"/>
    <s v="Hanna"/>
    <s v="Denysenko"/>
    <x v="0"/>
    <n v="28"/>
    <x v="0"/>
    <n v="3"/>
    <n v="1035"/>
    <n v="600"/>
    <n v="3105"/>
    <n v="1305"/>
    <x v="28"/>
    <x v="2"/>
    <s v="Ukraine"/>
    <s v="Business"/>
    <s v="No"/>
    <x v="5"/>
    <x v="0"/>
    <d v="2023-11-18T00:00:00"/>
    <x v="5"/>
  </r>
  <r>
    <n v="228"/>
    <s v="25х25"/>
    <x v="0"/>
    <s v="Qr code"/>
    <s v="Black"/>
    <s v="Nikola"/>
    <s v="Ivanenko"/>
    <x v="1"/>
    <n v="50"/>
    <x v="2"/>
    <n v="4"/>
    <n v="990"/>
    <n v="500"/>
    <n v="3960"/>
    <n v="1960"/>
    <x v="20"/>
    <x v="0"/>
    <s v="Ukraine"/>
    <s v="Business"/>
    <s v="No"/>
    <x v="5"/>
    <x v="3"/>
    <d v="2023-05-27T00:00:00"/>
    <x v="11"/>
  </r>
  <r>
    <n v="229"/>
    <s v="25х31"/>
    <x v="0"/>
    <s v="Qr code"/>
    <s v="Black"/>
    <s v="Ihnat"/>
    <s v="Oliynyk"/>
    <x v="1"/>
    <n v="39"/>
    <x v="1"/>
    <n v="1"/>
    <n v="890"/>
    <n v="350"/>
    <n v="890"/>
    <n v="540"/>
    <x v="29"/>
    <x v="0"/>
    <s v="Ukraine"/>
    <s v="Business"/>
    <s v="No"/>
    <x v="3"/>
    <x v="1"/>
    <d v="2023-07-31T00:00:00"/>
    <x v="8"/>
  </r>
  <r>
    <n v="230"/>
    <s v="25х31"/>
    <x v="0"/>
    <s v="Qr code"/>
    <s v="Silver"/>
    <s v="Slava"/>
    <s v="Shevchenko"/>
    <x v="0"/>
    <n v="31"/>
    <x v="0"/>
    <n v="5"/>
    <n v="1340"/>
    <n v="700"/>
    <n v="6700"/>
    <n v="3200"/>
    <x v="15"/>
    <x v="0"/>
    <s v="Ukraine"/>
    <s v="Business"/>
    <s v="No"/>
    <x v="4"/>
    <x v="0"/>
    <d v="2023-11-05T00:00:00"/>
    <x v="5"/>
  </r>
  <r>
    <n v="231"/>
    <s v="80x25"/>
    <x v="0"/>
    <s v="Qr code"/>
    <s v="Rose"/>
    <s v="Galyna"/>
    <s v="Kovalenko"/>
    <x v="0"/>
    <n v="44"/>
    <x v="1"/>
    <n v="3"/>
    <n v="1500"/>
    <n v="775"/>
    <n v="4500"/>
    <n v="2175"/>
    <x v="5"/>
    <x v="3"/>
    <s v="Ukraine"/>
    <s v="Business"/>
    <s v="No"/>
    <x v="1"/>
    <x v="2"/>
    <d v="2023-01-31T00:00:00"/>
    <x v="4"/>
  </r>
  <r>
    <n v="232"/>
    <s v="70x15"/>
    <x v="0"/>
    <s v="Qr code"/>
    <s v="Rose"/>
    <s v="Volodymyr"/>
    <s v="Bondarenko"/>
    <x v="1"/>
    <n v="26"/>
    <x v="0"/>
    <n v="2"/>
    <n v="2400"/>
    <n v="2310"/>
    <n v="4800"/>
    <n v="180"/>
    <x v="14"/>
    <x v="3"/>
    <s v="Ukraine"/>
    <s v="Business"/>
    <s v="No"/>
    <x v="3"/>
    <x v="3"/>
    <d v="2023-12-31T00:00:00"/>
    <x v="10"/>
  </r>
  <r>
    <n v="233"/>
    <s v="25x25"/>
    <x v="0"/>
    <s v="Qr code"/>
    <s v="Silver"/>
    <s v="Vitaliaa"/>
    <s v="Tkachenko"/>
    <x v="0"/>
    <n v="48"/>
    <x v="1"/>
    <n v="4"/>
    <n v="1140"/>
    <n v="550"/>
    <n v="4560"/>
    <n v="2360"/>
    <x v="9"/>
    <x v="3"/>
    <s v="Ukraine"/>
    <s v="Business"/>
    <s v="No"/>
    <x v="7"/>
    <x v="1"/>
    <d v="2023-06-01T00:00:00"/>
    <x v="6"/>
  </r>
  <r>
    <n v="234"/>
    <s v="20x27"/>
    <x v="0"/>
    <s v="Qr code"/>
    <s v="Silver"/>
    <s v="Vitalia"/>
    <s v="Kravchenko"/>
    <x v="0"/>
    <n v="53"/>
    <x v="2"/>
    <n v="1"/>
    <n v="940"/>
    <n v="650"/>
    <n v="940"/>
    <n v="290"/>
    <x v="27"/>
    <x v="0"/>
    <s v="Ukraine"/>
    <s v="Business"/>
    <s v="No"/>
    <x v="2"/>
    <x v="2"/>
    <d v="2023-02-21T00:00:00"/>
    <x v="1"/>
  </r>
  <r>
    <n v="235"/>
    <s v="25x10"/>
    <x v="0"/>
    <s v="Qr code"/>
    <s v="Rose"/>
    <s v="Kateryna"/>
    <s v="Boyko"/>
    <x v="0"/>
    <n v="30"/>
    <x v="0"/>
    <n v="5"/>
    <n v="1175"/>
    <n v="962"/>
    <n v="5875"/>
    <n v="1065"/>
    <x v="33"/>
    <x v="1"/>
    <s v="Ukraine"/>
    <s v="Business"/>
    <s v="No"/>
    <x v="1"/>
    <x v="0"/>
    <d v="2023-10-08T00:00:00"/>
    <x v="9"/>
  </r>
  <r>
    <n v="236"/>
    <s v="25x31 "/>
    <x v="0"/>
    <s v="Qr code"/>
    <s v="Silver-Black"/>
    <s v="Segey"/>
    <s v="Kovalchuk"/>
    <x v="1"/>
    <n v="37"/>
    <x v="1"/>
    <n v="2"/>
    <n v="1090"/>
    <n v="600"/>
    <n v="2180"/>
    <n v="980"/>
    <x v="12"/>
    <x v="2"/>
    <s v="Ukraine"/>
    <s v="Business"/>
    <s v="No"/>
    <x v="0"/>
    <x v="3"/>
    <d v="2023-10-28T00:00:00"/>
    <x v="9"/>
  </r>
  <r>
    <n v="237"/>
    <s v="25x31 "/>
    <x v="0"/>
    <s v="Qr code"/>
    <s v="Green"/>
    <s v="Artem"/>
    <s v="Melnyk"/>
    <x v="1"/>
    <n v="42"/>
    <x v="1"/>
    <n v="3"/>
    <n v="2175"/>
    <n v="1261.5"/>
    <n v="6525"/>
    <n v="2740.5"/>
    <x v="1"/>
    <x v="1"/>
    <s v="Ukraine"/>
    <s v="Business"/>
    <s v="No"/>
    <x v="1"/>
    <x v="1"/>
    <d v="2023-01-13T00:00:00"/>
    <x v="4"/>
  </r>
  <r>
    <n v="238"/>
    <s v="25x31 "/>
    <x v="0"/>
    <s v="Qr code"/>
    <s v="Red"/>
    <s v="Nazar"/>
    <s v="Marchenko"/>
    <x v="1"/>
    <n v="24"/>
    <x v="0"/>
    <n v="4"/>
    <n v="750"/>
    <n v="750"/>
    <n v="3000"/>
    <n v="0"/>
    <x v="5"/>
    <x v="3"/>
    <s v="Ukraine"/>
    <s v="Business"/>
    <s v="No"/>
    <x v="5"/>
    <x v="0"/>
    <d v="2023-09-25T00:00:00"/>
    <x v="2"/>
  </r>
  <r>
    <n v="239"/>
    <s v="25x31 "/>
    <x v="0"/>
    <s v="Qr code"/>
    <s v="Rose"/>
    <s v="Inessa"/>
    <s v="Lysenko"/>
    <x v="0"/>
    <n v="57"/>
    <x v="2"/>
    <n v="1"/>
    <n v="2475"/>
    <n v="1128"/>
    <n v="2475"/>
    <n v="1347"/>
    <x v="26"/>
    <x v="3"/>
    <s v="Ukraine"/>
    <s v="Business"/>
    <s v="No"/>
    <x v="4"/>
    <x v="2"/>
    <d v="2023-03-08T00:00:00"/>
    <x v="0"/>
  </r>
  <r>
    <n v="240"/>
    <s v="30x37"/>
    <x v="0"/>
    <s v="Qr code"/>
    <s v="White"/>
    <s v="Inna"/>
    <s v="Rudenko"/>
    <x v="0"/>
    <n v="35"/>
    <x v="0"/>
    <n v="5"/>
    <n v="2775"/>
    <n v="1278"/>
    <n v="13875"/>
    <n v="7485"/>
    <x v="20"/>
    <x v="0"/>
    <s v="Ukraine"/>
    <s v="Business"/>
    <s v="No"/>
    <x v="4"/>
    <x v="3"/>
    <d v="2023-08-18T00:00:00"/>
    <x v="3"/>
  </r>
  <r>
    <n v="241"/>
    <s v="30x37"/>
    <x v="0"/>
    <s v="Qr code"/>
    <s v="Silver-Black"/>
    <s v="Anya"/>
    <s v="Savchenko"/>
    <x v="0"/>
    <n v="40"/>
    <x v="1"/>
    <n v="3"/>
    <n v="1340"/>
    <n v="700"/>
    <n v="4020"/>
    <n v="1920"/>
    <x v="19"/>
    <x v="3"/>
    <s v="Ukraine"/>
    <s v="Business"/>
    <s v="No"/>
    <x v="5"/>
    <x v="1"/>
    <d v="2023-01-13T00:00:00"/>
    <x v="4"/>
  </r>
  <r>
    <n v="242"/>
    <s v="30x30"/>
    <x v="0"/>
    <s v="Qr code"/>
    <s v="Silver"/>
    <s v="Igor"/>
    <s v="Hrytsenko"/>
    <x v="1"/>
    <n v="21"/>
    <x v="0"/>
    <n v="2"/>
    <n v="1013"/>
    <n v="650"/>
    <n v="2026"/>
    <n v="726"/>
    <x v="17"/>
    <x v="1"/>
    <s v="Ukraine"/>
    <s v="Business"/>
    <s v="No"/>
    <x v="6"/>
    <x v="2"/>
    <d v="2023-12-27T00:00:00"/>
    <x v="10"/>
  </r>
  <r>
    <n v="243"/>
    <s v="25x31"/>
    <x v="0"/>
    <s v="Qr code"/>
    <s v="Gold"/>
    <s v="Alina"/>
    <s v="Polishchuk"/>
    <x v="0"/>
    <n v="59"/>
    <x v="2"/>
    <n v="4"/>
    <n v="1013"/>
    <n v="600"/>
    <n v="4052"/>
    <n v="1652"/>
    <x v="7"/>
    <x v="0"/>
    <s v="Ukraine"/>
    <s v="Business"/>
    <s v="No"/>
    <x v="0"/>
    <x v="0"/>
    <d v="2023-06-04T00:00:00"/>
    <x v="6"/>
  </r>
  <r>
    <n v="244"/>
    <s v="25x31"/>
    <x v="0"/>
    <s v="Qr code"/>
    <s v="Silver"/>
    <s v="Volodya"/>
    <s v="Tymoshenko"/>
    <x v="1"/>
    <n v="34"/>
    <x v="0"/>
    <n v="1"/>
    <n v="1240"/>
    <n v="650"/>
    <n v="1240"/>
    <n v="590"/>
    <x v="2"/>
    <x v="2"/>
    <s v="Ukraine"/>
    <s v="Business"/>
    <s v="No"/>
    <x v="2"/>
    <x v="3"/>
    <d v="2023-04-09T00:00:00"/>
    <x v="7"/>
  </r>
  <r>
    <n v="245"/>
    <s v="20x27"/>
    <x v="0"/>
    <s v="Qr code"/>
    <s v="Silver"/>
    <s v="Dmytro"/>
    <s v="Kostenko"/>
    <x v="1"/>
    <n v="27"/>
    <x v="0"/>
    <n v="5"/>
    <n v="990"/>
    <n v="500"/>
    <n v="4950"/>
    <n v="2450"/>
    <x v="0"/>
    <x v="0"/>
    <s v="Ukraine"/>
    <s v="Business"/>
    <s v="No"/>
    <x v="5"/>
    <x v="1"/>
    <d v="2023-12-27T00:00:00"/>
    <x v="10"/>
  </r>
  <r>
    <n v="246"/>
    <s v="20x20"/>
    <x v="0"/>
    <s v="Qr code"/>
    <s v="Silver"/>
    <s v="Katerina"/>
    <s v="Zakharchenko"/>
    <x v="0"/>
    <n v="45"/>
    <x v="1"/>
    <n v="3"/>
    <n v="890"/>
    <n v="450"/>
    <n v="2670"/>
    <n v="1320"/>
    <x v="35"/>
    <x v="0"/>
    <s v="Ukraine"/>
    <s v="Business"/>
    <s v="No"/>
    <x v="4"/>
    <x v="0"/>
    <d v="2023-10-17T00:00:00"/>
    <x v="9"/>
  </r>
  <r>
    <n v="247"/>
    <s v="3x3"/>
    <x v="0"/>
    <s v="Qr code"/>
    <s v="White"/>
    <s v="Volodya"/>
    <s v="Denysenko"/>
    <x v="1"/>
    <n v="52"/>
    <x v="2"/>
    <n v="1"/>
    <n v="462"/>
    <n v="300"/>
    <n v="462"/>
    <n v="162"/>
    <x v="44"/>
    <x v="1"/>
    <s v="Ukraine"/>
    <s v="Business"/>
    <s v="No"/>
    <x v="1"/>
    <x v="2"/>
    <d v="2023-05-16T00:00:00"/>
    <x v="11"/>
  </r>
  <r>
    <n v="248"/>
    <s v="40x25"/>
    <x v="1"/>
    <s v="Neon Light"/>
    <s v="Rose"/>
    <s v="Nazar"/>
    <s v="Ivanenko"/>
    <x v="1"/>
    <n v="23"/>
    <x v="0"/>
    <n v="2"/>
    <n v="1390"/>
    <n v="550"/>
    <n v="2780"/>
    <n v="1680"/>
    <x v="34"/>
    <x v="1"/>
    <s v="Ukraine"/>
    <s v="Business"/>
    <s v="No"/>
    <x v="1"/>
    <x v="3"/>
    <d v="2023-10-22T00:00:00"/>
    <x v="9"/>
  </r>
  <r>
    <n v="249"/>
    <s v="40x15"/>
    <x v="1"/>
    <s v="Neon Cherie"/>
    <s v="Red"/>
    <s v="Alina"/>
    <s v="Oliynyk"/>
    <x v="0"/>
    <n v="38"/>
    <x v="1"/>
    <n v="4"/>
    <n v="1830"/>
    <n v="830"/>
    <n v="7320"/>
    <n v="4000"/>
    <x v="24"/>
    <x v="3"/>
    <s v="Ukraine"/>
    <s v="Business"/>
    <s v="No"/>
    <x v="0"/>
    <x v="1"/>
    <d v="2023-11-18T00:00:00"/>
    <x v="5"/>
  </r>
  <r>
    <n v="250"/>
    <s v="20x27"/>
    <x v="0"/>
    <s v="Qr code"/>
    <s v="Black"/>
    <s v="Nazar"/>
    <s v="Shevchenko"/>
    <x v="1"/>
    <n v="41"/>
    <x v="1"/>
    <n v="5"/>
    <n v="990"/>
    <n v="500"/>
    <n v="4950"/>
    <n v="2450"/>
    <x v="6"/>
    <x v="1"/>
    <s v="Ukraine"/>
    <s v="Business"/>
    <s v="No"/>
    <x v="7"/>
    <x v="2"/>
    <d v="2023-06-19T00:00:00"/>
    <x v="6"/>
  </r>
  <r>
    <n v="251"/>
    <s v="15x21"/>
    <x v="0"/>
    <s v="Qr code"/>
    <s v="Gold"/>
    <s v="Inessa"/>
    <s v="Kovalenko"/>
    <x v="0"/>
    <n v="29"/>
    <x v="0"/>
    <n v="2"/>
    <n v="850"/>
    <n v="550"/>
    <n v="1700"/>
    <n v="600"/>
    <x v="9"/>
    <x v="3"/>
    <s v="Ukraine"/>
    <s v="Business"/>
    <s v="No"/>
    <x v="5"/>
    <x v="0"/>
    <d v="2023-02-24T00:00:00"/>
    <x v="1"/>
  </r>
  <r>
    <n v="252"/>
    <s v="60x20"/>
    <x v="1"/>
    <s v="Neon Coffe"/>
    <s v="Red"/>
    <s v="Inna"/>
    <s v="Bondarenko"/>
    <x v="0"/>
    <n v="60"/>
    <x v="2"/>
    <n v="3"/>
    <n v="1475"/>
    <n v="475"/>
    <n v="4425"/>
    <n v="3000"/>
    <x v="32"/>
    <x v="0"/>
    <s v="Ukraine"/>
    <s v="Business"/>
    <s v="No"/>
    <x v="1"/>
    <x v="3"/>
    <d v="2023-07-04T00:00:00"/>
    <x v="8"/>
  </r>
  <r>
    <n v="253"/>
    <s v="65x18"/>
    <x v="1"/>
    <s v="Neon 21m"/>
    <s v="Violet"/>
    <s v="Anya"/>
    <s v="Tkachenko"/>
    <x v="0"/>
    <n v="33"/>
    <x v="0"/>
    <n v="1"/>
    <n v="3070"/>
    <n v="2365"/>
    <n v="3070"/>
    <n v="705"/>
    <x v="38"/>
    <x v="2"/>
    <s v="Ukraine"/>
    <s v="Business"/>
    <s v="No"/>
    <x v="1"/>
    <x v="1"/>
    <d v="2023-07-28T00:00:00"/>
    <x v="8"/>
  </r>
  <r>
    <n v="254"/>
    <s v="80x18"/>
    <x v="1"/>
    <s v="Neon Lash"/>
    <s v="Rose"/>
    <s v="Igor"/>
    <s v="Kravchenko"/>
    <x v="0"/>
    <n v="22"/>
    <x v="0"/>
    <n v="4"/>
    <n v="1500"/>
    <n v="640"/>
    <n v="6000"/>
    <n v="3440"/>
    <x v="36"/>
    <x v="0"/>
    <s v="Ukraine"/>
    <s v="Business"/>
    <s v="No"/>
    <x v="1"/>
    <x v="0"/>
    <d v="2023-01-10T00:00:00"/>
    <x v="4"/>
  </r>
  <r>
    <n v="255"/>
    <s v="20x27"/>
    <x v="0"/>
    <s v="Qr code"/>
    <s v="Gold"/>
    <s v="Alina"/>
    <s v="Boyko"/>
    <x v="0"/>
    <n v="47"/>
    <x v="1"/>
    <n v="5"/>
    <n v="990"/>
    <n v="500"/>
    <n v="4950"/>
    <n v="2450"/>
    <x v="33"/>
    <x v="1"/>
    <s v="Ukraine"/>
    <s v="Business"/>
    <s v="No"/>
    <x v="6"/>
    <x v="2"/>
    <d v="2023-06-12T00:00:00"/>
    <x v="6"/>
  </r>
  <r>
    <n v="256"/>
    <s v="20x27"/>
    <x v="0"/>
    <s v="Qr code"/>
    <s v="Silver-Black"/>
    <s v="Lybov"/>
    <s v="Kovalchuk"/>
    <x v="0"/>
    <n v="55"/>
    <x v="2"/>
    <n v="3"/>
    <n v="790"/>
    <n v="380"/>
    <n v="2370"/>
    <n v="1230"/>
    <x v="17"/>
    <x v="1"/>
    <s v="Ukraine"/>
    <s v="Business"/>
    <s v="No"/>
    <x v="5"/>
    <x v="3"/>
    <d v="2023-11-11T00:00:00"/>
    <x v="5"/>
  </r>
  <r>
    <n v="257"/>
    <s v="30x30"/>
    <x v="0"/>
    <s v="Qr code"/>
    <s v="Silver-Black"/>
    <s v="Hanna"/>
    <s v="Melnyk"/>
    <x v="0"/>
    <n v="36"/>
    <x v="1"/>
    <n v="2"/>
    <n v="1240"/>
    <n v="650"/>
    <n v="2480"/>
    <n v="1180"/>
    <x v="8"/>
    <x v="0"/>
    <s v="Ukraine"/>
    <s v="Business"/>
    <s v="No"/>
    <x v="2"/>
    <x v="1"/>
    <d v="2023-08-27T00:00:00"/>
    <x v="3"/>
  </r>
  <r>
    <n v="258"/>
    <s v="25x31"/>
    <x v="0"/>
    <s v="Qr code"/>
    <s v="Gold"/>
    <s v="Nikola"/>
    <s v="Marchenko"/>
    <x v="1"/>
    <n v="28"/>
    <x v="0"/>
    <n v="4"/>
    <n v="1240"/>
    <n v="650"/>
    <n v="4960"/>
    <n v="2360"/>
    <x v="6"/>
    <x v="1"/>
    <s v="Ukraine"/>
    <s v="Business"/>
    <s v="No"/>
    <x v="3"/>
    <x v="2"/>
    <d v="2023-09-09T00:00:00"/>
    <x v="2"/>
  </r>
  <r>
    <n v="259"/>
    <s v="25x31 "/>
    <x v="0"/>
    <s v="Qr code"/>
    <s v="Silver"/>
    <s v="Ihnat"/>
    <s v="Lysenko"/>
    <x v="1"/>
    <n v="50"/>
    <x v="2"/>
    <n v="1"/>
    <n v="170"/>
    <n v="50"/>
    <n v="170"/>
    <n v="120"/>
    <x v="10"/>
    <x v="0"/>
    <s v="Ukraine"/>
    <s v="Business"/>
    <s v="No"/>
    <x v="1"/>
    <x v="0"/>
    <d v="2023-03-06T00:00:00"/>
    <x v="0"/>
  </r>
  <r>
    <n v="260"/>
    <s v="25x25"/>
    <x v="0"/>
    <s v="Qr code"/>
    <s v="Gold"/>
    <s v="Lybov"/>
    <s v="Rudenko"/>
    <x v="0"/>
    <n v="39"/>
    <x v="1"/>
    <n v="5"/>
    <n v="920"/>
    <n v="500"/>
    <n v="4600"/>
    <n v="2100"/>
    <x v="30"/>
    <x v="0"/>
    <s v="Ukraine"/>
    <s v="Business"/>
    <s v="No"/>
    <x v="5"/>
    <x v="3"/>
    <d v="2023-09-19T00:00:00"/>
    <x v="2"/>
  </r>
  <r>
    <n v="261"/>
    <s v="25x25"/>
    <x v="0"/>
    <s v="Qr code"/>
    <s v="Gold"/>
    <s v="Hanna"/>
    <s v="Savchenko"/>
    <x v="0"/>
    <n v="31"/>
    <x v="0"/>
    <n v="2"/>
    <n v="920"/>
    <n v="500"/>
    <n v="1840"/>
    <n v="840"/>
    <x v="3"/>
    <x v="0"/>
    <s v="Ukraine"/>
    <s v="Business"/>
    <s v="No"/>
    <x v="0"/>
    <x v="1"/>
    <d v="2023-06-07T00:00:00"/>
    <x v="6"/>
  </r>
  <r>
    <n v="262"/>
    <s v="55x42"/>
    <x v="1"/>
    <s v="Neon light it up"/>
    <s v="Violet"/>
    <s v="Nikola"/>
    <s v="Hrytsenko"/>
    <x v="1"/>
    <n v="44"/>
    <x v="1"/>
    <n v="3"/>
    <n v="3740"/>
    <n v="1500"/>
    <n v="11220"/>
    <n v="6720"/>
    <x v="28"/>
    <x v="2"/>
    <s v="Ukraine"/>
    <s v="Business"/>
    <s v="No"/>
    <x v="6"/>
    <x v="0"/>
    <d v="2023-07-28T00:00:00"/>
    <x v="8"/>
  </r>
  <r>
    <n v="263"/>
    <s v="40x15"/>
    <x v="1"/>
    <s v="Neon Bird"/>
    <s v="Red"/>
    <s v="Ihnat"/>
    <s v="Polishchuk"/>
    <x v="1"/>
    <n v="26"/>
    <x v="0"/>
    <n v="4"/>
    <n v="2300"/>
    <n v="1700"/>
    <n v="9200"/>
    <n v="2400"/>
    <x v="3"/>
    <x v="0"/>
    <s v="Ukraine"/>
    <s v="Business"/>
    <s v="No"/>
    <x v="2"/>
    <x v="2"/>
    <d v="2023-03-29T00:00:00"/>
    <x v="0"/>
  </r>
  <r>
    <n v="264"/>
    <s v="40x20"/>
    <x v="1"/>
    <s v="Neon Shawerma"/>
    <s v="Yellow"/>
    <s v="Slava"/>
    <s v="Tymoshenko"/>
    <x v="0"/>
    <n v="48"/>
    <x v="1"/>
    <n v="1"/>
    <n v="1570"/>
    <n v="630"/>
    <n v="1570"/>
    <n v="940"/>
    <x v="27"/>
    <x v="0"/>
    <s v="Ukraine"/>
    <s v="Business"/>
    <s v="No"/>
    <x v="6"/>
    <x v="3"/>
    <d v="2023-07-19T00:00:00"/>
    <x v="8"/>
  </r>
  <r>
    <n v="254"/>
    <s v="50x25"/>
    <x v="1"/>
    <s v="Neon lollipop"/>
    <s v="Rose"/>
    <s v="Galyna"/>
    <s v="Kostenko"/>
    <x v="0"/>
    <n v="53"/>
    <x v="2"/>
    <n v="5"/>
    <n v="4400"/>
    <n v="2120"/>
    <n v="22000"/>
    <n v="11400"/>
    <x v="17"/>
    <x v="1"/>
    <s v="Ukraine"/>
    <s v="Business"/>
    <s v="No"/>
    <x v="5"/>
    <x v="1"/>
    <d v="2023-04-26T00:00:00"/>
    <x v="7"/>
  </r>
  <r>
    <n v="255"/>
    <s v="80x25"/>
    <x v="1"/>
    <s v="Neon mens club"/>
    <s v="White"/>
    <s v="Volodymyr"/>
    <s v="Zakharchenko"/>
    <x v="1"/>
    <n v="30"/>
    <x v="0"/>
    <n v="3"/>
    <n v="3950"/>
    <n v="1635"/>
    <n v="11850"/>
    <n v="6945"/>
    <x v="15"/>
    <x v="0"/>
    <s v="Ukraine"/>
    <s v="Business"/>
    <s v="No"/>
    <x v="7"/>
    <x v="2"/>
    <d v="2023-06-29T00:00:00"/>
    <x v="6"/>
  </r>
  <r>
    <n v="256"/>
    <s v="20x20"/>
    <x v="0"/>
    <s v="Qr code"/>
    <s v="White"/>
    <s v="Vitaliaa"/>
    <s v="Denysenko"/>
    <x v="0"/>
    <n v="37"/>
    <x v="1"/>
    <n v="2"/>
    <n v="297"/>
    <n v="130"/>
    <n v="594"/>
    <n v="334"/>
    <x v="7"/>
    <x v="0"/>
    <s v="Ukraine"/>
    <s v="Business"/>
    <s v="No"/>
    <x v="2"/>
    <x v="0"/>
    <d v="2023-02-02T00:00:00"/>
    <x v="1"/>
  </r>
  <r>
    <n v="257"/>
    <s v="20x20"/>
    <x v="0"/>
    <s v="Qr code"/>
    <s v="White"/>
    <s v="Vitalia"/>
    <s v="Ivanenko"/>
    <x v="0"/>
    <n v="42"/>
    <x v="1"/>
    <n v="4"/>
    <n v="297"/>
    <n v="130"/>
    <n v="1188"/>
    <n v="668"/>
    <x v="39"/>
    <x v="4"/>
    <s v="Ukraine"/>
    <s v="Business"/>
    <s v="No"/>
    <x v="0"/>
    <x v="3"/>
    <d v="2023-03-08T00:00:00"/>
    <x v="0"/>
  </r>
  <r>
    <n v="258"/>
    <s v="25x31"/>
    <x v="0"/>
    <s v="Qr code"/>
    <s v="Gold-Black"/>
    <s v="Kateryna"/>
    <s v="Oliynyk"/>
    <x v="0"/>
    <n v="24"/>
    <x v="0"/>
    <n v="1"/>
    <n v="890"/>
    <n v="400"/>
    <n v="890"/>
    <n v="490"/>
    <x v="13"/>
    <x v="1"/>
    <s v="Ukraine"/>
    <s v="Business"/>
    <s v="No"/>
    <x v="1"/>
    <x v="1"/>
    <d v="2023-09-07T00:00:00"/>
    <x v="2"/>
  </r>
  <r>
    <n v="259"/>
    <s v="25x31"/>
    <x v="0"/>
    <s v="Qr code"/>
    <s v="Red"/>
    <s v="Segey"/>
    <s v="Shevchenko"/>
    <x v="1"/>
    <n v="57"/>
    <x v="2"/>
    <n v="5"/>
    <n v="1240"/>
    <n v="650"/>
    <n v="6200"/>
    <n v="2950"/>
    <x v="34"/>
    <x v="1"/>
    <s v="Ukraine"/>
    <s v="Business"/>
    <s v="No"/>
    <x v="1"/>
    <x v="0"/>
    <d v="2023-07-03T00:00:00"/>
    <x v="8"/>
  </r>
  <r>
    <n v="260"/>
    <s v="20x27"/>
    <x v="0"/>
    <s v="Qr code"/>
    <s v="Silver-Black"/>
    <s v="Artem"/>
    <s v="Kovalenko"/>
    <x v="1"/>
    <n v="35"/>
    <x v="0"/>
    <n v="2"/>
    <n v="1240"/>
    <n v="700"/>
    <n v="2480"/>
    <n v="1080"/>
    <x v="25"/>
    <x v="3"/>
    <s v="Ukraine"/>
    <s v="Business"/>
    <s v="No"/>
    <x v="0"/>
    <x v="2"/>
    <d v="2023-08-24T00:00:00"/>
    <x v="3"/>
  </r>
  <r>
    <n v="261"/>
    <s v="30x37"/>
    <x v="0"/>
    <s v="Qr code"/>
    <s v="Black"/>
    <s v="Slava"/>
    <s v="Bondarenko"/>
    <x v="0"/>
    <n v="40"/>
    <x v="1"/>
    <n v="3"/>
    <n v="1190"/>
    <n v="700"/>
    <n v="3570"/>
    <n v="1470"/>
    <x v="6"/>
    <x v="1"/>
    <s v="Ukraine"/>
    <s v="Business"/>
    <s v="No"/>
    <x v="6"/>
    <x v="3"/>
    <d v="2023-09-09T00:00:00"/>
    <x v="2"/>
  </r>
  <r>
    <n v="262"/>
    <s v="30x30"/>
    <x v="0"/>
    <s v="Qr code"/>
    <s v="Gold-Black"/>
    <s v="Galyna"/>
    <s v="Tkachenko"/>
    <x v="0"/>
    <n v="21"/>
    <x v="0"/>
    <n v="4"/>
    <n v="1090"/>
    <n v="650"/>
    <n v="4360"/>
    <n v="1760"/>
    <x v="3"/>
    <x v="0"/>
    <s v="Ukraine"/>
    <s v="Business"/>
    <s v="No"/>
    <x v="5"/>
    <x v="1"/>
    <d v="2023-01-27T00:00:00"/>
    <x v="4"/>
  </r>
  <r>
    <n v="263"/>
    <s v="25x31"/>
    <x v="0"/>
    <s v="Qr code"/>
    <s v="Black"/>
    <s v="Volodymyr"/>
    <s v="Kravchenko"/>
    <x v="1"/>
    <n v="59"/>
    <x v="2"/>
    <n v="1"/>
    <n v="990"/>
    <n v="600"/>
    <n v="990"/>
    <n v="390"/>
    <x v="32"/>
    <x v="0"/>
    <s v="Ukraine"/>
    <s v="Business"/>
    <s v="No"/>
    <x v="3"/>
    <x v="2"/>
    <d v="2023-09-17T00:00:00"/>
    <x v="2"/>
  </r>
  <r>
    <n v="264"/>
    <s v="55x50"/>
    <x v="1"/>
    <s v="Neon home sweet home"/>
    <s v="Yellow"/>
    <s v="Vitaliaa"/>
    <s v="Boyko"/>
    <x v="0"/>
    <n v="32"/>
    <x v="0"/>
    <n v="5"/>
    <n v="2940"/>
    <n v="1443"/>
    <n v="14700"/>
    <n v="7485"/>
    <x v="11"/>
    <x v="2"/>
    <s v="Ukraine"/>
    <s v="Business"/>
    <s v="No"/>
    <x v="7"/>
    <x v="0"/>
    <d v="2023-02-10T00:00:00"/>
    <x v="1"/>
  </r>
  <r>
    <n v="265"/>
    <s v="40x15"/>
    <x v="1"/>
    <s v="Windows"/>
    <s v="White"/>
    <s v="Vitalia"/>
    <s v="Kovalchuk"/>
    <x v="0"/>
    <n v="46"/>
    <x v="1"/>
    <n v="3"/>
    <n v="1200"/>
    <n v="200"/>
    <n v="3600"/>
    <n v="3000"/>
    <x v="16"/>
    <x v="3"/>
    <s v="Ukraine"/>
    <s v="Business"/>
    <s v="No"/>
    <x v="7"/>
    <x v="3"/>
    <d v="2023-05-02T00:00:00"/>
    <x v="11"/>
  </r>
  <r>
    <n v="266"/>
    <s v="30x37"/>
    <x v="0"/>
    <s v="Qr code"/>
    <s v="Yellow"/>
    <s v="Kateryna"/>
    <s v="Melnyk"/>
    <x v="0"/>
    <n v="54"/>
    <x v="2"/>
    <n v="2"/>
    <n v="1190"/>
    <n v="700"/>
    <n v="2380"/>
    <n v="980"/>
    <x v="12"/>
    <x v="2"/>
    <s v="Ukraine"/>
    <s v="Business"/>
    <s v="No"/>
    <x v="5"/>
    <x v="1"/>
    <d v="2023-10-14T00:00:00"/>
    <x v="9"/>
  </r>
  <r>
    <n v="267"/>
    <s v="100x150"/>
    <x v="1"/>
    <s v="Neon Door"/>
    <s v="Red"/>
    <s v="Segey"/>
    <s v="Marchenko"/>
    <x v="1"/>
    <n v="25"/>
    <x v="0"/>
    <n v="4"/>
    <n v="6800"/>
    <n v="3669"/>
    <n v="27200"/>
    <n v="12524"/>
    <x v="28"/>
    <x v="2"/>
    <s v="Ukraine"/>
    <s v="Business"/>
    <s v="No"/>
    <x v="6"/>
    <x v="0"/>
    <d v="2023-03-28T00:00:00"/>
    <x v="0"/>
  </r>
  <r>
    <n v="268"/>
    <s v="25x31"/>
    <x v="0"/>
    <s v="Qr code"/>
    <s v="Gold-Black"/>
    <s v="Artem"/>
    <s v="Lysenko"/>
    <x v="1"/>
    <n v="43"/>
    <x v="1"/>
    <n v="1"/>
    <n v="1090"/>
    <n v="650"/>
    <n v="1090"/>
    <n v="440"/>
    <x v="6"/>
    <x v="1"/>
    <s v="Ukraine"/>
    <s v="Business"/>
    <s v="No"/>
    <x v="0"/>
    <x v="2"/>
    <d v="2023-09-29T00:00:00"/>
    <x v="2"/>
  </r>
  <r>
    <n v="269"/>
    <s v="20x27"/>
    <x v="0"/>
    <s v="Qr code"/>
    <s v="Silver-Black"/>
    <s v="Bogdan"/>
    <s v="Rudenko"/>
    <x v="1"/>
    <n v="58"/>
    <x v="2"/>
    <n v="5"/>
    <n v="990"/>
    <n v="500"/>
    <n v="4950"/>
    <n v="2450"/>
    <x v="39"/>
    <x v="4"/>
    <s v="Ukraine"/>
    <s v="Business"/>
    <s v="No"/>
    <x v="0"/>
    <x v="3"/>
    <d v="2023-05-28T00:00:00"/>
    <x v="11"/>
  </r>
  <r>
    <n v="270"/>
    <s v="60x30"/>
    <x v="1"/>
    <s v="Neon Julia"/>
    <s v="Rose"/>
    <s v="Lazar"/>
    <s v="Savchenko"/>
    <x v="1"/>
    <n v="20"/>
    <x v="0"/>
    <n v="2"/>
    <n v="1800"/>
    <n v="666"/>
    <n v="3600"/>
    <n v="2268"/>
    <x v="0"/>
    <x v="0"/>
    <s v="Ukraine"/>
    <s v="Business"/>
    <s v="No"/>
    <x v="3"/>
    <x v="1"/>
    <d v="2023-02-18T00:00:00"/>
    <x v="1"/>
  </r>
  <r>
    <n v="271"/>
    <s v="20x27"/>
    <x v="0"/>
    <s v="Qr code"/>
    <s v="Silver-Black"/>
    <s v="Viola"/>
    <s v="Hrytsenko"/>
    <x v="0"/>
    <n v="49"/>
    <x v="1"/>
    <n v="3"/>
    <n v="990"/>
    <n v="500"/>
    <n v="2970"/>
    <n v="1470"/>
    <x v="19"/>
    <x v="3"/>
    <s v="Ukraine"/>
    <s v="Business"/>
    <s v="No"/>
    <x v="6"/>
    <x v="2"/>
    <d v="2023-06-05T00:00:00"/>
    <x v="6"/>
  </r>
  <r>
    <n v="272"/>
    <s v="25x31"/>
    <x v="0"/>
    <s v="Qr code"/>
    <s v="Silver-Black"/>
    <s v="Nazar"/>
    <s v="Polishchuk"/>
    <x v="1"/>
    <n v="34"/>
    <x v="0"/>
    <n v="4"/>
    <n v="1240"/>
    <n v="650"/>
    <n v="4960"/>
    <n v="2360"/>
    <x v="16"/>
    <x v="3"/>
    <s v="Ukraine"/>
    <s v="Business"/>
    <s v="No"/>
    <x v="3"/>
    <x v="0"/>
    <d v="2023-03-14T00:00:00"/>
    <x v="0"/>
  </r>
  <r>
    <n v="273"/>
    <s v="25x25"/>
    <x v="0"/>
    <s v="Qr code"/>
    <s v="Black"/>
    <s v="Alina"/>
    <s v="Tymoshenko"/>
    <x v="0"/>
    <n v="27"/>
    <x v="0"/>
    <n v="1"/>
    <n v="1840"/>
    <n v="1000"/>
    <n v="1840"/>
    <n v="840"/>
    <x v="35"/>
    <x v="0"/>
    <s v="Ukraine"/>
    <s v="Business"/>
    <s v="No"/>
    <x v="0"/>
    <x v="3"/>
    <d v="2023-05-22T00:00:00"/>
    <x v="11"/>
  </r>
  <r>
    <n v="274"/>
    <s v="55x20"/>
    <x v="1"/>
    <s v="Neon zubalenok"/>
    <s v="White"/>
    <s v="Nazar"/>
    <s v="Kostenko"/>
    <x v="1"/>
    <n v="45"/>
    <x v="1"/>
    <n v="5"/>
    <n v="1700"/>
    <n v="530"/>
    <n v="8500"/>
    <n v="5850"/>
    <x v="14"/>
    <x v="3"/>
    <s v="Ukraine"/>
    <s v="Business"/>
    <s v="No"/>
    <x v="1"/>
    <x v="1"/>
    <d v="2023-12-09T00:00:00"/>
    <x v="10"/>
  </r>
  <r>
    <n v="275"/>
    <s v="60x80"/>
    <x v="1"/>
    <s v="Neon GFD studio"/>
    <s v="Red"/>
    <s v="Inessa"/>
    <s v="Zakharchenko"/>
    <x v="0"/>
    <n v="52"/>
    <x v="2"/>
    <n v="3"/>
    <n v="4300"/>
    <n v="2300"/>
    <n v="12900"/>
    <n v="6000"/>
    <x v="3"/>
    <x v="0"/>
    <s v="Ukraine"/>
    <s v="Business"/>
    <s v="No"/>
    <x v="7"/>
    <x v="0"/>
    <d v="2023-07-08T00:00:00"/>
    <x v="8"/>
  </r>
  <r>
    <n v="276"/>
    <s v="50x22"/>
    <x v="1"/>
    <s v="Neon Hands"/>
    <s v="Yellow"/>
    <s v="Inna"/>
    <s v="Denysenko"/>
    <x v="0"/>
    <n v="23"/>
    <x v="0"/>
    <n v="2"/>
    <n v="2000"/>
    <n v="620"/>
    <n v="4000"/>
    <n v="2760"/>
    <x v="6"/>
    <x v="1"/>
    <s v="Ukraine"/>
    <s v="Business"/>
    <s v="No"/>
    <x v="2"/>
    <x v="2"/>
    <d v="2023-12-20T00:00:00"/>
    <x v="10"/>
  </r>
  <r>
    <n v="277"/>
    <s v="100x40"/>
    <x v="1"/>
    <s v="Neon Lotos"/>
    <s v="Violet"/>
    <s v="Lenok"/>
    <s v="Ivanenko"/>
    <x v="0"/>
    <n v="38"/>
    <x v="1"/>
    <n v="4"/>
    <n v="2760"/>
    <n v="1160"/>
    <n v="11040"/>
    <n v="6400"/>
    <x v="44"/>
    <x v="1"/>
    <s v="Ukraine"/>
    <s v="Business"/>
    <s v="No"/>
    <x v="1"/>
    <x v="3"/>
    <d v="2023-10-13T00:00:00"/>
    <x v="9"/>
  </r>
  <r>
    <n v="278"/>
    <s v="35x40"/>
    <x v="1"/>
    <s v="Neon GRL PWR"/>
    <s v="Rose"/>
    <s v="Mia"/>
    <s v="Oliynyk"/>
    <x v="0"/>
    <n v="41"/>
    <x v="1"/>
    <n v="1"/>
    <n v="1690"/>
    <n v="680"/>
    <n v="1690"/>
    <n v="1010"/>
    <x v="23"/>
    <x v="4"/>
    <s v="Ukraine"/>
    <s v="Business"/>
    <s v="No"/>
    <x v="6"/>
    <x v="1"/>
    <d v="2023-01-24T00:00:00"/>
    <x v="4"/>
  </r>
  <r>
    <n v="279"/>
    <s v="50x20"/>
    <x v="1"/>
    <s v="Neon L.Style"/>
    <s v="Yellow"/>
    <s v="Mila"/>
    <s v="Shevchenko"/>
    <x v="0"/>
    <n v="29"/>
    <x v="0"/>
    <n v="5"/>
    <n v="1720"/>
    <n v="570"/>
    <n v="8600"/>
    <n v="5750"/>
    <x v="37"/>
    <x v="4"/>
    <s v="Ukraine"/>
    <s v="Business"/>
    <s v="No"/>
    <x v="7"/>
    <x v="2"/>
    <d v="2023-12-08T00:00:00"/>
    <x v="10"/>
  </r>
  <r>
    <n v="280"/>
    <s v="55x28"/>
    <x v="1"/>
    <s v="Neon Vitadent"/>
    <s v="Ice blue"/>
    <s v="Maria"/>
    <s v="Kovalenko"/>
    <x v="0"/>
    <n v="60"/>
    <x v="2"/>
    <n v="2"/>
    <n v="2100"/>
    <n v="860"/>
    <n v="4200"/>
    <n v="2480"/>
    <x v="23"/>
    <x v="4"/>
    <s v="Ukraine"/>
    <s v="Business"/>
    <s v="No"/>
    <x v="5"/>
    <x v="0"/>
    <d v="2023-09-01T00:00:00"/>
    <x v="2"/>
  </r>
  <r>
    <n v="281"/>
    <s v="58x13"/>
    <x v="1"/>
    <s v="Neon Your beautiful"/>
    <s v="Rose"/>
    <s v="Mary"/>
    <s v="Bondarenko"/>
    <x v="0"/>
    <n v="33"/>
    <x v="0"/>
    <n v="3"/>
    <n v="1800"/>
    <n v="630"/>
    <n v="5400"/>
    <n v="3510"/>
    <x v="18"/>
    <x v="3"/>
    <s v="Ukraine"/>
    <s v="Business"/>
    <s v="No"/>
    <x v="5"/>
    <x v="3"/>
    <d v="2023-09-08T00:00:00"/>
    <x v="2"/>
  </r>
  <r>
    <n v="282"/>
    <s v="55x60"/>
    <x v="1"/>
    <s v="Neon bayzar nails"/>
    <s v="Ice blue"/>
    <s v="Ihgor"/>
    <s v="Tkachenko"/>
    <x v="1"/>
    <n v="22"/>
    <x v="0"/>
    <n v="4"/>
    <n v="2750"/>
    <n v="1250"/>
    <n v="11000"/>
    <n v="6000"/>
    <x v="31"/>
    <x v="3"/>
    <s v="Ukraine"/>
    <s v="Business"/>
    <s v="No"/>
    <x v="5"/>
    <x v="1"/>
    <d v="2023-01-08T00:00:00"/>
    <x v="4"/>
  </r>
  <r>
    <n v="283"/>
    <s v="40x15"/>
    <x v="1"/>
    <s v="Neon Cold"/>
    <s v="Cold White"/>
    <s v="Vlad"/>
    <s v="Kravchenko"/>
    <x v="1"/>
    <n v="47"/>
    <x v="1"/>
    <n v="1"/>
    <n v="550"/>
    <n v="430"/>
    <n v="550"/>
    <n v="120"/>
    <x v="43"/>
    <x v="4"/>
    <s v="Ukraine"/>
    <s v="Business"/>
    <s v="No"/>
    <x v="7"/>
    <x v="0"/>
    <d v="2023-05-08T00:00:00"/>
    <x v="11"/>
  </r>
  <r>
    <n v="284"/>
    <s v="20x10"/>
    <x v="1"/>
    <s v="I love you"/>
    <s v="Red"/>
    <s v="Saha"/>
    <s v="Boyko"/>
    <x v="1"/>
    <n v="55"/>
    <x v="2"/>
    <n v="5"/>
    <n v="370"/>
    <n v="100"/>
    <n v="1850"/>
    <n v="1350"/>
    <x v="13"/>
    <x v="1"/>
    <s v="Ukraine"/>
    <s v="Business"/>
    <s v="No"/>
    <x v="5"/>
    <x v="2"/>
    <d v="2023-02-15T00:00:00"/>
    <x v="1"/>
  </r>
  <r>
    <n v="285"/>
    <s v="68x68"/>
    <x v="1"/>
    <s v="Neon Caramel"/>
    <s v="Yellow"/>
    <s v="Dasha"/>
    <s v="Kovalchuk"/>
    <x v="0"/>
    <n v="36"/>
    <x v="1"/>
    <n v="3"/>
    <n v="3900"/>
    <n v="1900"/>
    <n v="11700"/>
    <n v="6000"/>
    <x v="32"/>
    <x v="0"/>
    <s v="Ukraine"/>
    <s v="Business"/>
    <s v="No"/>
    <x v="2"/>
    <x v="3"/>
    <d v="2023-08-22T00:00:00"/>
    <x v="3"/>
  </r>
  <r>
    <n v="286"/>
    <s v="60x44"/>
    <x v="1"/>
    <s v="Neon Hello"/>
    <s v="White"/>
    <s v="Daria"/>
    <s v="Melnyk"/>
    <x v="0"/>
    <n v="28"/>
    <x v="0"/>
    <n v="2"/>
    <n v="2070"/>
    <n v="1070"/>
    <n v="4140"/>
    <n v="2000"/>
    <x v="1"/>
    <x v="1"/>
    <s v="Ukraine"/>
    <s v="Business"/>
    <s v="No"/>
    <x v="5"/>
    <x v="1"/>
    <d v="2023-03-19T00:00:00"/>
    <x v="0"/>
  </r>
  <r>
    <n v="287"/>
    <s v="40x14"/>
    <x v="1"/>
    <s v="Neon Tools"/>
    <s v="Green"/>
    <s v="Petro"/>
    <s v="Marchenko"/>
    <x v="1"/>
    <n v="50"/>
    <x v="2"/>
    <n v="4"/>
    <n v="1150"/>
    <n v="500"/>
    <n v="4600"/>
    <n v="2600"/>
    <x v="33"/>
    <x v="1"/>
    <s v="Ukraine"/>
    <s v="Business"/>
    <s v="No"/>
    <x v="2"/>
    <x v="2"/>
    <d v="2023-02-22T00:00:00"/>
    <x v="1"/>
  </r>
  <r>
    <n v="288"/>
    <s v="50x30"/>
    <x v="1"/>
    <s v="Neon sims"/>
    <s v="Green"/>
    <s v="Vasyl"/>
    <s v="Lysenko"/>
    <x v="1"/>
    <n v="39"/>
    <x v="1"/>
    <n v="1"/>
    <n v="1630"/>
    <n v="680"/>
    <n v="1630"/>
    <n v="950"/>
    <x v="39"/>
    <x v="4"/>
    <s v="Ukraine"/>
    <s v="Business"/>
    <s v="No"/>
    <x v="2"/>
    <x v="0"/>
    <d v="2023-03-23T00:00:00"/>
    <x v="0"/>
  </r>
  <r>
    <n v="289"/>
    <s v="30x15"/>
    <x v="1"/>
    <s v="Nel"/>
    <s v="Rose"/>
    <s v="Alina"/>
    <s v="Rudenko"/>
    <x v="0"/>
    <n v="31"/>
    <x v="0"/>
    <n v="5"/>
    <n v="1440"/>
    <n v="640"/>
    <n v="7200"/>
    <n v="4000"/>
    <x v="26"/>
    <x v="3"/>
    <s v="Ukraine"/>
    <s v="Business"/>
    <s v="No"/>
    <x v="0"/>
    <x v="3"/>
    <d v="2023-06-21T00:00:00"/>
    <x v="6"/>
  </r>
  <r>
    <n v="290"/>
    <s v="50x50"/>
    <x v="1"/>
    <s v="Colizanka"/>
    <s v="Red"/>
    <s v="Pablo"/>
    <s v="Savchenko"/>
    <x v="1"/>
    <n v="44"/>
    <x v="1"/>
    <n v="2"/>
    <n v="3310"/>
    <n v="1310"/>
    <n v="6620"/>
    <n v="4000"/>
    <x v="9"/>
    <x v="3"/>
    <s v="Ukraine"/>
    <s v="Business"/>
    <s v="No"/>
    <x v="1"/>
    <x v="1"/>
    <d v="2023-05-16T00:00:00"/>
    <x v="11"/>
  </r>
  <r>
    <n v="291"/>
    <s v="25x31"/>
    <x v="0"/>
    <s v="Qr code"/>
    <s v="Black"/>
    <s v="Gustavo"/>
    <s v="Hrytsenko"/>
    <x v="1"/>
    <n v="26"/>
    <x v="0"/>
    <n v="3"/>
    <n v="1090"/>
    <n v="550"/>
    <n v="3270"/>
    <n v="1620"/>
    <x v="32"/>
    <x v="0"/>
    <s v="Ukraine"/>
    <s v="Business"/>
    <s v="No"/>
    <x v="0"/>
    <x v="0"/>
    <d v="2023-07-20T00:00:00"/>
    <x v="8"/>
  </r>
  <r>
    <n v="292"/>
    <s v="80x50"/>
    <x v="1"/>
    <s v="Neon Fantasy shop"/>
    <s v="Violet"/>
    <s v="Muron"/>
    <s v="Polishchuk"/>
    <x v="1"/>
    <n v="48"/>
    <x v="1"/>
    <n v="4"/>
    <n v="4100"/>
    <n v="2050"/>
    <n v="16400"/>
    <n v="8200"/>
    <x v="41"/>
    <x v="0"/>
    <s v="Ukraine"/>
    <s v="Business"/>
    <s v="No"/>
    <x v="2"/>
    <x v="2"/>
    <d v="2023-03-12T00:00:00"/>
    <x v="0"/>
  </r>
  <r>
    <n v="293"/>
    <s v="30x37"/>
    <x v="0"/>
    <s v="Qr code"/>
    <s v="Silver-Black"/>
    <s v="Olya"/>
    <s v="Tymoshenko"/>
    <x v="0"/>
    <n v="53"/>
    <x v="2"/>
    <n v="1"/>
    <n v="1190"/>
    <n v="700"/>
    <n v="1190"/>
    <n v="490"/>
    <x v="20"/>
    <x v="0"/>
    <s v="Ukraine"/>
    <s v="Business"/>
    <s v="No"/>
    <x v="1"/>
    <x v="3"/>
    <d v="2023-06-19T00:00:00"/>
    <x v="6"/>
  </r>
  <r>
    <n v="294"/>
    <s v="30x37"/>
    <x v="0"/>
    <s v="Qr code"/>
    <s v="Black"/>
    <s v="Mark"/>
    <s v="Kostenko"/>
    <x v="1"/>
    <n v="30"/>
    <x v="0"/>
    <n v="5"/>
    <n v="1390"/>
    <n v="700"/>
    <n v="6950"/>
    <n v="3450"/>
    <x v="40"/>
    <x v="3"/>
    <s v="Ukraine"/>
    <s v="Business"/>
    <s v="No"/>
    <x v="6"/>
    <x v="1"/>
    <d v="2023-02-05T00:00:00"/>
    <x v="1"/>
  </r>
  <r>
    <n v="295"/>
    <s v="20x27"/>
    <x v="0"/>
    <s v="Qr code"/>
    <s v="Silver-Black"/>
    <s v="Mirella"/>
    <s v="Zakharchenko"/>
    <x v="0"/>
    <n v="37"/>
    <x v="1"/>
    <n v="5"/>
    <n v="1340"/>
    <n v="760"/>
    <n v="6700"/>
    <n v="2900"/>
    <x v="6"/>
    <x v="1"/>
    <s v="Ukraine"/>
    <s v="Business"/>
    <s v="No"/>
    <x v="5"/>
    <x v="2"/>
    <d v="2023-05-22T00:00:00"/>
    <x v="11"/>
  </r>
  <r>
    <n v="296"/>
    <s v="30x37"/>
    <x v="0"/>
    <s v="Qr code"/>
    <s v="Silver-Black"/>
    <s v="Joanna"/>
    <s v="Denysenko"/>
    <x v="0"/>
    <n v="42"/>
    <x v="1"/>
    <n v="3"/>
    <n v="1490"/>
    <n v="900"/>
    <n v="4470"/>
    <n v="1770"/>
    <x v="24"/>
    <x v="3"/>
    <s v="Ukraine"/>
    <s v="Business"/>
    <s v="No"/>
    <x v="0"/>
    <x v="0"/>
    <d v="2023-04-21T00:00:00"/>
    <x v="7"/>
  </r>
  <r>
    <n v="297"/>
    <s v="100x50"/>
    <x v="1"/>
    <s v="Neon Dolar"/>
    <s v="Green"/>
    <s v="Jolanta"/>
    <s v="Ivanenko"/>
    <x v="0"/>
    <n v="24"/>
    <x v="0"/>
    <n v="2"/>
    <n v="5700"/>
    <n v="3000"/>
    <n v="11400"/>
    <n v="5400"/>
    <x v="21"/>
    <x v="3"/>
    <s v="Ukraine"/>
    <s v="Business"/>
    <s v="No"/>
    <x v="3"/>
    <x v="3"/>
    <d v="2023-01-02T00:00:00"/>
    <x v="4"/>
  </r>
  <r>
    <n v="298"/>
    <s v="55x70"/>
    <x v="1"/>
    <s v="shesternya"/>
    <s v="Yellow"/>
    <s v="Mira"/>
    <s v="Oliynyk"/>
    <x v="0"/>
    <n v="57"/>
    <x v="2"/>
    <n v="4"/>
    <n v="7570"/>
    <n v="3970"/>
    <n v="30280"/>
    <n v="14400"/>
    <x v="20"/>
    <x v="0"/>
    <s v="Ukraine"/>
    <s v="Business"/>
    <s v="No"/>
    <x v="6"/>
    <x v="1"/>
    <d v="2023-12-18T00:00:00"/>
    <x v="10"/>
  </r>
  <r>
    <n v="299"/>
    <s v="30x37"/>
    <x v="0"/>
    <s v="Qr code"/>
    <s v="Silver-Black"/>
    <s v="Mila"/>
    <s v="Shevchenko"/>
    <x v="0"/>
    <n v="35"/>
    <x v="0"/>
    <n v="1"/>
    <n v="990"/>
    <n v="450"/>
    <n v="990"/>
    <n v="540"/>
    <x v="40"/>
    <x v="3"/>
    <s v="Ukraine"/>
    <s v="Business"/>
    <s v="No"/>
    <x v="0"/>
    <x v="0"/>
    <d v="2023-03-16T00:00:00"/>
    <x v="0"/>
  </r>
  <r>
    <n v="300"/>
    <s v="100x50"/>
    <x v="1"/>
    <s v="Neon lya lash"/>
    <s v="Rose"/>
    <s v="Yana"/>
    <s v="Kovalenko"/>
    <x v="0"/>
    <n v="40"/>
    <x v="1"/>
    <n v="5"/>
    <n v="4800"/>
    <n v="2100"/>
    <n v="24000"/>
    <n v="13500"/>
    <x v="6"/>
    <x v="1"/>
    <s v="Ukraine"/>
    <s v="Business"/>
    <s v="No"/>
    <x v="5"/>
    <x v="2"/>
    <d v="2023-06-01T00:00:00"/>
    <x v="6"/>
  </r>
  <r>
    <n v="301"/>
    <s v="70x40"/>
    <x v="1"/>
    <s v="Neon diana brows"/>
    <s v="Rose"/>
    <s v="Diana"/>
    <s v="Bondarenko"/>
    <x v="0"/>
    <n v="21"/>
    <x v="0"/>
    <n v="2"/>
    <n v="2920"/>
    <n v="1260"/>
    <n v="5840"/>
    <n v="3320"/>
    <x v="3"/>
    <x v="0"/>
    <s v="Ukraine"/>
    <s v="Business"/>
    <s v="No"/>
    <x v="6"/>
    <x v="3"/>
    <d v="2023-02-17T00:00:00"/>
    <x v="1"/>
  </r>
  <r>
    <n v="302"/>
    <s v="100x50"/>
    <x v="1"/>
    <s v="Neon dolar"/>
    <s v="Green"/>
    <s v="Alyona"/>
    <s v="Tkachenko"/>
    <x v="0"/>
    <n v="59"/>
    <x v="2"/>
    <n v="3"/>
    <n v="5700"/>
    <n v="3000"/>
    <n v="17100"/>
    <n v="8100"/>
    <x v="35"/>
    <x v="0"/>
    <s v="Ukraine"/>
    <s v="Business"/>
    <s v="No"/>
    <x v="3"/>
    <x v="1"/>
    <d v="2023-01-11T00:00:00"/>
    <x v="4"/>
  </r>
  <r>
    <n v="303"/>
    <s v="20x27"/>
    <x v="0"/>
    <s v="Qr code"/>
    <s v="Silver-Black"/>
    <s v="Sasha"/>
    <s v="Kravchenko"/>
    <x v="1"/>
    <n v="32"/>
    <x v="0"/>
    <n v="4"/>
    <n v="1840"/>
    <n v="1000"/>
    <n v="7360"/>
    <n v="3360"/>
    <x v="25"/>
    <x v="3"/>
    <s v="Ukraine"/>
    <s v="Business"/>
    <s v="No"/>
    <x v="6"/>
    <x v="2"/>
    <d v="2023-06-06T00:00:00"/>
    <x v="6"/>
  </r>
  <r>
    <n v="304"/>
    <s v="30x37"/>
    <x v="0"/>
    <s v="Qr code"/>
    <s v="Black"/>
    <s v="Dasha"/>
    <s v="Boyko"/>
    <x v="0"/>
    <n v="46"/>
    <x v="1"/>
    <n v="1"/>
    <n v="750"/>
    <n v="500"/>
    <n v="750"/>
    <n v="250"/>
    <x v="3"/>
    <x v="0"/>
    <s v="Ukraine"/>
    <s v="Business"/>
    <s v="No"/>
    <x v="0"/>
    <x v="0"/>
    <d v="2023-11-13T00:00:00"/>
    <x v="5"/>
  </r>
  <r>
    <n v="305"/>
    <s v="45x35"/>
    <x v="1"/>
    <s v="Neon Street food"/>
    <s v="Yellow"/>
    <s v="Evgenia"/>
    <s v="Kovalchuk"/>
    <x v="0"/>
    <n v="54"/>
    <x v="2"/>
    <n v="5"/>
    <n v="2170"/>
    <n v="850"/>
    <n v="10850"/>
    <n v="6600"/>
    <x v="6"/>
    <x v="1"/>
    <s v="Ukraine"/>
    <s v="Business"/>
    <s v="No"/>
    <x v="2"/>
    <x v="3"/>
    <d v="2023-09-02T00:00:00"/>
    <x v="2"/>
  </r>
  <r>
    <n v="306"/>
    <s v="60x45"/>
    <x v="1"/>
    <s v="Neon Ken Brite"/>
    <s v="Rose"/>
    <s v="Nika"/>
    <s v="Melnyk"/>
    <x v="0"/>
    <n v="25"/>
    <x v="0"/>
    <n v="3"/>
    <n v="5050"/>
    <n v="2040"/>
    <n v="15150"/>
    <n v="9030"/>
    <x v="8"/>
    <x v="0"/>
    <s v="Ukraine"/>
    <s v="Business"/>
    <s v="No"/>
    <x v="1"/>
    <x v="1"/>
    <d v="2023-07-25T00:00:00"/>
    <x v="8"/>
  </r>
  <r>
    <n v="307"/>
    <s v="70x15"/>
    <x v="1"/>
    <s v="Neon Just Married"/>
    <s v="White"/>
    <s v="Nikol"/>
    <s v="Marchenko"/>
    <x v="0"/>
    <n v="43"/>
    <x v="1"/>
    <n v="2"/>
    <n v="2380"/>
    <n v="850"/>
    <n v="4760"/>
    <n v="3060"/>
    <x v="13"/>
    <x v="1"/>
    <s v="Ukraine"/>
    <s v="Business"/>
    <s v="No"/>
    <x v="5"/>
    <x v="0"/>
    <d v="2023-04-19T00:00:00"/>
    <x v="7"/>
  </r>
  <r>
    <n v="308"/>
    <s v="50x60"/>
    <x v="1"/>
    <s v="Neon Run "/>
    <s v="Red"/>
    <s v="Nikolas"/>
    <s v="Lysenko"/>
    <x v="1"/>
    <n v="58"/>
    <x v="2"/>
    <n v="4"/>
    <n v="3530"/>
    <n v="1740"/>
    <n v="14120"/>
    <n v="7160"/>
    <x v="4"/>
    <x v="3"/>
    <s v="Ukraine"/>
    <s v="Business"/>
    <s v="No"/>
    <x v="3"/>
    <x v="2"/>
    <d v="2023-08-19T00:00:00"/>
    <x v="3"/>
  </r>
  <r>
    <n v="309"/>
    <s v="15x20"/>
    <x v="1"/>
    <s v="Neon 1  м"/>
    <s v="Green"/>
    <s v="Maria"/>
    <s v="Rudenko"/>
    <x v="0"/>
    <n v="20"/>
    <x v="0"/>
    <n v="1"/>
    <n v="250"/>
    <n v="150"/>
    <n v="250"/>
    <n v="100"/>
    <x v="43"/>
    <x v="4"/>
    <s v="Ukraine"/>
    <s v="Business"/>
    <s v="No"/>
    <x v="6"/>
    <x v="3"/>
    <d v="2023-06-05T00:00:00"/>
    <x v="6"/>
  </r>
  <r>
    <n v="310"/>
    <s v="50x25"/>
    <x v="1"/>
    <s v="Neon Akademik"/>
    <s v="Yellow"/>
    <s v="Vasyl"/>
    <s v="Savchenko"/>
    <x v="1"/>
    <n v="49"/>
    <x v="1"/>
    <n v="5"/>
    <n v="3170"/>
    <n v="1120"/>
    <n v="15850"/>
    <n v="10250"/>
    <x v="10"/>
    <x v="0"/>
    <s v="Ukraine"/>
    <s v="Business"/>
    <s v="No"/>
    <x v="0"/>
    <x v="1"/>
    <d v="2023-01-19T00:00:00"/>
    <x v="4"/>
  </r>
  <r>
    <n v="311"/>
    <s v="75x75"/>
    <x v="1"/>
    <s v="Neon in stories"/>
    <s v="Rose"/>
    <s v="Alex"/>
    <s v="Hrytsenko"/>
    <x v="1"/>
    <n v="25"/>
    <x v="0"/>
    <n v="2"/>
    <n v="6100"/>
    <n v="2700"/>
    <n v="12200"/>
    <n v="6800"/>
    <x v="11"/>
    <x v="2"/>
    <s v="Ukraine"/>
    <s v="Business"/>
    <s v="No"/>
    <x v="6"/>
    <x v="2"/>
    <d v="2023-07-24T00:00:00"/>
    <x v="8"/>
  </r>
  <r>
    <n v="312"/>
    <s v="60x15"/>
    <x v="1"/>
    <s v="Neon step by step"/>
    <s v="Rose"/>
    <s v="Sasha"/>
    <s v="Polishchuk"/>
    <x v="1"/>
    <n v="31"/>
    <x v="0"/>
    <n v="3"/>
    <n v="1800"/>
    <n v="700"/>
    <n v="5400"/>
    <n v="3300"/>
    <x v="10"/>
    <x v="0"/>
    <s v="Ukraine"/>
    <s v="Business"/>
    <s v="No"/>
    <x v="1"/>
    <x v="0"/>
    <d v="2023-02-22T00:00:00"/>
    <x v="1"/>
  </r>
  <r>
    <n v="313"/>
    <s v="90x30"/>
    <x v="1"/>
    <s v="Neon tattoo"/>
    <s v="Red"/>
    <s v="Alina"/>
    <s v="Tymoshenko"/>
    <x v="0"/>
    <n v="56"/>
    <x v="2"/>
    <n v="4"/>
    <n v="2250"/>
    <n v="1120"/>
    <n v="9000"/>
    <n v="4520"/>
    <x v="35"/>
    <x v="0"/>
    <s v="Ukraine"/>
    <s v="Business"/>
    <s v="No"/>
    <x v="3"/>
    <x v="3"/>
    <d v="2023-02-26T00:00:00"/>
    <x v="1"/>
  </r>
  <r>
    <n v="314"/>
    <s v="25x25"/>
    <x v="1"/>
    <s v="Neon Bird"/>
    <s v="White"/>
    <s v="Tatiana"/>
    <s v="Kostenko"/>
    <x v="0"/>
    <n v="42"/>
    <x v="1"/>
    <n v="1"/>
    <n v="800"/>
    <n v="600"/>
    <n v="800"/>
    <n v="200"/>
    <x v="1"/>
    <x v="1"/>
    <s v="Ukraine"/>
    <s v="Business"/>
    <s v="No"/>
    <x v="2"/>
    <x v="1"/>
    <d v="2023-02-16T00:00:00"/>
    <x v="1"/>
  </r>
  <r>
    <n v="315"/>
    <s v="60х60"/>
    <x v="1"/>
    <s v="Neon Moon"/>
    <s v="Red"/>
    <s v="Tanya"/>
    <s v="Zakharchenko"/>
    <x v="0"/>
    <n v="34"/>
    <x v="0"/>
    <n v="5"/>
    <n v="1680"/>
    <n v="970"/>
    <n v="8400"/>
    <n v="3550"/>
    <x v="0"/>
    <x v="0"/>
    <s v="Ukraine"/>
    <s v="Business"/>
    <s v="No"/>
    <x v="6"/>
    <x v="0"/>
    <d v="2023-06-16T00:00:00"/>
    <x v="6"/>
  </r>
  <r>
    <n v="316"/>
    <s v="15х35"/>
    <x v="1"/>
    <s v="Neon coffee"/>
    <s v="Yellow"/>
    <s v="Viktoria"/>
    <s v="Denysenko"/>
    <x v="0"/>
    <n v="23"/>
    <x v="0"/>
    <n v="3"/>
    <n v="1400"/>
    <n v="450"/>
    <n v="4200"/>
    <n v="2850"/>
    <x v="29"/>
    <x v="0"/>
    <s v="Ukraine"/>
    <s v="Business"/>
    <s v="No"/>
    <x v="2"/>
    <x v="2"/>
    <d v="2023-02-17T00:00:00"/>
    <x v="1"/>
  </r>
  <r>
    <n v="317"/>
    <s v="17х70"/>
    <x v="1"/>
    <s v="Neon sushi"/>
    <s v="White"/>
    <s v="Nadia"/>
    <s v="Ivanenko"/>
    <x v="0"/>
    <n v="56"/>
    <x v="2"/>
    <n v="2"/>
    <n v="2460"/>
    <n v="1060"/>
    <n v="4920"/>
    <n v="2800"/>
    <x v="6"/>
    <x v="1"/>
    <s v="Ukraine"/>
    <s v="Business"/>
    <s v="No"/>
    <x v="5"/>
    <x v="3"/>
    <d v="2023-11-12T00:00:00"/>
    <x v="5"/>
  </r>
  <r>
    <n v="318"/>
    <s v="17х70"/>
    <x v="1"/>
    <s v="Neon Bar"/>
    <s v="Red"/>
    <s v="Tatiana"/>
    <s v="Oliynyk"/>
    <x v="0"/>
    <n v="24"/>
    <x v="0"/>
    <n v="4"/>
    <n v="2910"/>
    <n v="1110"/>
    <n v="11640"/>
    <n v="7200"/>
    <x v="5"/>
    <x v="3"/>
    <s v="Ukraine"/>
    <s v="Business"/>
    <s v="No"/>
    <x v="7"/>
    <x v="1"/>
    <d v="2023-01-14T00:00:00"/>
    <x v="4"/>
  </r>
  <r>
    <n v="320"/>
    <s v="120х40"/>
    <x v="1"/>
    <s v="Neon siyanci"/>
    <s v="Rose"/>
    <s v="Miroslava"/>
    <s v="Shevchenko"/>
    <x v="0"/>
    <n v="64"/>
    <x v="2"/>
    <n v="1"/>
    <n v="3700"/>
    <n v="1900"/>
    <n v="3700"/>
    <n v="1800"/>
    <x v="6"/>
    <x v="1"/>
    <s v="Ukraine"/>
    <s v="Business"/>
    <s v="No"/>
    <x v="6"/>
    <x v="2"/>
    <d v="2023-02-14T00:00:00"/>
    <x v="1"/>
  </r>
  <r>
    <n v="321"/>
    <s v="30x30"/>
    <x v="0"/>
    <s v="Qr code"/>
    <s v="Silver-Black"/>
    <s v="Oleg"/>
    <s v="Kovalenko"/>
    <x v="1"/>
    <n v="64"/>
    <x v="2"/>
    <n v="5"/>
    <n v="890"/>
    <n v="400"/>
    <n v="4450"/>
    <n v="2450"/>
    <x v="29"/>
    <x v="0"/>
    <s v="Ukraine"/>
    <s v="Business"/>
    <s v="No"/>
    <x v="3"/>
    <x v="0"/>
    <d v="2023-04-07T00:00:00"/>
    <x v="7"/>
  </r>
  <r>
    <n v="322"/>
    <s v="100х25"/>
    <x v="1"/>
    <s v="Neon welcome"/>
    <s v="White"/>
    <s v="Oleg"/>
    <s v="Bondarenko"/>
    <x v="1"/>
    <n v="23"/>
    <x v="0"/>
    <n v="2"/>
    <n v="3500"/>
    <n v="1800"/>
    <n v="7000"/>
    <n v="3400"/>
    <x v="44"/>
    <x v="1"/>
    <s v="Ukraine"/>
    <s v="Business"/>
    <s v="No"/>
    <x v="4"/>
    <x v="3"/>
    <d v="2023-09-19T00:00:00"/>
    <x v="2"/>
  </r>
  <r>
    <n v="323"/>
    <s v="70x75"/>
    <x v="1"/>
    <s v="Neon coffe"/>
    <s v="Yellow"/>
    <s v="Daria"/>
    <s v="Tkachenko"/>
    <x v="0"/>
    <n v="19"/>
    <x v="0"/>
    <n v="3"/>
    <n v="3630"/>
    <n v="2030"/>
    <n v="10890"/>
    <n v="4800"/>
    <x v="21"/>
    <x v="3"/>
    <s v="Ukraine"/>
    <s v="Business"/>
    <s v="No"/>
    <x v="7"/>
    <x v="1"/>
    <d v="2023-03-13T00:00:00"/>
    <x v="0"/>
  </r>
  <r>
    <n v="324"/>
    <s v="126x48"/>
    <x v="1"/>
    <s v="Neon cambo beauty"/>
    <s v="Ice blue"/>
    <s v="Oleg"/>
    <s v="Kravchenko"/>
    <x v="1"/>
    <n v="21"/>
    <x v="0"/>
    <n v="4"/>
    <n v="5130"/>
    <n v="2260"/>
    <n v="20520"/>
    <n v="11480"/>
    <x v="33"/>
    <x v="1"/>
    <s v="Ukraine"/>
    <s v="Business"/>
    <s v="No"/>
    <x v="4"/>
    <x v="0"/>
    <d v="2023-06-23T00:00:00"/>
    <x v="6"/>
  </r>
  <r>
    <n v="325"/>
    <s v="93x30"/>
    <x v="1"/>
    <s v="Neon DLXN"/>
    <s v="Blue"/>
    <s v="Vasyl"/>
    <s v="Boyko"/>
    <x v="1"/>
    <n v="56"/>
    <x v="2"/>
    <n v="3"/>
    <n v="2650"/>
    <n v="1300"/>
    <n v="7950"/>
    <n v="4050"/>
    <x v="19"/>
    <x v="3"/>
    <s v="Ukraine"/>
    <s v="Business"/>
    <s v="No"/>
    <x v="6"/>
    <x v="2"/>
    <d v="2023-11-15T00:00:00"/>
    <x v="5"/>
  </r>
  <r>
    <n v="326"/>
    <s v="70x24"/>
    <x v="1"/>
    <s v="Neon Trisky"/>
    <s v="Red"/>
    <s v="Petro"/>
    <s v="Kovalchuk"/>
    <x v="1"/>
    <n v="34"/>
    <x v="0"/>
    <n v="1"/>
    <n v="2980"/>
    <n v="1050"/>
    <n v="2980"/>
    <n v="1930"/>
    <x v="21"/>
    <x v="3"/>
    <s v="Ukraine"/>
    <s v="Business"/>
    <s v="No"/>
    <x v="7"/>
    <x v="3"/>
    <d v="2023-09-16T00:00:00"/>
    <x v="2"/>
  </r>
  <r>
    <n v="327"/>
    <s v="30x37"/>
    <x v="0"/>
    <s v="Qr code"/>
    <s v="Gold-Black"/>
    <s v="Michael"/>
    <s v="Melnyk"/>
    <x v="1"/>
    <n v="64"/>
    <x v="2"/>
    <n v="4"/>
    <n v="1190"/>
    <n v="700"/>
    <n v="4760"/>
    <n v="1960"/>
    <x v="24"/>
    <x v="3"/>
    <s v="Ukraine"/>
    <s v="Business"/>
    <s v="No"/>
    <x v="0"/>
    <x v="1"/>
    <d v="2023-08-15T00:00:00"/>
    <x v="3"/>
  </r>
  <r>
    <n v="328"/>
    <s v="55х30"/>
    <x v="1"/>
    <s v="Neon wetmilk"/>
    <s v="White"/>
    <s v="Svitlana"/>
    <s v="Marchenko"/>
    <x v="0"/>
    <n v="78"/>
    <x v="2"/>
    <n v="5"/>
    <n v="3165"/>
    <n v="1040"/>
    <n v="15825"/>
    <n v="10625"/>
    <x v="5"/>
    <x v="3"/>
    <s v="Ukraine"/>
    <s v="Business"/>
    <s v="No"/>
    <x v="6"/>
    <x v="2"/>
    <d v="2023-11-13T00:00:00"/>
    <x v="5"/>
  </r>
  <r>
    <n v="329"/>
    <s v="40x40"/>
    <x v="1"/>
    <s v="Neon Car"/>
    <s v="Rose"/>
    <s v="Alina"/>
    <s v="Lysenko"/>
    <x v="0"/>
    <n v="54"/>
    <x v="2"/>
    <n v="3"/>
    <n v="2210"/>
    <n v="800"/>
    <n v="6630"/>
    <n v="4230"/>
    <x v="3"/>
    <x v="0"/>
    <s v="Ukraine"/>
    <s v="Business"/>
    <s v="No"/>
    <x v="5"/>
    <x v="0"/>
    <d v="2023-07-19T00:00:00"/>
    <x v="8"/>
  </r>
  <r>
    <n v="330"/>
    <s v="200x50"/>
    <x v="1"/>
    <s v="Neon Mojohit"/>
    <s v="Green"/>
    <s v="Vitalia"/>
    <s v="Rudenko"/>
    <x v="0"/>
    <n v="32"/>
    <x v="0"/>
    <n v="2"/>
    <n v="6850"/>
    <n v="4550"/>
    <n v="13700"/>
    <n v="4600"/>
    <x v="28"/>
    <x v="2"/>
    <s v="Ukraine"/>
    <s v="Business"/>
    <s v="No"/>
    <x v="0"/>
    <x v="3"/>
    <d v="2023-09-19T00:00:00"/>
    <x v="2"/>
  </r>
  <r>
    <n v="331"/>
    <s v="70x20"/>
    <x v="1"/>
    <s v="Neon my happy place"/>
    <s v="White"/>
    <s v="Vita"/>
    <s v="Savchenko"/>
    <x v="0"/>
    <n v="24"/>
    <x v="0"/>
    <n v="4"/>
    <n v="3100"/>
    <n v="1360"/>
    <n v="12400"/>
    <n v="6960"/>
    <x v="39"/>
    <x v="4"/>
    <s v="Ukraine"/>
    <s v="Business"/>
    <s v="No"/>
    <x v="7"/>
    <x v="1"/>
    <d v="2023-12-17T00:00:00"/>
    <x v="10"/>
  </r>
  <r>
    <n v="332"/>
    <s v="50х70"/>
    <x v="1"/>
    <s v="Neon Ibiza"/>
    <s v="Blue"/>
    <s v="Olya"/>
    <s v="Hrytsenko"/>
    <x v="0"/>
    <n v="57"/>
    <x v="2"/>
    <n v="1"/>
    <n v="4190"/>
    <n v="1690"/>
    <n v="4190"/>
    <n v="2500"/>
    <x v="39"/>
    <x v="4"/>
    <s v="Ukraine"/>
    <s v="Business"/>
    <s v="No"/>
    <x v="7"/>
    <x v="0"/>
    <d v="2023-09-11T00:00:00"/>
    <x v="2"/>
  </r>
  <r>
    <n v="333"/>
    <s v="90x60"/>
    <x v="1"/>
    <s v="Neon emotions"/>
    <s v="Blue"/>
    <s v="Kristina"/>
    <s v="Polishchuk"/>
    <x v="0"/>
    <n v="35"/>
    <x v="0"/>
    <n v="5"/>
    <n v="6550"/>
    <n v="3660"/>
    <n v="32750"/>
    <n v="14450"/>
    <x v="16"/>
    <x v="3"/>
    <s v="Ukraine"/>
    <s v="Business"/>
    <s v="No"/>
    <x v="6"/>
    <x v="2"/>
    <d v="2023-03-21T00:00:00"/>
    <x v="0"/>
  </r>
  <r>
    <n v="334"/>
    <s v="80x17"/>
    <x v="1"/>
    <s v="Neon L'Echalot"/>
    <s v="Red"/>
    <s v="Mirella"/>
    <s v="Tymoshenko"/>
    <x v="0"/>
    <n v="40"/>
    <x v="1"/>
    <n v="2"/>
    <n v="2740"/>
    <n v="1040"/>
    <n v="5480"/>
    <n v="3400"/>
    <x v="20"/>
    <x v="0"/>
    <s v="Ukraine"/>
    <s v="Business"/>
    <s v="No"/>
    <x v="7"/>
    <x v="3"/>
    <d v="2023-11-15T00:00:00"/>
    <x v="5"/>
  </r>
  <r>
    <n v="335"/>
    <s v="70х38"/>
    <x v="1"/>
    <s v="Neon Shine"/>
    <s v="Yellow"/>
    <s v="Joanna"/>
    <s v="Kostenko"/>
    <x v="0"/>
    <n v="21"/>
    <x v="0"/>
    <n v="3"/>
    <n v="2600"/>
    <n v="1140"/>
    <n v="7800"/>
    <n v="4380"/>
    <x v="18"/>
    <x v="3"/>
    <s v="Ukraine"/>
    <s v="Business"/>
    <s v="No"/>
    <x v="7"/>
    <x v="1"/>
    <d v="2023-08-02T00:00:00"/>
    <x v="3"/>
  </r>
  <r>
    <n v="336"/>
    <s v="15x15"/>
    <x v="1"/>
    <s v="Neon Heart"/>
    <s v="Yellow"/>
    <s v="Jolanta"/>
    <s v="Zakharchenko"/>
    <x v="0"/>
    <n v="59"/>
    <x v="2"/>
    <n v="4"/>
    <n v="900"/>
    <n v="650"/>
    <n v="3600"/>
    <n v="1000"/>
    <x v="19"/>
    <x v="3"/>
    <s v="Ukraine"/>
    <s v="Business"/>
    <s v="No"/>
    <x v="2"/>
    <x v="2"/>
    <d v="2023-11-18T00:00:00"/>
    <x v="5"/>
  </r>
  <r>
    <n v="337"/>
    <s v="40х30"/>
    <x v="1"/>
    <s v="Neon One"/>
    <s v="White"/>
    <s v="Mira"/>
    <s v="Denysenko"/>
    <x v="0"/>
    <n v="32"/>
    <x v="0"/>
    <n v="1"/>
    <n v="1280"/>
    <n v="680"/>
    <n v="1280"/>
    <n v="600"/>
    <x v="21"/>
    <x v="3"/>
    <s v="Ukraine"/>
    <s v="Business"/>
    <s v="No"/>
    <x v="1"/>
    <x v="0"/>
    <d v="2023-11-04T00:00:00"/>
    <x v="5"/>
  </r>
  <r>
    <n v="338"/>
    <s v="65x35"/>
    <x v="1"/>
    <s v="Neon Love Rocks"/>
    <s v="Yellow"/>
    <s v="Milka"/>
    <s v="Ivanenko"/>
    <x v="0"/>
    <n v="46"/>
    <x v="1"/>
    <n v="5"/>
    <n v="2650"/>
    <n v="1150"/>
    <n v="13250"/>
    <n v="7500"/>
    <x v="27"/>
    <x v="0"/>
    <s v="Ukraine"/>
    <s v="Business"/>
    <s v="No"/>
    <x v="4"/>
    <x v="3"/>
    <d v="2023-08-30T00:00:00"/>
    <x v="3"/>
  </r>
  <r>
    <n v="339"/>
    <s v="25x25"/>
    <x v="0"/>
    <s v="Qr code"/>
    <s v="Black"/>
    <s v="Yana"/>
    <s v="Oliynyk"/>
    <x v="0"/>
    <n v="54"/>
    <x v="2"/>
    <n v="3"/>
    <n v="2525"/>
    <n v="1350"/>
    <n v="7575"/>
    <n v="3525"/>
    <x v="12"/>
    <x v="2"/>
    <s v="Ukraine"/>
    <s v="Business"/>
    <s v="No"/>
    <x v="0"/>
    <x v="1"/>
    <d v="2023-11-20T00:00:00"/>
    <x v="5"/>
  </r>
  <r>
    <n v="340"/>
    <s v="20x27"/>
    <x v="0"/>
    <s v="Qr code"/>
    <s v="Black"/>
    <s v="Diana"/>
    <s v="Shevchenko"/>
    <x v="0"/>
    <n v="25"/>
    <x v="0"/>
    <n v="2"/>
    <n v="1240"/>
    <n v="550"/>
    <n v="2480"/>
    <n v="1380"/>
    <x v="24"/>
    <x v="3"/>
    <s v="Ukraine"/>
    <s v="Business"/>
    <s v="No"/>
    <x v="2"/>
    <x v="0"/>
    <d v="2023-10-30T00:00:00"/>
    <x v="9"/>
  </r>
  <r>
    <n v="341"/>
    <s v="110х15"/>
    <x v="1"/>
    <s v="Neon Phone"/>
    <s v="Black"/>
    <s v="Alyona"/>
    <s v="Kovalenko"/>
    <x v="0"/>
    <n v="43"/>
    <x v="1"/>
    <n v="4"/>
    <n v="3000"/>
    <n v="1300"/>
    <n v="12000"/>
    <n v="6800"/>
    <x v="4"/>
    <x v="3"/>
    <s v="Ukraine"/>
    <s v="Business"/>
    <s v="No"/>
    <x v="7"/>
    <x v="2"/>
    <d v="2023-01-07T00:00:00"/>
    <x v="4"/>
  </r>
  <r>
    <n v="342"/>
    <s v="90х55"/>
    <x v="1"/>
    <s v="Neon the sudomyrs"/>
    <s v="White"/>
    <s v="Kristina"/>
    <s v="Bondarenko"/>
    <x v="0"/>
    <n v="58"/>
    <x v="2"/>
    <n v="1"/>
    <n v="3550"/>
    <n v="2020"/>
    <n v="3550"/>
    <n v="1530"/>
    <x v="27"/>
    <x v="0"/>
    <s v="Ukraine"/>
    <s v="Business"/>
    <s v="No"/>
    <x v="1"/>
    <x v="3"/>
    <d v="2023-04-09T00:00:00"/>
    <x v="7"/>
  </r>
  <r>
    <n v="343"/>
    <s v="100х100"/>
    <x v="1"/>
    <s v="Neon Tablet"/>
    <s v="White"/>
    <s v="Dasha"/>
    <s v="Tkachenko"/>
    <x v="0"/>
    <n v="20"/>
    <x v="0"/>
    <n v="5"/>
    <n v="7770"/>
    <n v="3570"/>
    <n v="38850"/>
    <n v="21000"/>
    <x v="40"/>
    <x v="3"/>
    <s v="Ukraine"/>
    <s v="Business"/>
    <s v="No"/>
    <x v="1"/>
    <x v="1"/>
    <d v="2023-03-18T00:00:00"/>
    <x v="0"/>
  </r>
  <r>
    <n v="344"/>
    <s v="20x20"/>
    <x v="0"/>
    <s v="Qr code"/>
    <s v="Gold"/>
    <s v="Evgenia"/>
    <s v="Kravchenko"/>
    <x v="0"/>
    <n v="49"/>
    <x v="1"/>
    <n v="2"/>
    <n v="1090"/>
    <n v="610"/>
    <n v="2180"/>
    <n v="960"/>
    <x v="35"/>
    <x v="0"/>
    <s v="Ukraine"/>
    <s v="Business"/>
    <s v="No"/>
    <x v="4"/>
    <x v="2"/>
    <d v="2023-12-23T00:00:00"/>
    <x v="10"/>
  </r>
  <r>
    <n v="345"/>
    <s v="25x31"/>
    <x v="0"/>
    <s v="Qr code"/>
    <s v="Black"/>
    <s v="Nika"/>
    <s v="Boyko"/>
    <x v="0"/>
    <n v="25"/>
    <x v="0"/>
    <n v="3"/>
    <n v="1090"/>
    <n v="550"/>
    <n v="3270"/>
    <n v="1620"/>
    <x v="9"/>
    <x v="3"/>
    <s v="Ukraine"/>
    <s v="Business"/>
    <s v="No"/>
    <x v="0"/>
    <x v="0"/>
    <d v="2023-03-11T00:00:00"/>
    <x v="0"/>
  </r>
  <r>
    <n v="346"/>
    <s v="25x31"/>
    <x v="0"/>
    <s v="Qr code"/>
    <s v="Silver"/>
    <s v="Nikol"/>
    <s v="Kovalchuk"/>
    <x v="0"/>
    <n v="31"/>
    <x v="0"/>
    <n v="4"/>
    <n v="1090"/>
    <n v="600"/>
    <n v="4360"/>
    <n v="1960"/>
    <x v="14"/>
    <x v="3"/>
    <s v="Ukraine"/>
    <s v="Business"/>
    <s v="No"/>
    <x v="2"/>
    <x v="3"/>
    <d v="2023-08-17T00:00:00"/>
    <x v="3"/>
  </r>
  <r>
    <n v="347"/>
    <s v="90x20"/>
    <x v="1"/>
    <s v="Neon Sokolenko brows"/>
    <s v="Violet"/>
    <s v="Nikolas"/>
    <s v="Melnyk"/>
    <x v="1"/>
    <n v="56"/>
    <x v="2"/>
    <n v="1"/>
    <n v="2800"/>
    <n v="1200"/>
    <n v="2800"/>
    <n v="1600"/>
    <x v="38"/>
    <x v="2"/>
    <s v="Ukraine"/>
    <s v="Business"/>
    <s v="No"/>
    <x v="6"/>
    <x v="1"/>
    <d v="2023-05-31T00:00:00"/>
    <x v="11"/>
  </r>
  <r>
    <n v="348"/>
    <s v="150x75"/>
    <x v="1"/>
    <s v="Neon Tim Pole Dance"/>
    <s v="Yellow"/>
    <s v="Maria"/>
    <s v="Marchenko"/>
    <x v="0"/>
    <n v="42"/>
    <x v="1"/>
    <n v="5"/>
    <n v="6260"/>
    <n v="3760"/>
    <n v="31300"/>
    <n v="12500"/>
    <x v="15"/>
    <x v="0"/>
    <s v="Ukraine"/>
    <s v="Business"/>
    <s v="No"/>
    <x v="3"/>
    <x v="0"/>
    <d v="2023-07-03T00:00:00"/>
    <x v="8"/>
  </r>
  <r>
    <n v="349"/>
    <s v="50x40"/>
    <x v="1"/>
    <s v="Neon Burger"/>
    <s v="Green"/>
    <s v="Vasyl"/>
    <s v="Lysenko"/>
    <x v="1"/>
    <n v="34"/>
    <x v="0"/>
    <n v="3"/>
    <n v="1930"/>
    <n v="1180"/>
    <n v="5790"/>
    <n v="2250"/>
    <x v="16"/>
    <x v="3"/>
    <s v="Ukraine"/>
    <s v="Business"/>
    <s v="No"/>
    <x v="1"/>
    <x v="2"/>
    <d v="2023-03-23T00:00:00"/>
    <x v="0"/>
  </r>
  <r>
    <n v="350"/>
    <s v="70х75"/>
    <x v="1"/>
    <s v="Neon Spa space"/>
    <s v="Rose"/>
    <s v="Alex"/>
    <s v="Rudenko"/>
    <x v="1"/>
    <n v="23"/>
    <x v="0"/>
    <n v="2"/>
    <n v="5020"/>
    <n v="2400"/>
    <n v="10040"/>
    <n v="5240"/>
    <x v="41"/>
    <x v="0"/>
    <s v="Ukraine"/>
    <s v="Business"/>
    <s v="No"/>
    <x v="1"/>
    <x v="3"/>
    <d v="2023-01-08T00:00:00"/>
    <x v="4"/>
  </r>
  <r>
    <n v="351"/>
    <s v="80х100"/>
    <x v="1"/>
    <s v="Neon Space"/>
    <s v="White"/>
    <s v="Sasha"/>
    <s v="Savchenko"/>
    <x v="1"/>
    <n v="56"/>
    <x v="2"/>
    <n v="4"/>
    <n v="3980"/>
    <n v="2810"/>
    <n v="15920"/>
    <n v="4680"/>
    <x v="34"/>
    <x v="1"/>
    <s v="Ukraine"/>
    <s v="Business"/>
    <s v="No"/>
    <x v="7"/>
    <x v="1"/>
    <d v="2023-05-12T00:00:00"/>
    <x v="11"/>
  </r>
  <r>
    <n v="352"/>
    <s v="100x35"/>
    <x v="1"/>
    <s v="Neon The Fryzz"/>
    <s v="Yellow"/>
    <s v="Alina"/>
    <s v="Hrytsenko"/>
    <x v="0"/>
    <n v="24"/>
    <x v="0"/>
    <n v="1"/>
    <n v="2990"/>
    <n v="1660"/>
    <n v="2990"/>
    <n v="1330"/>
    <x v="4"/>
    <x v="3"/>
    <s v="Ukraine"/>
    <s v="Business"/>
    <s v="No"/>
    <x v="0"/>
    <x v="2"/>
    <d v="2023-07-11T00:00:00"/>
    <x v="8"/>
  </r>
  <r>
    <n v="353"/>
    <s v="45x45"/>
    <x v="1"/>
    <s v="Neon Svit hub"/>
    <s v="Red"/>
    <s v="Barbara"/>
    <s v="Polishchuk"/>
    <x v="0"/>
    <n v="64"/>
    <x v="2"/>
    <n v="5"/>
    <n v="3280"/>
    <n v="1300"/>
    <n v="16400"/>
    <n v="9900"/>
    <x v="0"/>
    <x v="0"/>
    <s v="Ukraine"/>
    <s v="Business"/>
    <s v="No"/>
    <x v="1"/>
    <x v="0"/>
    <d v="2023-02-17T00:00:00"/>
    <x v="1"/>
  </r>
  <r>
    <n v="354"/>
    <s v="20х20"/>
    <x v="0"/>
    <s v="Qr code"/>
    <s v="Black"/>
    <s v="Chris"/>
    <s v="Tymoshenko"/>
    <x v="1"/>
    <n v="64"/>
    <x v="2"/>
    <n v="2"/>
    <n v="1090"/>
    <n v="610"/>
    <n v="2180"/>
    <n v="960"/>
    <x v="31"/>
    <x v="3"/>
    <s v="Ukraine"/>
    <s v="Business"/>
    <s v="No"/>
    <x v="7"/>
    <x v="3"/>
    <d v="2023-05-05T00:00:00"/>
    <x v="11"/>
  </r>
  <r>
    <n v="355"/>
    <s v="25х31"/>
    <x v="0"/>
    <s v="Qr code"/>
    <s v="Rose"/>
    <s v="Francheska"/>
    <s v="Kostenko"/>
    <x v="0"/>
    <n v="23"/>
    <x v="0"/>
    <n v="3"/>
    <n v="2180"/>
    <n v="1200"/>
    <n v="6540"/>
    <n v="2940"/>
    <x v="30"/>
    <x v="0"/>
    <s v="Ukraine"/>
    <s v="Business"/>
    <s v="No"/>
    <x v="4"/>
    <x v="1"/>
    <d v="2023-12-18T00:00:00"/>
    <x v="10"/>
  </r>
  <r>
    <n v="356"/>
    <s v="20х20"/>
    <x v="0"/>
    <s v="Qr code"/>
    <s v="White"/>
    <s v="Justin"/>
    <s v="Zakharchenko"/>
    <x v="1"/>
    <n v="19"/>
    <x v="0"/>
    <n v="4"/>
    <n v="890"/>
    <n v="450"/>
    <n v="3560"/>
    <n v="1760"/>
    <x v="8"/>
    <x v="0"/>
    <s v="Ukraine"/>
    <s v="Business"/>
    <s v="No"/>
    <x v="3"/>
    <x v="0"/>
    <d v="2023-02-06T00:00:00"/>
    <x v="1"/>
  </r>
  <r>
    <n v="357"/>
    <s v="65x25"/>
    <x v="1"/>
    <s v="Neon Falitsata"/>
    <s v="Red"/>
    <s v="Alex"/>
    <s v="Denysenko"/>
    <x v="1"/>
    <n v="21"/>
    <x v="0"/>
    <n v="5"/>
    <n v="2410"/>
    <n v="960"/>
    <n v="12050"/>
    <n v="7250"/>
    <x v="1"/>
    <x v="1"/>
    <s v="Ukraine"/>
    <s v="Business"/>
    <s v="No"/>
    <x v="0"/>
    <x v="2"/>
    <d v="2023-05-28T00:00:00"/>
    <x v="11"/>
  </r>
  <r>
    <n v="358"/>
    <s v="25х31"/>
    <x v="0"/>
    <s v="Qr code"/>
    <s v="Green"/>
    <s v="Aj"/>
    <s v="Ivanenko"/>
    <x v="1"/>
    <n v="56"/>
    <x v="2"/>
    <n v="2"/>
    <n v="1090"/>
    <n v="600"/>
    <n v="2180"/>
    <n v="980"/>
    <x v="38"/>
    <x v="2"/>
    <s v="Ukraine"/>
    <s v="Business"/>
    <s v="No"/>
    <x v="6"/>
    <x v="3"/>
    <d v="2023-01-05T00:00:00"/>
    <x v="4"/>
  </r>
  <r>
    <n v="359"/>
    <s v="30х30"/>
    <x v="0"/>
    <s v="Qr code"/>
    <s v="Yellow"/>
    <s v="Lesia"/>
    <s v="Oliynyk"/>
    <x v="0"/>
    <n v="34"/>
    <x v="0"/>
    <n v="3"/>
    <n v="1565"/>
    <n v="1000"/>
    <n v="4695"/>
    <n v="1695"/>
    <x v="11"/>
    <x v="2"/>
    <s v="Ukraine"/>
    <s v="Business"/>
    <s v="No"/>
    <x v="6"/>
    <x v="1"/>
    <d v="2023-05-05T00:00:00"/>
    <x v="11"/>
  </r>
  <r>
    <n v="360"/>
    <s v="30х30"/>
    <x v="0"/>
    <s v="Qr code"/>
    <s v="Rose"/>
    <s v="Nazar"/>
    <s v="Shevchenko"/>
    <x v="1"/>
    <n v="64"/>
    <x v="2"/>
    <n v="4"/>
    <n v="1565"/>
    <n v="1000"/>
    <n v="6260"/>
    <n v="2260"/>
    <x v="1"/>
    <x v="1"/>
    <s v="Ukraine"/>
    <s v="Business"/>
    <s v="No"/>
    <x v="3"/>
    <x v="2"/>
    <d v="2023-08-13T00:00:00"/>
    <x v="3"/>
  </r>
  <r>
    <n v="361"/>
    <s v="115х65"/>
    <x v="1"/>
    <s v="Neon HOZ"/>
    <s v="Rose"/>
    <s v="Inessa"/>
    <s v="Kovalenko"/>
    <x v="0"/>
    <n v="78"/>
    <x v="2"/>
    <n v="3"/>
    <n v="5860"/>
    <n v="2540"/>
    <n v="17580"/>
    <n v="9960"/>
    <x v="42"/>
    <x v="0"/>
    <s v="Ukraine"/>
    <s v="Business"/>
    <s v="No"/>
    <x v="7"/>
    <x v="0"/>
    <d v="2023-09-08T00:00:00"/>
    <x v="2"/>
  </r>
  <r>
    <n v="362"/>
    <s v="20х135"/>
    <x v="1"/>
    <s v="Neon Gold"/>
    <s v="Red"/>
    <s v="Inna"/>
    <s v="Bondarenko"/>
    <x v="0"/>
    <n v="54"/>
    <x v="2"/>
    <n v="1"/>
    <n v="1000"/>
    <n v="290"/>
    <n v="1000"/>
    <n v="710"/>
    <x v="31"/>
    <x v="3"/>
    <s v="Ukraine"/>
    <s v="Business"/>
    <s v="No"/>
    <x v="0"/>
    <x v="3"/>
    <d v="2023-09-20T00:00:00"/>
    <x v="2"/>
  </r>
  <r>
    <n v="363"/>
    <s v="70x20"/>
    <x v="1"/>
    <s v="Neon Fly"/>
    <s v="White"/>
    <s v="Lenok"/>
    <s v="Tkachenko"/>
    <x v="0"/>
    <n v="32"/>
    <x v="0"/>
    <n v="4"/>
    <n v="23720"/>
    <n v="13900"/>
    <n v="94880"/>
    <n v="39280"/>
    <x v="1"/>
    <x v="1"/>
    <s v="Ukraine"/>
    <s v="Business"/>
    <s v="No"/>
    <x v="4"/>
    <x v="1"/>
    <d v="2023-03-01T00:00:00"/>
    <x v="0"/>
  </r>
  <r>
    <n v="364"/>
    <s v="96x93"/>
    <x v="1"/>
    <s v="Neon Coffee"/>
    <s v="Red"/>
    <s v="Mia"/>
    <s v="Kravchenko"/>
    <x v="0"/>
    <n v="55"/>
    <x v="2"/>
    <n v="5"/>
    <n v="6260"/>
    <n v="3350"/>
    <n v="31300"/>
    <n v="14550"/>
    <x v="18"/>
    <x v="3"/>
    <s v="Ukraine"/>
    <s v="Business"/>
    <s v="No"/>
    <x v="2"/>
    <x v="0"/>
    <d v="2023-08-15T00:00:00"/>
    <x v="3"/>
  </r>
  <r>
    <n v="365"/>
    <s v="125x70"/>
    <x v="1"/>
    <s v="Neon give me some sugar"/>
    <s v="Yellow"/>
    <s v="Mila"/>
    <s v="Boyko"/>
    <x v="0"/>
    <n v="36"/>
    <x v="1"/>
    <n v="3"/>
    <n v="4990"/>
    <n v="2490"/>
    <n v="14970"/>
    <n v="7500"/>
    <x v="41"/>
    <x v="0"/>
    <s v="Ukraine"/>
    <s v="Business"/>
    <s v="No"/>
    <x v="2"/>
    <x v="2"/>
    <d v="2023-10-27T00:00:00"/>
    <x v="9"/>
  </r>
  <r>
    <n v="366"/>
    <s v="60x15"/>
    <x v="1"/>
    <s v="Neon Perfect Lash"/>
    <s v="White"/>
    <s v="Maria"/>
    <s v="Kovalchuk"/>
    <x v="0"/>
    <n v="28"/>
    <x v="0"/>
    <n v="2"/>
    <n v="2265"/>
    <n v="690"/>
    <n v="4530"/>
    <n v="3150"/>
    <x v="14"/>
    <x v="3"/>
    <s v="Ukraine"/>
    <s v="Business"/>
    <s v="No"/>
    <x v="5"/>
    <x v="3"/>
    <d v="2023-10-16T00:00:00"/>
    <x v="9"/>
  </r>
  <r>
    <n v="367"/>
    <s v="90х25"/>
    <x v="1"/>
    <s v="Neon Marmylyada"/>
    <s v="Red"/>
    <s v="Mary"/>
    <s v="Melnyk"/>
    <x v="0"/>
    <n v="50"/>
    <x v="2"/>
    <n v="4"/>
    <n v="2580"/>
    <n v="1170"/>
    <n v="10320"/>
    <n v="5640"/>
    <x v="36"/>
    <x v="0"/>
    <s v="Ukraine"/>
    <s v="Business"/>
    <s v="No"/>
    <x v="1"/>
    <x v="1"/>
    <d v="2023-10-30T00:00:00"/>
    <x v="9"/>
  </r>
  <r>
    <n v="368"/>
    <s v="45х65"/>
    <x v="1"/>
    <s v="Neon Cake"/>
    <s v="Rose"/>
    <s v="Ihgor"/>
    <s v="Marchenko"/>
    <x v="1"/>
    <n v="39"/>
    <x v="1"/>
    <n v="1"/>
    <n v="2440"/>
    <n v="1330"/>
    <n v="2440"/>
    <n v="1110"/>
    <x v="42"/>
    <x v="0"/>
    <s v="Ukraine"/>
    <s v="Business"/>
    <s v="No"/>
    <x v="7"/>
    <x v="2"/>
    <d v="2023-08-16T00:00:00"/>
    <x v="3"/>
  </r>
  <r>
    <n v="369"/>
    <s v="20х10"/>
    <x v="1"/>
    <s v="Bottle"/>
    <s v="White"/>
    <s v="Vlad"/>
    <s v="Lysenko"/>
    <x v="1"/>
    <n v="31"/>
    <x v="0"/>
    <n v="5"/>
    <n v="1000"/>
    <n v="400"/>
    <n v="5000"/>
    <n v="3000"/>
    <x v="9"/>
    <x v="3"/>
    <s v="Ukraine"/>
    <s v="Business"/>
    <s v="No"/>
    <x v="6"/>
    <x v="0"/>
    <d v="2023-03-09T00:00:00"/>
    <x v="0"/>
  </r>
  <r>
    <n v="370"/>
    <s v="55x40"/>
    <x v="1"/>
    <s v="OBLAKA"/>
    <s v="Rose"/>
    <s v="Saha"/>
    <s v="Rudenko"/>
    <x v="1"/>
    <n v="44"/>
    <x v="1"/>
    <n v="2"/>
    <n v="2560"/>
    <n v="1100"/>
    <n v="5120"/>
    <n v="2920"/>
    <x v="12"/>
    <x v="2"/>
    <s v="Ukraine"/>
    <s v="Business"/>
    <s v="No"/>
    <x v="0"/>
    <x v="3"/>
    <d v="2023-08-05T00:00:00"/>
    <x v="3"/>
  </r>
  <r>
    <n v="371"/>
    <s v="50x50"/>
    <x v="1"/>
    <s v="Beauty STO"/>
    <s v="White"/>
    <s v="Dasha"/>
    <s v="Savchenko"/>
    <x v="0"/>
    <n v="26"/>
    <x v="0"/>
    <n v="3"/>
    <n v="2480"/>
    <n v="1080"/>
    <n v="7440"/>
    <n v="4200"/>
    <x v="36"/>
    <x v="0"/>
    <s v="Ukraine"/>
    <s v="Business"/>
    <s v="No"/>
    <x v="2"/>
    <x v="1"/>
    <d v="2023-10-08T00:00:00"/>
    <x v="9"/>
  </r>
  <r>
    <n v="372"/>
    <s v="30x22"/>
    <x v="1"/>
    <s v="Youtube"/>
    <s v="Red"/>
    <s v="Daria"/>
    <s v="Hrytsenko"/>
    <x v="0"/>
    <n v="48"/>
    <x v="1"/>
    <n v="4"/>
    <n v="1280"/>
    <n v="560"/>
    <n v="5120"/>
    <n v="2880"/>
    <x v="8"/>
    <x v="0"/>
    <s v="Ukraine"/>
    <s v="Business"/>
    <s v="No"/>
    <x v="5"/>
    <x v="0"/>
    <d v="2023-02-22T00:00:00"/>
    <x v="1"/>
  </r>
  <r>
    <n v="373"/>
    <s v="20х20"/>
    <x v="1"/>
    <s v="інстамітка"/>
    <s v="Black"/>
    <s v="Petro"/>
    <s v="Polishchuk"/>
    <x v="1"/>
    <n v="53"/>
    <x v="2"/>
    <n v="1"/>
    <n v="890"/>
    <n v="400"/>
    <n v="890"/>
    <n v="490"/>
    <x v="36"/>
    <x v="0"/>
    <s v="Ukraine"/>
    <s v="Business"/>
    <s v="No"/>
    <x v="6"/>
    <x v="2"/>
    <d v="2023-07-26T00:00:00"/>
    <x v="8"/>
  </r>
  <r>
    <n v="374"/>
    <s v="60x15"/>
    <x v="1"/>
    <s v="AntiSchool"/>
    <s v="Green"/>
    <s v="Vasyl"/>
    <s v="Tymoshenko"/>
    <x v="1"/>
    <n v="30"/>
    <x v="0"/>
    <n v="5"/>
    <n v="1590"/>
    <n v="700"/>
    <n v="7950"/>
    <n v="4450"/>
    <x v="2"/>
    <x v="2"/>
    <s v="Ukraine"/>
    <s v="Business"/>
    <s v="No"/>
    <x v="0"/>
    <x v="3"/>
    <d v="2023-07-25T00:00:00"/>
    <x v="8"/>
  </r>
  <r>
    <n v="375"/>
    <s v="50x30"/>
    <x v="1"/>
    <s v="Spesivcevs fam"/>
    <s v="Yellow"/>
    <s v="Alina"/>
    <s v="Kostenko"/>
    <x v="0"/>
    <n v="37"/>
    <x v="1"/>
    <n v="3"/>
    <n v="2270"/>
    <n v="1001"/>
    <n v="6810"/>
    <n v="3807"/>
    <x v="43"/>
    <x v="4"/>
    <s v="Ukraine"/>
    <s v="Business"/>
    <s v="No"/>
    <x v="5"/>
    <x v="1"/>
    <d v="2023-06-12T00:00:00"/>
    <x v="6"/>
  </r>
  <r>
    <n v="376"/>
    <s v="200x75"/>
    <x v="1"/>
    <s v="LAMOUR"/>
    <s v="Red"/>
    <s v="Pablo"/>
    <s v="Zakharchenko"/>
    <x v="1"/>
    <n v="42"/>
    <x v="1"/>
    <n v="2"/>
    <n v="8100"/>
    <n v="5340"/>
    <n v="16200"/>
    <n v="5520"/>
    <x v="26"/>
    <x v="3"/>
    <s v="Ukraine"/>
    <s v="Business"/>
    <s v="No"/>
    <x v="0"/>
    <x v="2"/>
    <d v="2023-10-29T00:00:00"/>
    <x v="9"/>
  </r>
  <r>
    <n v="377"/>
    <s v="110x30"/>
    <x v="1"/>
    <s v="Redwood"/>
    <s v="Red"/>
    <s v="Gustavo"/>
    <s v="Denysenko"/>
    <x v="1"/>
    <n v="24"/>
    <x v="0"/>
    <n v="4"/>
    <n v="2860"/>
    <n v="1700"/>
    <n v="11440"/>
    <n v="4640"/>
    <x v="37"/>
    <x v="4"/>
    <s v="Ukraine"/>
    <s v="Business"/>
    <s v="No"/>
    <x v="3"/>
    <x v="0"/>
    <d v="2023-11-04T00:00:00"/>
    <x v="5"/>
  </r>
  <r>
    <n v="378"/>
    <s v="25x31"/>
    <x v="0"/>
    <s v="Qr code"/>
    <s v="Rose"/>
    <s v="Muron"/>
    <s v="Ivanenko"/>
    <x v="1"/>
    <n v="57"/>
    <x v="2"/>
    <n v="1"/>
    <n v="1090"/>
    <n v="655"/>
    <n v="1090"/>
    <n v="435"/>
    <x v="1"/>
    <x v="1"/>
    <s v="Ukraine"/>
    <s v="Business"/>
    <s v="No"/>
    <x v="2"/>
    <x v="3"/>
    <d v="2023-05-25T00:00:00"/>
    <x v="11"/>
  </r>
  <r>
    <n v="379"/>
    <s v="30x30"/>
    <x v="0"/>
    <s v="Qr code"/>
    <s v="Silver"/>
    <s v="Olya"/>
    <s v="Oliynyk"/>
    <x v="0"/>
    <n v="35"/>
    <x v="0"/>
    <n v="5"/>
    <n v="1000"/>
    <n v="700"/>
    <n v="5000"/>
    <n v="1500"/>
    <x v="12"/>
    <x v="2"/>
    <s v="Ukraine"/>
    <s v="Business"/>
    <s v="No"/>
    <x v="6"/>
    <x v="1"/>
    <d v="2023-12-28T00:00:00"/>
    <x v="10"/>
  </r>
  <r>
    <n v="380"/>
    <s v="25x31"/>
    <x v="0"/>
    <s v="Qr code"/>
    <s v="Black"/>
    <s v="Mark"/>
    <s v="Shevchenko"/>
    <x v="1"/>
    <n v="40"/>
    <x v="1"/>
    <n v="2"/>
    <n v="1240"/>
    <n v="650"/>
    <n v="2480"/>
    <n v="1180"/>
    <x v="21"/>
    <x v="3"/>
    <s v="Ukraine"/>
    <s v="Business"/>
    <s v="No"/>
    <x v="3"/>
    <x v="0"/>
    <d v="2023-03-18T00:00:00"/>
    <x v="0"/>
  </r>
  <r>
    <n v="381"/>
    <s v="60x30"/>
    <x v="1"/>
    <s v="MAestro music"/>
    <s v="White"/>
    <s v="Mirella"/>
    <s v="Kovalenko"/>
    <x v="0"/>
    <n v="21"/>
    <x v="0"/>
    <n v="3"/>
    <n v="2610"/>
    <n v="610"/>
    <n v="7830"/>
    <n v="6000"/>
    <x v="40"/>
    <x v="3"/>
    <s v="Ukraine"/>
    <s v="Business"/>
    <s v="No"/>
    <x v="5"/>
    <x v="2"/>
    <d v="2023-01-21T00:00:00"/>
    <x v="4"/>
  </r>
  <r>
    <n v="382"/>
    <s v="100x100"/>
    <x v="1"/>
    <s v="Protein cocktails"/>
    <s v="Red"/>
    <s v="Joanna"/>
    <s v="Bondarenko"/>
    <x v="0"/>
    <n v="36"/>
    <x v="1"/>
    <n v="4"/>
    <n v="7020"/>
    <n v="3390"/>
    <n v="28080"/>
    <n v="14520"/>
    <x v="18"/>
    <x v="3"/>
    <s v="Ukraine"/>
    <s v="Business"/>
    <s v="No"/>
    <x v="5"/>
    <x v="3"/>
    <d v="2023-12-03T00:00:00"/>
    <x v="10"/>
  </r>
  <r>
    <n v="383"/>
    <s v="60x50"/>
    <x v="1"/>
    <s v="М show"/>
    <s v="Yellow"/>
    <s v="Jolanta"/>
    <s v="Tkachenko"/>
    <x v="0"/>
    <n v="28"/>
    <x v="0"/>
    <n v="1"/>
    <n v="3510"/>
    <n v="1770"/>
    <n v="3510"/>
    <n v="1740"/>
    <x v="21"/>
    <x v="3"/>
    <s v="Ukraine"/>
    <s v="Business"/>
    <s v="No"/>
    <x v="7"/>
    <x v="1"/>
    <d v="2023-11-28T00:00:00"/>
    <x v="5"/>
  </r>
  <r>
    <n v="384"/>
    <s v="110х20"/>
    <x v="1"/>
    <s v="Coffee here"/>
    <s v="Violet"/>
    <s v="Mira"/>
    <s v="Kravchenko"/>
    <x v="0"/>
    <n v="50"/>
    <x v="2"/>
    <n v="5"/>
    <n v="3170"/>
    <n v="1380"/>
    <n v="15850"/>
    <n v="8950"/>
    <x v="4"/>
    <x v="3"/>
    <s v="Ukraine"/>
    <s v="Business"/>
    <s v="No"/>
    <x v="3"/>
    <x v="2"/>
    <d v="2023-02-17T00:00:00"/>
    <x v="1"/>
  </r>
  <r>
    <n v="385"/>
    <s v="100x66"/>
    <x v="1"/>
    <s v="Fyria's 30"/>
    <s v="Rose"/>
    <s v="Milka"/>
    <s v="Boyko"/>
    <x v="0"/>
    <n v="39"/>
    <x v="1"/>
    <n v="3"/>
    <n v="3250"/>
    <n v="1900"/>
    <n v="9750"/>
    <n v="4050"/>
    <x v="14"/>
    <x v="3"/>
    <s v="Ukraine"/>
    <s v="Business"/>
    <s v="No"/>
    <x v="2"/>
    <x v="0"/>
    <d v="2023-08-30T00:00:00"/>
    <x v="3"/>
  </r>
  <r>
    <n v="386"/>
    <s v="120x30"/>
    <x v="1"/>
    <s v="Lash vi vi"/>
    <s v="Yellow"/>
    <s v="Yana"/>
    <s v="Kovalchuk"/>
    <x v="0"/>
    <n v="31"/>
    <x v="0"/>
    <n v="1"/>
    <n v="3450"/>
    <n v="1620"/>
    <n v="3450"/>
    <n v="1830"/>
    <x v="23"/>
    <x v="4"/>
    <s v="Ukraine"/>
    <s v="Business"/>
    <s v="No"/>
    <x v="1"/>
    <x v="3"/>
    <d v="2023-07-05T00:00:00"/>
    <x v="8"/>
  </r>
  <r>
    <n v="387"/>
    <s v="100х43"/>
    <x v="1"/>
    <s v="Fly"/>
    <s v="Ice blue"/>
    <s v="Diana"/>
    <s v="Melnyk"/>
    <x v="0"/>
    <n v="44"/>
    <x v="1"/>
    <n v="5"/>
    <n v="5000"/>
    <n v="2840"/>
    <n v="25000"/>
    <n v="10800"/>
    <x v="27"/>
    <x v="0"/>
    <s v="Ukraine"/>
    <s v="Business"/>
    <s v="No"/>
    <x v="5"/>
    <x v="1"/>
    <d v="2023-02-12T00:00:00"/>
    <x v="1"/>
  </r>
  <r>
    <n v="388"/>
    <s v="120х50"/>
    <x v="1"/>
    <s v="Angel"/>
    <s v="Rose"/>
    <s v="Alyona"/>
    <s v="Marchenko"/>
    <x v="0"/>
    <n v="26"/>
    <x v="0"/>
    <n v="2"/>
    <n v="6300"/>
    <n v="4320"/>
    <n v="12600"/>
    <n v="3960"/>
    <x v="11"/>
    <x v="2"/>
    <s v="Ukraine"/>
    <s v="Business"/>
    <s v="No"/>
    <x v="6"/>
    <x v="0"/>
    <d v="2023-03-25T00:00:00"/>
    <x v="0"/>
  </r>
  <r>
    <n v="389"/>
    <s v="150х80"/>
    <x v="1"/>
    <s v="BMW"/>
    <s v="Ice blue"/>
    <s v="Sasha"/>
    <s v="Lysenko"/>
    <x v="1"/>
    <n v="48"/>
    <x v="1"/>
    <n v="3"/>
    <n v="7371"/>
    <n v="4330"/>
    <n v="22113"/>
    <n v="9123"/>
    <x v="34"/>
    <x v="1"/>
    <s v="Ukraine"/>
    <s v="Business"/>
    <s v="No"/>
    <x v="6"/>
    <x v="2"/>
    <d v="2023-11-08T00:00:00"/>
    <x v="5"/>
  </r>
  <r>
    <n v="390"/>
    <s v="150х80"/>
    <x v="1"/>
    <s v="BMW"/>
    <s v="Cold White"/>
    <s v="Dasha"/>
    <s v="Rudenko"/>
    <x v="0"/>
    <n v="53"/>
    <x v="2"/>
    <n v="4"/>
    <n v="7371"/>
    <n v="4330"/>
    <n v="29484"/>
    <n v="12164"/>
    <x v="13"/>
    <x v="1"/>
    <s v="Ukraine"/>
    <s v="Business"/>
    <s v="No"/>
    <x v="2"/>
    <x v="3"/>
    <d v="2023-05-14T00:00:00"/>
    <x v="11"/>
  </r>
  <r>
    <n v="391"/>
    <s v="80x55"/>
    <x v="1"/>
    <s v="fix mebli"/>
    <s v="Red"/>
    <s v="Evgenia"/>
    <s v="Savchenko"/>
    <x v="0"/>
    <n v="30"/>
    <x v="0"/>
    <n v="1"/>
    <n v="4520"/>
    <n v="2160"/>
    <n v="4520"/>
    <n v="2360"/>
    <x v="7"/>
    <x v="0"/>
    <s v="Ukraine"/>
    <s v="Business"/>
    <s v="No"/>
    <x v="5"/>
    <x v="1"/>
    <d v="2023-04-20T00:00:00"/>
    <x v="7"/>
  </r>
  <r>
    <n v="392"/>
    <s v="52х20"/>
    <x v="1"/>
    <s v="Hands"/>
    <s v="Yellow"/>
    <s v="Nazar"/>
    <s v="Hrytsenko"/>
    <x v="1"/>
    <n v="37"/>
    <x v="1"/>
    <n v="5"/>
    <n v="1989"/>
    <n v="620"/>
    <n v="9945"/>
    <n v="6845"/>
    <x v="39"/>
    <x v="4"/>
    <s v="Ukraine"/>
    <s v="Business"/>
    <s v="No"/>
    <x v="1"/>
    <x v="2"/>
    <d v="2023-08-06T00:00:00"/>
    <x v="3"/>
  </r>
  <r>
    <n v="393"/>
    <s v="90x55"/>
    <x v="1"/>
    <s v="iryna karpenko"/>
    <s v="White"/>
    <s v="Inessa"/>
    <s v="Polishchuk"/>
    <x v="0"/>
    <n v="42"/>
    <x v="1"/>
    <n v="3"/>
    <n v="4390"/>
    <n v="2100"/>
    <n v="13170"/>
    <n v="6870"/>
    <x v="19"/>
    <x v="3"/>
    <s v="Ukraine"/>
    <s v="Business"/>
    <s v="No"/>
    <x v="0"/>
    <x v="0"/>
    <d v="2023-04-07T00:00:00"/>
    <x v="7"/>
  </r>
  <r>
    <n v="394"/>
    <s v="78x100"/>
    <x v="1"/>
    <s v="viles"/>
    <s v="Green"/>
    <s v="Inna"/>
    <s v="Tymoshenko"/>
    <x v="0"/>
    <n v="24"/>
    <x v="0"/>
    <n v="2"/>
    <n v="4175"/>
    <n v="2170"/>
    <n v="8350"/>
    <n v="4010"/>
    <x v="23"/>
    <x v="4"/>
    <s v="Ukraine"/>
    <s v="Business"/>
    <s v="No"/>
    <x v="0"/>
    <x v="3"/>
    <d v="2023-12-23T00:00:00"/>
    <x v="10"/>
  </r>
  <r>
    <n v="395"/>
    <s v="100x100"/>
    <x v="1"/>
    <s v="family snail farm"/>
    <s v="Green"/>
    <s v="Vasyl"/>
    <s v="Kostenko"/>
    <x v="1"/>
    <n v="57"/>
    <x v="2"/>
    <n v="4"/>
    <n v="6340"/>
    <n v="3020"/>
    <n v="25360"/>
    <n v="13280"/>
    <x v="36"/>
    <x v="0"/>
    <s v="Ukraine"/>
    <s v="Business"/>
    <s v="No"/>
    <x v="6"/>
    <x v="1"/>
    <d v="2023-04-21T00:00:00"/>
    <x v="7"/>
  </r>
  <r>
    <n v="396"/>
    <s v="116x70"/>
    <x v="1"/>
    <s v="hookah shisha"/>
    <s v="Rose"/>
    <s v="Tereza"/>
    <s v="Zakharchenko"/>
    <x v="0"/>
    <n v="35"/>
    <x v="0"/>
    <n v="1"/>
    <n v="6920"/>
    <n v="3710"/>
    <n v="6920"/>
    <n v="3210"/>
    <x v="36"/>
    <x v="0"/>
    <s v="Ukraine"/>
    <s v="Business"/>
    <s v="No"/>
    <x v="7"/>
    <x v="0"/>
    <d v="2023-10-11T00:00:00"/>
    <x v="9"/>
  </r>
  <r>
    <n v="397"/>
    <s v="60x16"/>
    <x v="1"/>
    <s v="coffee"/>
    <s v="Red"/>
    <s v="Dmytro"/>
    <s v="Denysenko"/>
    <x v="1"/>
    <n v="40"/>
    <x v="1"/>
    <n v="5"/>
    <n v="2280"/>
    <n v="720"/>
    <n v="11400"/>
    <n v="7800"/>
    <x v="41"/>
    <x v="0"/>
    <s v="Ukraine"/>
    <s v="Business"/>
    <s v="No"/>
    <x v="3"/>
    <x v="2"/>
    <d v="2023-08-18T00:00:00"/>
    <x v="3"/>
  </r>
  <r>
    <n v="398"/>
    <s v="35x13"/>
    <x v="1"/>
    <s v="di nails"/>
    <s v="Black"/>
    <s v="Daria"/>
    <s v="Ivanenko"/>
    <x v="0"/>
    <n v="21"/>
    <x v="0"/>
    <n v="2"/>
    <n v="1760"/>
    <n v="570"/>
    <n v="3520"/>
    <n v="2380"/>
    <x v="37"/>
    <x v="4"/>
    <s v="Ukraine"/>
    <s v="Business"/>
    <s v="No"/>
    <x v="4"/>
    <x v="3"/>
    <d v="2023-09-29T00:00:00"/>
    <x v="2"/>
  </r>
  <r>
    <n v="399"/>
    <s v="50x25"/>
    <x v="1"/>
    <s v="barbershop net head"/>
    <s v="Rose"/>
    <s v="Dasha"/>
    <s v="Oliynyk"/>
    <x v="0"/>
    <n v="59"/>
    <x v="2"/>
    <n v="3"/>
    <n v="3030"/>
    <n v="900"/>
    <n v="9090"/>
    <n v="6390"/>
    <x v="7"/>
    <x v="0"/>
    <s v="Ukraine"/>
    <s v="Business"/>
    <s v="No"/>
    <x v="4"/>
    <x v="1"/>
    <d v="2023-07-06T00:00:00"/>
    <x v="8"/>
  </r>
  <r>
    <n v="400"/>
    <s v="140x38"/>
    <x v="1"/>
    <s v="welcome"/>
    <s v="White"/>
    <s v="Evgenia"/>
    <s v="Shevchenko"/>
    <x v="0"/>
    <n v="32"/>
    <x v="0"/>
    <n v="4"/>
    <n v="4270"/>
    <n v="2710"/>
    <n v="17080"/>
    <n v="6240"/>
    <x v="27"/>
    <x v="0"/>
    <s v="Ukraine"/>
    <s v="Business"/>
    <s v="No"/>
    <x v="4"/>
    <x v="2"/>
    <d v="2023-02-02T00:00:00"/>
    <x v="1"/>
  </r>
  <r>
    <n v="401"/>
    <s v="60x18"/>
    <x v="1"/>
    <s v="outlet"/>
    <s v="Red"/>
    <s v="Nika"/>
    <s v="Kovalenko"/>
    <x v="0"/>
    <n v="46"/>
    <x v="1"/>
    <n v="1"/>
    <n v="1880"/>
    <n v="640"/>
    <n v="1880"/>
    <n v="1240"/>
    <x v="37"/>
    <x v="4"/>
    <s v="Ukraine"/>
    <s v="Business"/>
    <s v="No"/>
    <x v="5"/>
    <x v="0"/>
    <d v="2023-01-11T00:00:00"/>
    <x v="4"/>
  </r>
  <r>
    <n v="402"/>
    <s v="120x20"/>
    <x v="1"/>
    <s v="hello beautiful"/>
    <s v="Green"/>
    <s v="Nikol"/>
    <s v="Bondarenko"/>
    <x v="0"/>
    <n v="54"/>
    <x v="2"/>
    <n v="5"/>
    <n v="3250"/>
    <n v="1690"/>
    <n v="16250"/>
    <n v="7800"/>
    <x v="5"/>
    <x v="3"/>
    <s v="Ukraine"/>
    <s v="Business"/>
    <s v="No"/>
    <x v="0"/>
    <x v="3"/>
    <d v="2023-09-20T00:00:00"/>
    <x v="2"/>
  </r>
  <r>
    <n v="403"/>
    <s v="120x96"/>
    <x v="1"/>
    <s v="love yourself"/>
    <s v="Yellow"/>
    <s v="Nikolas"/>
    <s v="Tkachenko"/>
    <x v="1"/>
    <n v="25"/>
    <x v="0"/>
    <n v="3"/>
    <n v="7500"/>
    <n v="4430"/>
    <n v="22500"/>
    <n v="9210"/>
    <x v="33"/>
    <x v="1"/>
    <s v="Ukraine"/>
    <s v="Business"/>
    <s v="No"/>
    <x v="1"/>
    <x v="1"/>
    <d v="2023-11-11T00:00:00"/>
    <x v="5"/>
  </r>
  <r>
    <n v="404"/>
    <s v="50x50"/>
    <x v="1"/>
    <s v="smak"/>
    <s v="Rose"/>
    <s v="Maria"/>
    <s v="Kravchenko"/>
    <x v="0"/>
    <n v="43"/>
    <x v="1"/>
    <n v="5"/>
    <n v="2450"/>
    <n v="1080"/>
    <n v="12250"/>
    <n v="6850"/>
    <x v="8"/>
    <x v="0"/>
    <s v="Ukraine"/>
    <s v="Business"/>
    <s v="No"/>
    <x v="7"/>
    <x v="0"/>
    <d v="2023-10-05T00:00:00"/>
    <x v="9"/>
  </r>
  <r>
    <n v="405"/>
    <s v="20x27"/>
    <x v="0"/>
    <s v="Qr code"/>
    <s v="Rose"/>
    <s v="Vasyl"/>
    <s v="Boyko"/>
    <x v="1"/>
    <n v="58"/>
    <x v="2"/>
    <n v="2"/>
    <n v="990"/>
    <n v="500"/>
    <n v="1980"/>
    <n v="980"/>
    <x v="19"/>
    <x v="3"/>
    <s v="Ukraine"/>
    <s v="Business"/>
    <s v="No"/>
    <x v="5"/>
    <x v="2"/>
    <d v="2023-12-09T00:00:00"/>
    <x v="10"/>
  </r>
  <r>
    <n v="406"/>
    <s v="100x20"/>
    <x v="1"/>
    <s v="vmo.menti"/>
    <s v="Red"/>
    <s v="Alex"/>
    <s v="Kovalchuk"/>
    <x v="1"/>
    <n v="20"/>
    <x v="0"/>
    <n v="1"/>
    <n v="2920"/>
    <n v="1270"/>
    <n v="2920"/>
    <n v="1650"/>
    <x v="19"/>
    <x v="3"/>
    <s v="Ukraine"/>
    <s v="Business"/>
    <s v="No"/>
    <x v="0"/>
    <x v="3"/>
    <d v="2023-05-06T00:00:00"/>
    <x v="11"/>
  </r>
  <r>
    <n v="407"/>
    <s v="70x18"/>
    <x v="1"/>
    <s v="Nail Secret"/>
    <s v="White"/>
    <s v="Sasha"/>
    <s v="Melnyk"/>
    <x v="1"/>
    <n v="49"/>
    <x v="1"/>
    <n v="3"/>
    <n v="2400"/>
    <n v="1000"/>
    <n v="7200"/>
    <n v="4200"/>
    <x v="33"/>
    <x v="1"/>
    <s v="Ukraine"/>
    <s v="Business"/>
    <s v="No"/>
    <x v="2"/>
    <x v="1"/>
    <d v="2023-11-06T00:00:00"/>
    <x v="5"/>
  </r>
  <r>
    <n v="408"/>
    <s v="100x25"/>
    <x v="1"/>
    <s v="Happy Birthday"/>
    <s v="Red"/>
    <s v="Vlad"/>
    <s v="Marchenko"/>
    <x v="1"/>
    <n v="34"/>
    <x v="0"/>
    <n v="4"/>
    <n v="3620"/>
    <n v="850"/>
    <n v="14480"/>
    <n v="11080"/>
    <x v="39"/>
    <x v="4"/>
    <s v="Ukraine"/>
    <s v="Business"/>
    <s v="No"/>
    <x v="2"/>
    <x v="2"/>
    <d v="2023-05-07T00:00:00"/>
    <x v="11"/>
  </r>
  <r>
    <n v="409"/>
    <s v="45х31"/>
    <x v="1"/>
    <s v="Coffee open"/>
    <s v="Yellow"/>
    <s v="Hanna"/>
    <s v="Lysenko"/>
    <x v="0"/>
    <n v="27"/>
    <x v="0"/>
    <n v="5"/>
    <n v="3685"/>
    <n v="1055"/>
    <n v="18425"/>
    <n v="13150"/>
    <x v="44"/>
    <x v="1"/>
    <s v="Ukraine"/>
    <s v="Business"/>
    <s v="No"/>
    <x v="6"/>
    <x v="0"/>
    <d v="2023-02-11T00:00:00"/>
    <x v="1"/>
  </r>
  <r>
    <n v="410"/>
    <s v="60x30"/>
    <x v="1"/>
    <s v="Maestro music"/>
    <s v="White"/>
    <s v="Nikola"/>
    <s v="Rudenko"/>
    <x v="1"/>
    <n v="45"/>
    <x v="1"/>
    <n v="2"/>
    <n v="1827"/>
    <n v="540"/>
    <n v="3654"/>
    <n v="2574"/>
    <x v="27"/>
    <x v="0"/>
    <s v="Ukraine"/>
    <s v="Business"/>
    <s v="No"/>
    <x v="6"/>
    <x v="3"/>
    <d v="2023-12-28T00:00:00"/>
    <x v="10"/>
  </r>
  <r>
    <n v="411"/>
    <s v="116x70"/>
    <x v="1"/>
    <s v="hookah shisha"/>
    <s v="Red"/>
    <s v="Ihnat"/>
    <s v="Savchenko"/>
    <x v="1"/>
    <n v="52"/>
    <x v="2"/>
    <n v="3"/>
    <n v="6435"/>
    <n v="3710"/>
    <n v="19305"/>
    <n v="8175"/>
    <x v="3"/>
    <x v="0"/>
    <s v="Ukraine"/>
    <s v="Business"/>
    <s v="No"/>
    <x v="2"/>
    <x v="1"/>
    <d v="2023-06-17T00:00:00"/>
    <x v="6"/>
  </r>
  <r>
    <n v="412"/>
    <s v="100x100"/>
    <x v="1"/>
    <s v="hookah shisha"/>
    <s v="Rose"/>
    <s v="Slava"/>
    <s v="Hrytsenko"/>
    <x v="0"/>
    <n v="23"/>
    <x v="0"/>
    <n v="1"/>
    <n v="7390"/>
    <n v="4150"/>
    <n v="7390"/>
    <n v="3240"/>
    <x v="25"/>
    <x v="3"/>
    <s v="Ukraine"/>
    <s v="Business"/>
    <s v="No"/>
    <x v="4"/>
    <x v="0"/>
    <d v="2023-05-31T00:00:00"/>
    <x v="11"/>
  </r>
  <r>
    <n v="412"/>
    <s v="25x31"/>
    <x v="0"/>
    <s v="Qr code"/>
    <s v="Silver"/>
    <s v="Galyna"/>
    <s v="Polishchuk"/>
    <x v="0"/>
    <n v="38"/>
    <x v="1"/>
    <n v="2"/>
    <n v="1190"/>
    <n v="700"/>
    <n v="2380"/>
    <n v="980"/>
    <x v="20"/>
    <x v="0"/>
    <s v="Ukraine"/>
    <s v="Business"/>
    <s v="No"/>
    <x v="2"/>
    <x v="2"/>
    <d v="2023-01-25T00:00:00"/>
    <x v="4"/>
  </r>
  <r>
    <n v="413"/>
    <s v="50х28"/>
    <x v="1"/>
    <s v="Cat"/>
    <s v="Rose"/>
    <s v="Volodymyr"/>
    <s v="Tymoshenko"/>
    <x v="1"/>
    <n v="41"/>
    <x v="1"/>
    <n v="4"/>
    <n v="1700"/>
    <n v="740"/>
    <n v="6800"/>
    <n v="3840"/>
    <x v="31"/>
    <x v="3"/>
    <s v="Ukraine"/>
    <s v="Business"/>
    <s v="No"/>
    <x v="4"/>
    <x v="3"/>
    <d v="2023-01-27T00:00:00"/>
    <x v="4"/>
  </r>
  <r>
    <n v="414"/>
    <s v="40x35"/>
    <x v="1"/>
    <s v="Domolux"/>
    <s v="White"/>
    <s v="Vitaliaa"/>
    <s v="Kostenko"/>
    <x v="0"/>
    <n v="29"/>
    <x v="0"/>
    <n v="5"/>
    <n v="2030"/>
    <n v="670"/>
    <n v="10150"/>
    <n v="6800"/>
    <x v="27"/>
    <x v="0"/>
    <s v="Ukraine"/>
    <s v="Business"/>
    <s v="No"/>
    <x v="3"/>
    <x v="1"/>
    <d v="2023-08-01T00:00:00"/>
    <x v="3"/>
  </r>
  <r>
    <n v="415"/>
    <s v="30x30"/>
    <x v="0"/>
    <s v="Qr code"/>
    <s v="Black"/>
    <s v="Vitalia"/>
    <s v="Zakharchenko"/>
    <x v="0"/>
    <n v="60"/>
    <x v="2"/>
    <n v="2"/>
    <n v="1240"/>
    <n v="700"/>
    <n v="2480"/>
    <n v="1080"/>
    <x v="35"/>
    <x v="0"/>
    <s v="Ukraine"/>
    <s v="Business"/>
    <s v="No"/>
    <x v="5"/>
    <x v="2"/>
    <d v="2023-07-27T00:00:00"/>
    <x v="8"/>
  </r>
  <r>
    <n v="416"/>
    <s v="45x90"/>
    <x v="1"/>
    <s v="Girl"/>
    <s v="Rose"/>
    <s v="Kateryna"/>
    <s v="Denysenko"/>
    <x v="0"/>
    <n v="33"/>
    <x v="0"/>
    <n v="3"/>
    <n v="3460"/>
    <n v="1940"/>
    <n v="10380"/>
    <n v="4560"/>
    <x v="26"/>
    <x v="3"/>
    <s v="Ukraine"/>
    <s v="Business"/>
    <s v="No"/>
    <x v="2"/>
    <x v="0"/>
    <d v="2023-08-24T00:00:00"/>
    <x v="3"/>
  </r>
  <r>
    <n v="417"/>
    <s v="50х50"/>
    <x v="1"/>
    <s v="Circle"/>
    <s v="Green"/>
    <s v="Segey"/>
    <s v="Ivanenko"/>
    <x v="1"/>
    <n v="22"/>
    <x v="0"/>
    <n v="1"/>
    <n v="1700"/>
    <n v="875"/>
    <n v="1700"/>
    <n v="825"/>
    <x v="43"/>
    <x v="4"/>
    <s v="Ukraine"/>
    <s v="Business"/>
    <s v="No"/>
    <x v="6"/>
    <x v="3"/>
    <d v="2023-11-02T00:00:00"/>
    <x v="5"/>
  </r>
  <r>
    <n v="418"/>
    <s v="49х49"/>
    <x v="1"/>
    <s v="Shape"/>
    <s v="Yellow"/>
    <s v="Fedir"/>
    <s v="Oliynyk"/>
    <x v="1"/>
    <n v="47"/>
    <x v="1"/>
    <n v="4"/>
    <n v="1650"/>
    <n v="875"/>
    <n v="6600"/>
    <n v="3100"/>
    <x v="40"/>
    <x v="3"/>
    <s v="Ukraine"/>
    <s v="Business"/>
    <s v="No"/>
    <x v="4"/>
    <x v="1"/>
    <d v="2023-10-11T00:00:00"/>
    <x v="9"/>
  </r>
  <r>
    <n v="419"/>
    <s v="150x35"/>
    <x v="1"/>
    <s v="IZImebly"/>
    <s v="Red"/>
    <s v="Dmytro"/>
    <s v="Shevchenko"/>
    <x v="1"/>
    <n v="55"/>
    <x v="2"/>
    <n v="5"/>
    <n v="5300"/>
    <n v="2600"/>
    <n v="26500"/>
    <n v="13500"/>
    <x v="19"/>
    <x v="3"/>
    <s v="Ukraine"/>
    <s v="Business"/>
    <s v="No"/>
    <x v="7"/>
    <x v="0"/>
    <d v="2023-07-18T00:00:00"/>
    <x v="8"/>
  </r>
  <r>
    <n v="420"/>
    <s v="150x36"/>
    <x v="1"/>
    <s v="IZImebly"/>
    <s v="Red"/>
    <s v="Katerina"/>
    <s v="Kovalenko"/>
    <x v="0"/>
    <n v="36"/>
    <x v="1"/>
    <n v="3"/>
    <n v="5300"/>
    <n v="2600"/>
    <n v="15900"/>
    <n v="8100"/>
    <x v="22"/>
    <x v="4"/>
    <s v="Ukraine"/>
    <s v="Business"/>
    <s v="No"/>
    <x v="6"/>
    <x v="2"/>
    <d v="2023-06-20T00:00:00"/>
    <x v="6"/>
  </r>
  <r>
    <n v="421"/>
    <s v="100х100"/>
    <x v="1"/>
    <s v="Camale"/>
    <s v="Rose"/>
    <s v="Volodya"/>
    <s v="Bondarenko"/>
    <x v="1"/>
    <n v="28"/>
    <x v="0"/>
    <n v="2"/>
    <n v="5000"/>
    <n v="3350"/>
    <n v="10000"/>
    <n v="3300"/>
    <x v="40"/>
    <x v="3"/>
    <s v="Ukraine"/>
    <s v="Business"/>
    <s v="No"/>
    <x v="2"/>
    <x v="3"/>
    <d v="2023-08-07T00:00:00"/>
    <x v="3"/>
  </r>
  <r>
    <n v="422"/>
    <s v="100x100"/>
    <x v="1"/>
    <s v="Sushi"/>
    <s v="White"/>
    <s v="Nazar"/>
    <s v="Tkachenko"/>
    <x v="1"/>
    <n v="50"/>
    <x v="2"/>
    <n v="4"/>
    <n v="8850"/>
    <n v="3290"/>
    <n v="35400"/>
    <n v="22240"/>
    <x v="7"/>
    <x v="0"/>
    <s v="Ukraine"/>
    <s v="Business"/>
    <s v="No"/>
    <x v="7"/>
    <x v="1"/>
    <d v="2023-11-25T00:00:00"/>
    <x v="5"/>
  </r>
  <r>
    <n v="423"/>
    <s v="30x37"/>
    <x v="0"/>
    <s v="Qr code"/>
    <s v="Green"/>
    <s v="Alina"/>
    <s v="Kravchenko"/>
    <x v="0"/>
    <n v="39"/>
    <x v="1"/>
    <n v="1"/>
    <n v="1340"/>
    <n v="750"/>
    <n v="1340"/>
    <n v="590"/>
    <x v="17"/>
    <x v="1"/>
    <s v="Ukraine"/>
    <s v="Business"/>
    <s v="No"/>
    <x v="6"/>
    <x v="2"/>
    <d v="2023-04-14T00:00:00"/>
    <x v="7"/>
  </r>
  <r>
    <n v="424"/>
    <s v="60x15"/>
    <x v="1"/>
    <s v="White space"/>
    <s v="Green"/>
    <s v="Nazar"/>
    <s v="Boyko"/>
    <x v="1"/>
    <n v="31"/>
    <x v="0"/>
    <n v="5"/>
    <n v="2350"/>
    <n v="890"/>
    <n v="11750"/>
    <n v="7300"/>
    <x v="20"/>
    <x v="0"/>
    <s v="Ukraine"/>
    <s v="Business"/>
    <s v="No"/>
    <x v="5"/>
    <x v="0"/>
    <d v="2023-08-25T00:00:00"/>
    <x v="3"/>
  </r>
  <r>
    <n v="425"/>
    <s v="200x39"/>
    <x v="1"/>
    <s v="Clickmate"/>
    <s v="Rose"/>
    <s v="Inessa"/>
    <s v="Kovalchuk"/>
    <x v="0"/>
    <n v="44"/>
    <x v="1"/>
    <n v="2"/>
    <n v="6300"/>
    <n v="3130"/>
    <n v="12600"/>
    <n v="6340"/>
    <x v="35"/>
    <x v="0"/>
    <s v="Ukraine"/>
    <s v="Business"/>
    <s v="No"/>
    <x v="2"/>
    <x v="3"/>
    <d v="2023-06-10T00:00:00"/>
    <x v="6"/>
  </r>
  <r>
    <n v="426"/>
    <s v="150x40,5"/>
    <x v="1"/>
    <s v="Ultraclick"/>
    <s v="Red"/>
    <s v="Inna"/>
    <s v="Melnyk"/>
    <x v="0"/>
    <n v="26"/>
    <x v="0"/>
    <n v="3"/>
    <n v="6200"/>
    <n v="2930"/>
    <n v="18600"/>
    <n v="9810"/>
    <x v="44"/>
    <x v="1"/>
    <s v="Ukraine"/>
    <s v="Business"/>
    <s v="No"/>
    <x v="7"/>
    <x v="1"/>
    <d v="2023-07-11T00:00:00"/>
    <x v="8"/>
  </r>
  <r>
    <n v="427"/>
    <s v="145х62"/>
    <x v="1"/>
    <s v="I would like coffee"/>
    <s v="Black"/>
    <s v="Kostya"/>
    <s v="Marchenko"/>
    <x v="1"/>
    <n v="48"/>
    <x v="1"/>
    <n v="4"/>
    <n v="5690"/>
    <n v="3000"/>
    <n v="22760"/>
    <n v="10760"/>
    <x v="12"/>
    <x v="2"/>
    <s v="Ukraine"/>
    <s v="Business"/>
    <s v="No"/>
    <x v="4"/>
    <x v="0"/>
    <d v="2023-02-21T00:00:00"/>
    <x v="1"/>
  </r>
  <r>
    <n v="428"/>
    <s v="100x40"/>
    <x v="1"/>
    <s v="Natalia Kim"/>
    <s v="Rose"/>
    <s v="Igor"/>
    <s v="Lysenko"/>
    <x v="1"/>
    <n v="53"/>
    <x v="2"/>
    <n v="1"/>
    <n v="7030"/>
    <n v="2990"/>
    <n v="7030"/>
    <n v="4040"/>
    <x v="34"/>
    <x v="1"/>
    <s v="Ukraine"/>
    <s v="Business"/>
    <s v="No"/>
    <x v="0"/>
    <x v="2"/>
    <d v="2023-10-12T00:00:00"/>
    <x v="9"/>
  </r>
  <r>
    <n v="429"/>
    <s v="40x11"/>
    <x v="1"/>
    <s v="gori iasno"/>
    <s v="White"/>
    <s v="Alina"/>
    <s v="Rudenko"/>
    <x v="0"/>
    <n v="30"/>
    <x v="0"/>
    <n v="5"/>
    <n v="2120"/>
    <n v="680"/>
    <n v="10600"/>
    <n v="7200"/>
    <x v="29"/>
    <x v="0"/>
    <s v="Ukraine"/>
    <s v="Business"/>
    <s v="No"/>
    <x v="6"/>
    <x v="3"/>
    <d v="2023-01-17T00:00:00"/>
    <x v="4"/>
  </r>
  <r>
    <n v="430"/>
    <s v="140x150"/>
    <x v="1"/>
    <s v="today is a good day"/>
    <s v="Red"/>
    <s v="Lybov"/>
    <s v="Savchenko"/>
    <x v="0"/>
    <n v="37"/>
    <x v="1"/>
    <n v="3"/>
    <n v="9260"/>
    <n v="6605"/>
    <n v="27780"/>
    <n v="7965"/>
    <x v="44"/>
    <x v="1"/>
    <s v="Ukraine"/>
    <s v="Business"/>
    <s v="No"/>
    <x v="5"/>
    <x v="1"/>
    <d v="2023-09-22T00:00:00"/>
    <x v="2"/>
  </r>
  <r>
    <n v="431"/>
    <s v="180х25"/>
    <x v="1"/>
    <s v="More fire"/>
    <s v="Green"/>
    <s v="Hanna"/>
    <s v="Hrytsenko"/>
    <x v="0"/>
    <n v="42"/>
    <x v="1"/>
    <n v="2"/>
    <n v="4850"/>
    <n v="2380"/>
    <n v="9700"/>
    <n v="4940"/>
    <x v="16"/>
    <x v="3"/>
    <s v="Ukraine"/>
    <s v="Business"/>
    <s v="No"/>
    <x v="0"/>
    <x v="2"/>
    <d v="2023-02-26T00:00:00"/>
    <x v="1"/>
  </r>
  <r>
    <n v="432"/>
    <s v="60x25"/>
    <x v="1"/>
    <s v="furshet"/>
    <s v="Yellow"/>
    <s v="Nikola"/>
    <s v="Polishchuk"/>
    <x v="1"/>
    <n v="24"/>
    <x v="0"/>
    <n v="4"/>
    <n v="2750"/>
    <n v="950"/>
    <n v="11000"/>
    <n v="7200"/>
    <x v="16"/>
    <x v="3"/>
    <s v="Ukraine"/>
    <s v="Business"/>
    <s v="No"/>
    <x v="3"/>
    <x v="0"/>
    <d v="2023-02-02T00:00:00"/>
    <x v="1"/>
  </r>
  <r>
    <n v="433"/>
    <s v="95x38"/>
    <x v="1"/>
    <s v="jafarova"/>
    <s v="Rose"/>
    <s v="Ihnat"/>
    <s v="Tymoshenko"/>
    <x v="1"/>
    <n v="28"/>
    <x v="0"/>
    <n v="1"/>
    <n v="7670"/>
    <n v="3299"/>
    <n v="7670"/>
    <n v="4371"/>
    <x v="40"/>
    <x v="3"/>
    <s v="Ukraine"/>
    <s v="Business"/>
    <s v="No"/>
    <x v="2"/>
    <x v="3"/>
    <d v="2023-12-08T00:00:00"/>
    <x v="10"/>
  </r>
  <r>
    <n v="434"/>
    <s v="45x45"/>
    <x v="1"/>
    <s v="poosh store"/>
    <s v="Rose"/>
    <s v="Slava"/>
    <s v="Kostenko"/>
    <x v="0"/>
    <n v="50"/>
    <x v="2"/>
    <n v="5"/>
    <n v="2900"/>
    <n v="1140"/>
    <n v="14500"/>
    <n v="8800"/>
    <x v="7"/>
    <x v="0"/>
    <s v="Ukraine"/>
    <s v="Business"/>
    <s v="No"/>
    <x v="5"/>
    <x v="1"/>
    <d v="2023-05-21T00:00:00"/>
    <x v="11"/>
  </r>
  <r>
    <n v="435"/>
    <s v="145x60"/>
    <x v="1"/>
    <s v="lotus"/>
    <s v="Red"/>
    <s v="Galyna"/>
    <s v="Zakharchenko"/>
    <x v="0"/>
    <n v="39"/>
    <x v="1"/>
    <n v="2"/>
    <n v="5330"/>
    <n v="3110"/>
    <n v="10660"/>
    <n v="4440"/>
    <x v="19"/>
    <x v="3"/>
    <s v="Ukraine"/>
    <s v="Business"/>
    <s v="No"/>
    <x v="4"/>
    <x v="0"/>
    <d v="2023-10-11T00:00:00"/>
    <x v="9"/>
  </r>
  <r>
    <n v="436"/>
    <s v="75x55"/>
    <x v="1"/>
    <s v="Kiss here"/>
    <s v="White"/>
    <s v="Volodymyr"/>
    <s v="Denysenko"/>
    <x v="1"/>
    <n v="31"/>
    <x v="0"/>
    <n v="3"/>
    <n v="3440"/>
    <n v="1750"/>
    <n v="10320"/>
    <n v="5070"/>
    <x v="33"/>
    <x v="1"/>
    <s v="Ukraine"/>
    <s v="Business"/>
    <s v="No"/>
    <x v="2"/>
    <x v="2"/>
    <d v="2023-07-20T00:00:00"/>
    <x v="8"/>
  </r>
  <r>
    <n v="437"/>
    <s v="75x55"/>
    <x v="1"/>
    <s v="Kiss here"/>
    <s v="Red"/>
    <s v="Vitaliaa"/>
    <s v="Ivanenko"/>
    <x v="0"/>
    <n v="24"/>
    <x v="0"/>
    <n v="4"/>
    <n v="3440"/>
    <n v="1750"/>
    <n v="13760"/>
    <n v="6760"/>
    <x v="40"/>
    <x v="3"/>
    <s v="Ukraine"/>
    <s v="Business"/>
    <s v="No"/>
    <x v="6"/>
    <x v="3"/>
    <d v="2023-09-16T00:00:00"/>
    <x v="2"/>
  </r>
  <r>
    <n v="438"/>
    <s v="70х50"/>
    <x v="1"/>
    <s v="Lips"/>
    <s v="Yellow"/>
    <s v="Vitalia"/>
    <s v="Oliynyk"/>
    <x v="0"/>
    <n v="57"/>
    <x v="2"/>
    <n v="1"/>
    <n v="2110"/>
    <n v="1050"/>
    <n v="2110"/>
    <n v="1060"/>
    <x v="42"/>
    <x v="0"/>
    <s v="Ukraine"/>
    <s v="Business"/>
    <s v="No"/>
    <x v="6"/>
    <x v="1"/>
    <d v="2023-09-20T00:00:00"/>
    <x v="2"/>
  </r>
  <r>
    <n v="438"/>
    <s v="150x80"/>
    <x v="1"/>
    <s v="BMW"/>
    <s v="White"/>
    <s v="Kateryna"/>
    <s v="Shevchenko"/>
    <x v="0"/>
    <n v="35"/>
    <x v="0"/>
    <n v="5"/>
    <n v="7370"/>
    <n v="3660"/>
    <n v="36850"/>
    <n v="18550"/>
    <x v="29"/>
    <x v="0"/>
    <s v="Ukraine"/>
    <s v="Business"/>
    <s v="No"/>
    <x v="5"/>
    <x v="2"/>
    <d v="2023-01-03T00:00:00"/>
    <x v="4"/>
  </r>
  <r>
    <n v="440"/>
    <s v="70x52"/>
    <x v="1"/>
    <s v="Braces"/>
    <s v="Red"/>
    <s v="Segey"/>
    <s v="Kovalenko"/>
    <x v="1"/>
    <n v="40"/>
    <x v="1"/>
    <n v="3"/>
    <n v="3200"/>
    <n v="1300"/>
    <n v="9600"/>
    <n v="5700"/>
    <x v="36"/>
    <x v="0"/>
    <s v="Ukraine"/>
    <s v="Business"/>
    <s v="No"/>
    <x v="1"/>
    <x v="0"/>
    <d v="2023-06-13T00:00:00"/>
    <x v="6"/>
  </r>
  <r>
    <n v="441"/>
    <s v="30х30"/>
    <x v="1"/>
    <s v="Bitcoin"/>
    <s v="Rose"/>
    <s v="Fedir"/>
    <s v="Bondarenko"/>
    <x v="1"/>
    <n v="21"/>
    <x v="0"/>
    <n v="2"/>
    <n v="1920"/>
    <n v="920"/>
    <n v="3840"/>
    <n v="2000"/>
    <x v="3"/>
    <x v="0"/>
    <s v="Ukraine"/>
    <s v="Business"/>
    <s v="No"/>
    <x v="0"/>
    <x v="3"/>
    <d v="2023-12-05T00:00:00"/>
    <x v="10"/>
  </r>
  <r>
    <n v="442"/>
    <s v="35х39"/>
    <x v="1"/>
    <s v="Flesh"/>
    <s v="Rose"/>
    <s v="Dmytro"/>
    <s v="Tkachenko"/>
    <x v="1"/>
    <n v="36"/>
    <x v="1"/>
    <n v="4"/>
    <n v="1610"/>
    <n v="740"/>
    <n v="6440"/>
    <n v="3480"/>
    <x v="13"/>
    <x v="1"/>
    <s v="Ukraine"/>
    <s v="Business"/>
    <s v="No"/>
    <x v="4"/>
    <x v="1"/>
    <d v="2023-11-11T00:00:00"/>
    <x v="5"/>
  </r>
  <r>
    <n v="443"/>
    <s v="60x19"/>
    <x v="1"/>
    <s v="morgikus"/>
    <s v="White"/>
    <s v="Katerina"/>
    <s v="Kravchenko"/>
    <x v="0"/>
    <n v="28"/>
    <x v="0"/>
    <n v="1"/>
    <n v="2560"/>
    <n v="730"/>
    <n v="2560"/>
    <n v="1830"/>
    <x v="21"/>
    <x v="3"/>
    <s v="Ukraine"/>
    <s v="Business"/>
    <s v="No"/>
    <x v="6"/>
    <x v="0"/>
    <d v="2023-10-29T00:00:00"/>
    <x v="9"/>
  </r>
  <r>
    <n v="444"/>
    <s v="75x20"/>
    <x v="1"/>
    <s v="Arms"/>
    <s v="Red"/>
    <s v="Volodya"/>
    <s v="Boyko"/>
    <x v="1"/>
    <n v="50"/>
    <x v="2"/>
    <n v="5"/>
    <n v="1400"/>
    <n v="660"/>
    <n v="7000"/>
    <n v="3700"/>
    <x v="39"/>
    <x v="4"/>
    <s v="Ukraine"/>
    <s v="Business"/>
    <s v="No"/>
    <x v="0"/>
    <x v="2"/>
    <d v="2023-07-24T00:00:00"/>
    <x v="8"/>
  </r>
  <r>
    <n v="445"/>
    <s v="80x35"/>
    <x v="1"/>
    <s v="Show bar"/>
    <s v="Yellow"/>
    <s v="Dmytro"/>
    <s v="Kovalchuk"/>
    <x v="1"/>
    <n v="39"/>
    <x v="1"/>
    <n v="2"/>
    <n v="2955"/>
    <n v="1400"/>
    <n v="5910"/>
    <n v="3110"/>
    <x v="18"/>
    <x v="3"/>
    <s v="Ukraine"/>
    <s v="Business"/>
    <s v="No"/>
    <x v="7"/>
    <x v="3"/>
    <d v="2023-06-05T00:00:00"/>
    <x v="6"/>
  </r>
  <r>
    <n v="446"/>
    <s v="62х70"/>
    <x v="1"/>
    <s v="Star"/>
    <s v="Green"/>
    <s v="Katerina"/>
    <s v="Melnyk"/>
    <x v="0"/>
    <n v="31"/>
    <x v="0"/>
    <n v="3"/>
    <n v="4130"/>
    <n v="2090"/>
    <n v="12390"/>
    <n v="6120"/>
    <x v="24"/>
    <x v="3"/>
    <s v="Ukraine"/>
    <s v="Business"/>
    <s v="No"/>
    <x v="7"/>
    <x v="1"/>
    <d v="2023-08-15T00:00:00"/>
    <x v="3"/>
  </r>
  <r>
    <n v="447"/>
    <s v="100х25"/>
    <x v="1"/>
    <s v="Flowers"/>
    <s v="Yellow"/>
    <s v="Volodya"/>
    <s v="Marchenko"/>
    <x v="1"/>
    <n v="44"/>
    <x v="1"/>
    <n v="4"/>
    <n v="3195"/>
    <n v="1220"/>
    <n v="12780"/>
    <n v="7900"/>
    <x v="37"/>
    <x v="4"/>
    <s v="Ukraine"/>
    <s v="Business"/>
    <s v="No"/>
    <x v="0"/>
    <x v="2"/>
    <d v="2023-04-04T00:00:00"/>
    <x v="7"/>
  </r>
  <r>
    <n v="448"/>
    <s v="100х25"/>
    <x v="1"/>
    <s v="Flowers"/>
    <s v="Red"/>
    <s v="Nazar"/>
    <s v="Lysenko"/>
    <x v="1"/>
    <n v="26"/>
    <x v="0"/>
    <n v="1"/>
    <n v="3195"/>
    <n v="1220"/>
    <n v="3195"/>
    <n v="1975"/>
    <x v="38"/>
    <x v="2"/>
    <s v="Ukraine"/>
    <s v="Business"/>
    <s v="No"/>
    <x v="7"/>
    <x v="0"/>
    <d v="2023-08-27T00:00:00"/>
    <x v="3"/>
  </r>
  <r>
    <n v="449"/>
    <s v="70х38"/>
    <x v="1"/>
    <s v="Shine pls"/>
    <s v="Red"/>
    <s v="Alina"/>
    <s v="Rudenko"/>
    <x v="0"/>
    <n v="48"/>
    <x v="1"/>
    <n v="5"/>
    <n v="2600"/>
    <n v="1140"/>
    <n v="13000"/>
    <n v="7300"/>
    <x v="29"/>
    <x v="0"/>
    <s v="Ukraine"/>
    <s v="Business"/>
    <s v="No"/>
    <x v="1"/>
    <x v="3"/>
    <d v="2023-05-20T00:00:00"/>
    <x v="11"/>
  </r>
  <r>
    <n v="450"/>
    <s v="100x60"/>
    <x v="1"/>
    <s v="Keep avto"/>
    <s v="Rose"/>
    <s v="Nazar"/>
    <s v="Savchenko"/>
    <x v="1"/>
    <n v="53"/>
    <x v="2"/>
    <n v="3"/>
    <n v="6500"/>
    <n v="3320"/>
    <n v="19500"/>
    <n v="9540"/>
    <x v="11"/>
    <x v="2"/>
    <s v="Ukraine"/>
    <s v="Business"/>
    <s v="No"/>
    <x v="0"/>
    <x v="1"/>
    <d v="2023-03-18T00:00:00"/>
    <x v="0"/>
  </r>
  <r>
    <n v="451"/>
    <s v="20х20"/>
    <x v="1"/>
    <s v="Heart"/>
    <s v="White"/>
    <s v="Inessa"/>
    <s v="Hrytsenko"/>
    <x v="0"/>
    <n v="30"/>
    <x v="0"/>
    <n v="2"/>
    <n v="980"/>
    <n v="745"/>
    <n v="1960"/>
    <n v="470"/>
    <x v="44"/>
    <x v="1"/>
    <s v="Ukraine"/>
    <s v="Business"/>
    <s v="No"/>
    <x v="4"/>
    <x v="0"/>
    <d v="2023-08-09T00:00:00"/>
    <x v="3"/>
  </r>
  <r>
    <n v="452"/>
    <s v="51x29"/>
    <x v="1"/>
    <s v="Band prodact"/>
    <s v="Green"/>
    <s v="Inna"/>
    <s v="Polishchuk"/>
    <x v="0"/>
    <n v="37"/>
    <x v="1"/>
    <n v="4"/>
    <n v="2500"/>
    <n v="1500"/>
    <n v="10000"/>
    <n v="4000"/>
    <x v="4"/>
    <x v="3"/>
    <s v="Ukraine"/>
    <s v="Business"/>
    <s v="No"/>
    <x v="2"/>
    <x v="2"/>
    <d v="2023-07-03T00:00:00"/>
    <x v="8"/>
  </r>
  <r>
    <n v="453"/>
    <s v="88x40"/>
    <x v="1"/>
    <s v="New Gen"/>
    <s v="Green"/>
    <s v="Anya"/>
    <s v="Tymoshenko"/>
    <x v="0"/>
    <n v="42"/>
    <x v="1"/>
    <n v="1"/>
    <n v="3180"/>
    <n v="1838"/>
    <n v="3180"/>
    <n v="1342"/>
    <x v="21"/>
    <x v="3"/>
    <s v="Ukraine"/>
    <s v="Business"/>
    <s v="No"/>
    <x v="7"/>
    <x v="3"/>
    <d v="2023-03-07T00:00:00"/>
    <x v="0"/>
  </r>
  <r>
    <n v="454"/>
    <s v="80х30"/>
    <x v="1"/>
    <s v="My lashes is amazing"/>
    <s v="Rose"/>
    <s v="Igor"/>
    <s v="Kostenko"/>
    <x v="0"/>
    <n v="24"/>
    <x v="0"/>
    <n v="5"/>
    <n v="4610"/>
    <n v="2430"/>
    <n v="23050"/>
    <n v="10900"/>
    <x v="18"/>
    <x v="3"/>
    <s v="Ukraine"/>
    <s v="Business"/>
    <s v="No"/>
    <x v="2"/>
    <x v="1"/>
    <d v="2023-09-30T00:00:00"/>
    <x v="2"/>
  </r>
  <r>
    <n v="455"/>
    <s v="100x60"/>
    <x v="1"/>
    <s v="Vitamins"/>
    <s v="Red"/>
    <s v="Alina"/>
    <s v="Zakharchenko"/>
    <x v="0"/>
    <n v="57"/>
    <x v="2"/>
    <n v="2"/>
    <n v="6795"/>
    <n v="3980"/>
    <n v="13590"/>
    <n v="5630"/>
    <x v="24"/>
    <x v="3"/>
    <s v="Ukraine"/>
    <s v="Business"/>
    <s v="No"/>
    <x v="5"/>
    <x v="2"/>
    <d v="2023-02-02T00:00:00"/>
    <x v="1"/>
  </r>
  <r>
    <n v="456"/>
    <s v="100х25"/>
    <x v="1"/>
    <s v="Dream"/>
    <s v="White"/>
    <s v="Lybov"/>
    <s v="Denysenko"/>
    <x v="0"/>
    <n v="35"/>
    <x v="0"/>
    <n v="3"/>
    <n v="6366"/>
    <n v="4160"/>
    <n v="19098"/>
    <n v="6618"/>
    <x v="32"/>
    <x v="0"/>
    <s v="Ukraine"/>
    <s v="Business"/>
    <s v="No"/>
    <x v="1"/>
    <x v="0"/>
    <d v="2023-07-31T00:00:00"/>
    <x v="8"/>
  </r>
  <r>
    <n v="457"/>
    <s v="20х20"/>
    <x v="1"/>
    <s v="My heart"/>
    <s v="Rose"/>
    <s v="Daria"/>
    <s v="Ivanenko"/>
    <x v="0"/>
    <n v="40"/>
    <x v="1"/>
    <n v="4"/>
    <n v="800"/>
    <n v="640"/>
    <n v="3200"/>
    <n v="640"/>
    <x v="10"/>
    <x v="0"/>
    <s v="Ukraine"/>
    <s v="Business"/>
    <s v="No"/>
    <x v="2"/>
    <x v="3"/>
    <d v="2023-05-14T00:00:00"/>
    <x v="11"/>
  </r>
  <r>
    <n v="458"/>
    <s v="50х35"/>
    <x v="1"/>
    <s v="Texas"/>
    <s v="White"/>
    <s v="Dasha"/>
    <s v="Oliynyk"/>
    <x v="0"/>
    <n v="21"/>
    <x v="0"/>
    <n v="1"/>
    <n v="2600"/>
    <n v="1210"/>
    <n v="2600"/>
    <n v="1390"/>
    <x v="28"/>
    <x v="2"/>
    <s v="Ukraine"/>
    <s v="Business"/>
    <s v="No"/>
    <x v="3"/>
    <x v="1"/>
    <d v="2023-06-28T00:00:00"/>
    <x v="6"/>
  </r>
  <r>
    <n v="459"/>
    <s v="100x80"/>
    <x v="1"/>
    <s v="Tools for car"/>
    <s v="Red"/>
    <s v="Evgenia"/>
    <s v="Shevchenko"/>
    <x v="0"/>
    <n v="59"/>
    <x v="2"/>
    <n v="5"/>
    <n v="5850"/>
    <n v="3435"/>
    <n v="29250"/>
    <n v="12075"/>
    <x v="23"/>
    <x v="4"/>
    <s v="Ukraine"/>
    <s v="Business"/>
    <s v="No"/>
    <x v="1"/>
    <x v="0"/>
    <d v="2023-02-21T00:00:00"/>
    <x v="1"/>
  </r>
  <r>
    <n v="460"/>
    <s v="20х20"/>
    <x v="1"/>
    <s v="Heart"/>
    <s v="Green"/>
    <s v="Nika"/>
    <s v="Kovalenko"/>
    <x v="0"/>
    <n v="34"/>
    <x v="0"/>
    <n v="3"/>
    <n v="980"/>
    <n v="745"/>
    <n v="2940"/>
    <n v="705"/>
    <x v="31"/>
    <x v="3"/>
    <s v="Ukraine"/>
    <s v="Business"/>
    <s v="No"/>
    <x v="6"/>
    <x v="2"/>
    <d v="2023-06-04T00:00:00"/>
    <x v="6"/>
  </r>
  <r>
    <n v="461"/>
    <s v="20х20"/>
    <x v="1"/>
    <s v="Your heart"/>
    <s v="Yellow"/>
    <s v="Nikol"/>
    <s v="Bondarenko"/>
    <x v="0"/>
    <n v="27"/>
    <x v="0"/>
    <n v="2"/>
    <n v="1080"/>
    <n v="730"/>
    <n v="2160"/>
    <n v="700"/>
    <x v="5"/>
    <x v="3"/>
    <s v="Ukraine"/>
    <s v="Business"/>
    <s v="No"/>
    <x v="2"/>
    <x v="3"/>
    <d v="2023-01-28T00:00:00"/>
    <x v="4"/>
  </r>
  <r>
    <n v="462"/>
    <s v="40x20"/>
    <x v="1"/>
    <s v="Coffee"/>
    <s v="Red"/>
    <s v="Nikolas"/>
    <s v="Tkachenko"/>
    <x v="1"/>
    <n v="45"/>
    <x v="1"/>
    <n v="4"/>
    <n v="2650"/>
    <n v="2200"/>
    <n v="10600"/>
    <n v="1800"/>
    <x v="7"/>
    <x v="0"/>
    <s v="Ukraine"/>
    <s v="Business"/>
    <s v="No"/>
    <x v="3"/>
    <x v="1"/>
    <d v="2023-01-06T00:00:00"/>
    <x v="4"/>
  </r>
  <r>
    <n v="463"/>
    <s v="55x38"/>
    <x v="1"/>
    <s v="Viki Home"/>
    <s v="Black"/>
    <s v="Maria"/>
    <s v="Kravchenko"/>
    <x v="0"/>
    <n v="52"/>
    <x v="2"/>
    <n v="1"/>
    <n v="3120"/>
    <n v="1560"/>
    <n v="3120"/>
    <n v="1560"/>
    <x v="27"/>
    <x v="0"/>
    <s v="Ukraine"/>
    <s v="Business"/>
    <s v="No"/>
    <x v="5"/>
    <x v="2"/>
    <d v="2023-10-15T00:00:00"/>
    <x v="9"/>
  </r>
  <r>
    <n v="464"/>
    <s v="190x53"/>
    <x v="1"/>
    <s v="kididani"/>
    <s v="Green"/>
    <s v="Vasyl"/>
    <s v="Boyko"/>
    <x v="1"/>
    <n v="23"/>
    <x v="0"/>
    <n v="5"/>
    <n v="6000"/>
    <n v="3850"/>
    <n v="30000"/>
    <n v="10750"/>
    <x v="8"/>
    <x v="0"/>
    <s v="Ukraine"/>
    <s v="Business"/>
    <s v="No"/>
    <x v="1"/>
    <x v="0"/>
    <d v="2023-07-31T00:00:00"/>
    <x v="8"/>
  </r>
  <r>
    <n v="465"/>
    <s v="20х20"/>
    <x v="1"/>
    <s v="My love"/>
    <s v="Yellow"/>
    <s v="Alex"/>
    <s v="Kovalchuk"/>
    <x v="1"/>
    <n v="38"/>
    <x v="1"/>
    <n v="2"/>
    <n v="1000"/>
    <n v="570"/>
    <n v="2000"/>
    <n v="860"/>
    <x v="36"/>
    <x v="0"/>
    <s v="Ukraine"/>
    <s v="Business"/>
    <s v="No"/>
    <x v="1"/>
    <x v="3"/>
    <d v="2023-10-06T00:00:00"/>
    <x v="9"/>
  </r>
  <r>
    <n v="466"/>
    <s v="30х30"/>
    <x v="1"/>
    <s v="Hert with"/>
    <s v="Red"/>
    <s v="Sasha"/>
    <s v="Melnyk"/>
    <x v="1"/>
    <n v="41"/>
    <x v="1"/>
    <n v="3"/>
    <n v="1650"/>
    <n v="840"/>
    <n v="4950"/>
    <n v="2430"/>
    <x v="0"/>
    <x v="0"/>
    <s v="Ukraine"/>
    <s v="Business"/>
    <s v="No"/>
    <x v="4"/>
    <x v="1"/>
    <d v="2023-09-01T00:00:00"/>
    <x v="2"/>
  </r>
  <r>
    <n v="467"/>
    <s v="20х20"/>
    <x v="1"/>
    <s v="Heart "/>
    <s v="Red"/>
    <s v="Vlad"/>
    <s v="Marchenko"/>
    <x v="1"/>
    <n v="29"/>
    <x v="0"/>
    <n v="4"/>
    <n v="1390"/>
    <n v="720"/>
    <n v="5560"/>
    <n v="2680"/>
    <x v="23"/>
    <x v="4"/>
    <s v="Ukraine"/>
    <s v="Business"/>
    <s v="No"/>
    <x v="1"/>
    <x v="0"/>
    <d v="2023-07-19T00:00:00"/>
    <x v="8"/>
  </r>
  <r>
    <n v="468"/>
    <s v="30х30"/>
    <x v="1"/>
    <s v="Heart"/>
    <s v="Rose"/>
    <s v="Hanna"/>
    <s v="Lysenko"/>
    <x v="0"/>
    <n v="60"/>
    <x v="2"/>
    <n v="1"/>
    <n v="1080"/>
    <n v="550"/>
    <n v="1080"/>
    <n v="530"/>
    <x v="17"/>
    <x v="1"/>
    <s v="Ukraine"/>
    <s v="Business"/>
    <s v="No"/>
    <x v="0"/>
    <x v="2"/>
    <d v="2023-06-03T00:00:00"/>
    <x v="6"/>
  </r>
  <r>
    <n v="469"/>
    <s v="60х60"/>
    <x v="1"/>
    <s v="dobra kava"/>
    <s v="White"/>
    <s v="Nikola"/>
    <s v="Rudenko"/>
    <x v="1"/>
    <n v="33"/>
    <x v="0"/>
    <n v="5"/>
    <n v="4830"/>
    <n v="2000"/>
    <n v="24150"/>
    <n v="14150"/>
    <x v="10"/>
    <x v="0"/>
    <s v="Ukraine"/>
    <s v="Business"/>
    <s v="No"/>
    <x v="6"/>
    <x v="3"/>
    <d v="2023-03-10T00:00:00"/>
    <x v="0"/>
  </r>
  <r>
    <n v="470"/>
    <s v="62х70"/>
    <x v="1"/>
    <s v="Sheringan"/>
    <s v="Green"/>
    <s v="Ihnat"/>
    <s v="Savchenko"/>
    <x v="1"/>
    <n v="22"/>
    <x v="0"/>
    <n v="5"/>
    <n v="4130"/>
    <n v="2100"/>
    <n v="20650"/>
    <n v="10150"/>
    <x v="19"/>
    <x v="3"/>
    <s v="Ukraine"/>
    <s v="Business"/>
    <s v="No"/>
    <x v="7"/>
    <x v="1"/>
    <d v="2023-02-18T00:00:00"/>
    <x v="1"/>
  </r>
  <r>
    <n v="471"/>
    <s v="50x37"/>
    <x v="1"/>
    <s v="Nike"/>
    <s v="Green"/>
    <s v="Slava"/>
    <s v="Hrytsenko"/>
    <x v="0"/>
    <n v="47"/>
    <x v="1"/>
    <n v="3"/>
    <n v="1480"/>
    <n v="830"/>
    <n v="4440"/>
    <n v="1950"/>
    <x v="25"/>
    <x v="3"/>
    <s v="Ukraine"/>
    <s v="Business"/>
    <s v="No"/>
    <x v="1"/>
    <x v="2"/>
    <d v="2023-07-06T00:00:00"/>
    <x v="8"/>
  </r>
  <r>
    <n v="472"/>
    <s v="20х20"/>
    <x v="0"/>
    <s v="Qr code"/>
    <s v="Black"/>
    <s v="Galyna"/>
    <s v="Polishchuk"/>
    <x v="0"/>
    <n v="55"/>
    <x v="2"/>
    <n v="2"/>
    <n v="890"/>
    <n v="450"/>
    <n v="1780"/>
    <n v="880"/>
    <x v="26"/>
    <x v="3"/>
    <s v="Ukraine"/>
    <s v="Business"/>
    <s v="No"/>
    <x v="3"/>
    <x v="0"/>
    <d v="2023-08-19T00:00:00"/>
    <x v="3"/>
  </r>
  <r>
    <n v="473"/>
    <s v="140x30"/>
    <x v="1"/>
    <s v="prosecco terrace"/>
    <s v="Red"/>
    <s v="Volodymyr"/>
    <s v="Tymoshenko"/>
    <x v="1"/>
    <n v="36"/>
    <x v="1"/>
    <n v="4"/>
    <n v="5160"/>
    <n v="2760"/>
    <n v="20640"/>
    <n v="9600"/>
    <x v="18"/>
    <x v="3"/>
    <s v="Ukraine"/>
    <s v="Business"/>
    <s v="No"/>
    <x v="0"/>
    <x v="3"/>
    <d v="2023-11-09T00:00:00"/>
    <x v="5"/>
  </r>
  <r>
    <n v="474"/>
    <s v="70х17"/>
    <x v="1"/>
    <s v="You awesome"/>
    <s v="Rose"/>
    <s v="Vitaliaa"/>
    <s v="Kostenko"/>
    <x v="0"/>
    <n v="28"/>
    <x v="0"/>
    <n v="1"/>
    <n v="2290"/>
    <n v="1000"/>
    <n v="2290"/>
    <n v="1290"/>
    <x v="22"/>
    <x v="4"/>
    <s v="Ukraine"/>
    <s v="Business"/>
    <s v="No"/>
    <x v="6"/>
    <x v="1"/>
    <d v="2023-11-15T00:00:00"/>
    <x v="5"/>
  </r>
  <r>
    <n v="475"/>
    <s v="60x20"/>
    <x v="1"/>
    <s v="Sweets"/>
    <s v="Red"/>
    <s v="Vitalia"/>
    <s v="Zakharchenko"/>
    <x v="0"/>
    <n v="50"/>
    <x v="2"/>
    <n v="5"/>
    <n v="1340"/>
    <n v="750"/>
    <n v="6700"/>
    <n v="2950"/>
    <x v="21"/>
    <x v="3"/>
    <s v="Ukraine"/>
    <s v="Business"/>
    <s v="No"/>
    <x v="7"/>
    <x v="0"/>
    <d v="2023-10-12T00:00:00"/>
    <x v="9"/>
  </r>
  <r>
    <n v="476"/>
    <s v="50x30"/>
    <x v="1"/>
    <s v="RVD Garage "/>
    <s v="Black"/>
    <s v="Vitaliaa"/>
    <s v="Denysenko"/>
    <x v="0"/>
    <n v="39"/>
    <x v="1"/>
    <n v="2"/>
    <n v="2330"/>
    <n v="1050"/>
    <n v="4660"/>
    <n v="2560"/>
    <x v="26"/>
    <x v="3"/>
    <s v="Ukraine"/>
    <s v="Business"/>
    <s v="No"/>
    <x v="1"/>
    <x v="2"/>
    <d v="2023-11-17T00:00:00"/>
    <x v="5"/>
  </r>
  <r>
    <n v="477"/>
    <s v="30x10"/>
    <x v="1"/>
    <s v="24/7"/>
    <s v="Rose"/>
    <s v="Vitalia"/>
    <s v="Ivanenko"/>
    <x v="0"/>
    <n v="31"/>
    <x v="0"/>
    <n v="3"/>
    <n v="1230"/>
    <n v="530"/>
    <n v="3690"/>
    <n v="2100"/>
    <x v="2"/>
    <x v="2"/>
    <s v="Ukraine"/>
    <s v="Business"/>
    <s v="No"/>
    <x v="1"/>
    <x v="3"/>
    <d v="2023-12-18T00:00:00"/>
    <x v="10"/>
  </r>
  <r>
    <n v="478"/>
    <s v="40x10"/>
    <x v="1"/>
    <s v="Table"/>
    <s v="White"/>
    <s v="Kateryna"/>
    <s v="Oliynyk"/>
    <x v="0"/>
    <n v="44"/>
    <x v="1"/>
    <n v="4"/>
    <n v="1780"/>
    <n v="940"/>
    <n v="7120"/>
    <n v="3360"/>
    <x v="25"/>
    <x v="3"/>
    <s v="Ukraine"/>
    <s v="Business"/>
    <s v="No"/>
    <x v="6"/>
    <x v="1"/>
    <d v="2023-07-20T00:00:00"/>
    <x v="8"/>
  </r>
  <r>
    <n v="479"/>
    <s v="80х30"/>
    <x v="1"/>
    <s v="Hand in fire"/>
    <s v="Red"/>
    <s v="Segey"/>
    <s v="Shevchenko"/>
    <x v="1"/>
    <n v="26"/>
    <x v="0"/>
    <n v="1"/>
    <n v="4680"/>
    <n v="1710"/>
    <n v="4680"/>
    <n v="2970"/>
    <x v="6"/>
    <x v="1"/>
    <s v="Ukraine"/>
    <s v="Business"/>
    <s v="No"/>
    <x v="6"/>
    <x v="2"/>
    <d v="2023-06-03T00:00:00"/>
    <x v="6"/>
  </r>
  <r>
    <n v="480"/>
    <s v="100х30"/>
    <x v="1"/>
    <s v="Play with me"/>
    <s v="Green"/>
    <s v="Fedir"/>
    <s v="Kovalenko"/>
    <x v="1"/>
    <n v="48"/>
    <x v="1"/>
    <n v="5"/>
    <n v="2500"/>
    <n v="1300"/>
    <n v="12500"/>
    <n v="6000"/>
    <x v="44"/>
    <x v="1"/>
    <s v="Ukraine"/>
    <s v="Business"/>
    <s v="No"/>
    <x v="1"/>
    <x v="0"/>
    <d v="2023-07-04T00:00:00"/>
    <x v="8"/>
  </r>
  <r>
    <n v="481"/>
    <s v="30х30"/>
    <x v="1"/>
    <s v="Heart my"/>
    <s v="Yellow"/>
    <s v="Dmytro"/>
    <s v="Bondarenko"/>
    <x v="1"/>
    <n v="53"/>
    <x v="2"/>
    <n v="3"/>
    <n v="1660"/>
    <n v="1000"/>
    <n v="4980"/>
    <n v="1980"/>
    <x v="23"/>
    <x v="4"/>
    <s v="Ukraine"/>
    <s v="Business"/>
    <s v="No"/>
    <x v="6"/>
    <x v="3"/>
    <d v="2023-07-19T00:00:00"/>
    <x v="8"/>
  </r>
  <r>
    <n v="482"/>
    <s v="30х37"/>
    <x v="1"/>
    <s v="Qr code"/>
    <s v="Red"/>
    <s v="Katerina"/>
    <s v="Tkachenko"/>
    <x v="0"/>
    <n v="30"/>
    <x v="0"/>
    <n v="2"/>
    <n v="1700"/>
    <n v="1235"/>
    <n v="3400"/>
    <n v="930"/>
    <x v="9"/>
    <x v="3"/>
    <s v="Ukraine"/>
    <s v="Business"/>
    <s v="No"/>
    <x v="2"/>
    <x v="1"/>
    <d v="2023-08-16T00:00:00"/>
    <x v="3"/>
  </r>
  <r>
    <n v="483"/>
    <s v="25х31"/>
    <x v="0"/>
    <s v="Qr code"/>
    <s v="Black"/>
    <s v="Volodya"/>
    <s v="Kravchenko"/>
    <x v="1"/>
    <n v="37"/>
    <x v="1"/>
    <n v="4"/>
    <n v="1500"/>
    <n v="940"/>
    <n v="6000"/>
    <n v="2240"/>
    <x v="4"/>
    <x v="3"/>
    <s v="Ukraine"/>
    <s v="Business"/>
    <s v="No"/>
    <x v="0"/>
    <x v="0"/>
    <d v="2023-11-22T00:00:00"/>
    <x v="5"/>
  </r>
  <r>
    <n v="484"/>
    <s v="70х20"/>
    <x v="1"/>
    <s v="Gold Karpat"/>
    <s v="Green"/>
    <s v="Dmytro"/>
    <s v="Boyko"/>
    <x v="1"/>
    <n v="42"/>
    <x v="1"/>
    <n v="1"/>
    <n v="2500"/>
    <n v="1330"/>
    <n v="2500"/>
    <n v="1170"/>
    <x v="14"/>
    <x v="3"/>
    <s v="Ukraine"/>
    <s v="Business"/>
    <s v="No"/>
    <x v="6"/>
    <x v="2"/>
    <d v="2023-02-25T00:00:00"/>
    <x v="1"/>
  </r>
  <r>
    <n v="485"/>
    <s v="55х45"/>
    <x v="1"/>
    <s v="Home sweet home"/>
    <s v="Yellow"/>
    <s v="Katerina"/>
    <s v="Kovalchuk"/>
    <x v="0"/>
    <n v="24"/>
    <x v="0"/>
    <n v="5"/>
    <n v="2790"/>
    <n v="1800"/>
    <n v="13950"/>
    <n v="4950"/>
    <x v="41"/>
    <x v="0"/>
    <s v="Ukraine"/>
    <s v="Business"/>
    <s v="No"/>
    <x v="4"/>
    <x v="3"/>
    <d v="2023-08-21T00:00:00"/>
    <x v="3"/>
  </r>
  <r>
    <n v="486"/>
    <s v="80x25"/>
    <x v="1"/>
    <s v="Barvinok"/>
    <s v="Red"/>
    <s v="Volodya"/>
    <s v="Melnyk"/>
    <x v="1"/>
    <n v="57"/>
    <x v="2"/>
    <n v="2"/>
    <n v="3795"/>
    <n v="1600"/>
    <n v="7590"/>
    <n v="4390"/>
    <x v="13"/>
    <x v="1"/>
    <s v="Ukraine"/>
    <s v="Business"/>
    <s v="No"/>
    <x v="2"/>
    <x v="1"/>
    <d v="2023-10-11T00:00:00"/>
    <x v="9"/>
  </r>
  <r>
    <n v="487"/>
    <s v="20х27"/>
    <x v="1"/>
    <s v="Qr code"/>
    <s v="Red"/>
    <s v="Nazar"/>
    <s v="Marchenko"/>
    <x v="1"/>
    <n v="35"/>
    <x v="0"/>
    <n v="3"/>
    <n v="790"/>
    <n v="450"/>
    <n v="2370"/>
    <n v="1020"/>
    <x v="5"/>
    <x v="3"/>
    <s v="Ukraine"/>
    <s v="Business"/>
    <s v="No"/>
    <x v="6"/>
    <x v="2"/>
    <d v="2023-02-13T00:00:00"/>
    <x v="1"/>
  </r>
  <r>
    <n v="488"/>
    <s v="21х28,5 i 15,5x20,5"/>
    <x v="1"/>
    <s v="Chears"/>
    <s v="Rose"/>
    <s v="Alina"/>
    <s v="Lysenko"/>
    <x v="0"/>
    <n v="40"/>
    <x v="1"/>
    <n v="4"/>
    <n v="210"/>
    <n v="100"/>
    <n v="840"/>
    <n v="440"/>
    <x v="21"/>
    <x v="3"/>
    <s v="Ukraine"/>
    <s v="Business"/>
    <s v="No"/>
    <x v="3"/>
    <x v="0"/>
    <d v="2023-05-12T00:00:00"/>
    <x v="11"/>
  </r>
  <r>
    <n v="489"/>
    <s v="60х69"/>
    <x v="1"/>
    <s v="Hot dog"/>
    <s v="White"/>
    <s v="Nazar"/>
    <s v="Rudenko"/>
    <x v="1"/>
    <n v="21"/>
    <x v="0"/>
    <n v="1"/>
    <n v="5050"/>
    <n v="2050"/>
    <n v="5050"/>
    <n v="3000"/>
    <x v="23"/>
    <x v="4"/>
    <s v="Ukraine"/>
    <s v="Business"/>
    <s v="No"/>
    <x v="5"/>
    <x v="3"/>
    <d v="2023-05-06T00:00:00"/>
    <x v="11"/>
  </r>
  <r>
    <n v="490"/>
    <s v="38х50"/>
    <x v="1"/>
    <s v="Cross"/>
    <s v="Green"/>
    <s v="Inessa"/>
    <s v="Savchenko"/>
    <x v="0"/>
    <n v="60"/>
    <x v="2"/>
    <n v="5"/>
    <n v="1560"/>
    <n v="900"/>
    <n v="7800"/>
    <n v="3300"/>
    <x v="19"/>
    <x v="3"/>
    <s v="Ukraine"/>
    <s v="Business"/>
    <s v="No"/>
    <x v="5"/>
    <x v="1"/>
    <d v="2023-02-09T00:00:00"/>
    <x v="1"/>
  </r>
  <r>
    <n v="491"/>
    <s v="45x45"/>
    <x v="1"/>
    <s v="Art Roma"/>
    <s v="Green"/>
    <s v="Inna"/>
    <s v="Hrytsenko"/>
    <x v="0"/>
    <n v="33"/>
    <x v="0"/>
    <n v="3"/>
    <n v="2960"/>
    <n v="1220"/>
    <n v="8880"/>
    <n v="5220"/>
    <x v="21"/>
    <x v="3"/>
    <s v="Ukraine"/>
    <s v="Business"/>
    <s v="No"/>
    <x v="4"/>
    <x v="0"/>
    <d v="2023-01-07T00:00:00"/>
    <x v="4"/>
  </r>
  <r>
    <n v="492"/>
    <s v="55x38"/>
    <x v="1"/>
    <s v="Home map"/>
    <s v="Red"/>
    <s v="Anya"/>
    <s v="Polishchuk"/>
    <x v="0"/>
    <n v="22"/>
    <x v="0"/>
    <n v="2"/>
    <n v="2000"/>
    <n v="1100"/>
    <n v="4000"/>
    <n v="1800"/>
    <x v="4"/>
    <x v="3"/>
    <s v="Ukraine"/>
    <s v="Business"/>
    <s v="No"/>
    <x v="3"/>
    <x v="2"/>
    <d v="2023-09-04T00:00:00"/>
    <x v="2"/>
  </r>
  <r>
    <n v="493"/>
    <s v="35х35"/>
    <x v="1"/>
    <s v="Heart"/>
    <s v="Red"/>
    <s v="Igor"/>
    <s v="Tymoshenko"/>
    <x v="1"/>
    <n v="47"/>
    <x v="1"/>
    <n v="4"/>
    <n v="1040"/>
    <n v="520"/>
    <n v="4160"/>
    <n v="2080"/>
    <x v="34"/>
    <x v="1"/>
    <s v="Ukraine"/>
    <s v="Business"/>
    <s v="No"/>
    <x v="4"/>
    <x v="3"/>
    <d v="2023-10-11T00:00:00"/>
    <x v="9"/>
  </r>
  <r>
    <n v="494"/>
    <s v="80x48"/>
    <x v="1"/>
    <s v="Peer Party"/>
    <s v="Green"/>
    <s v="Alina"/>
    <s v="Kostenko"/>
    <x v="0"/>
    <n v="49"/>
    <x v="1"/>
    <n v="1"/>
    <n v="3000"/>
    <n v="1580"/>
    <n v="3000"/>
    <n v="1420"/>
    <x v="25"/>
    <x v="3"/>
    <s v="Ukraine"/>
    <s v="Business"/>
    <s v="No"/>
    <x v="7"/>
    <x v="1"/>
    <d v="2023-07-03T00:00:00"/>
    <x v="8"/>
  </r>
  <r>
    <n v="495"/>
    <s v="75x17"/>
    <x v="1"/>
    <s v="all you need are lashes"/>
    <s v="Yellow"/>
    <s v="Lybov"/>
    <s v="Zakharchenko"/>
    <x v="0"/>
    <n v="36"/>
    <x v="1"/>
    <n v="5"/>
    <n v="2144"/>
    <n v="1070"/>
    <n v="10720"/>
    <n v="5370"/>
    <x v="22"/>
    <x v="4"/>
    <s v="Ukraine"/>
    <s v="Business"/>
    <s v="No"/>
    <x v="3"/>
    <x v="2"/>
    <d v="2023-12-03T00:00:00"/>
    <x v="10"/>
  </r>
  <r>
    <n v="496"/>
    <s v="55х38"/>
    <x v="1"/>
    <s v="You are beautiful"/>
    <s v="Red"/>
    <s v="Vasyl"/>
    <s v="Denysenko"/>
    <x v="1"/>
    <n v="28"/>
    <x v="0"/>
    <n v="2"/>
    <n v="2150"/>
    <n v="750"/>
    <n v="4300"/>
    <n v="2800"/>
    <x v="34"/>
    <x v="1"/>
    <s v="Ukraine"/>
    <s v="Business"/>
    <s v="No"/>
    <x v="4"/>
    <x v="0"/>
    <d v="2023-11-24T00:00:00"/>
    <x v="5"/>
  </r>
  <r>
    <n v="497"/>
    <s v="139х79"/>
    <x v="1"/>
    <s v="White mug"/>
    <s v="Red"/>
    <s v="Alex"/>
    <s v="Ivanenko"/>
    <x v="1"/>
    <n v="50"/>
    <x v="2"/>
    <n v="3"/>
    <n v="7280"/>
    <n v="4780"/>
    <n v="21840"/>
    <n v="7500"/>
    <x v="37"/>
    <x v="4"/>
    <s v="Ukraine"/>
    <s v="Business"/>
    <s v="No"/>
    <x v="0"/>
    <x v="3"/>
    <d v="2023-09-15T00:00:00"/>
    <x v="2"/>
  </r>
  <r>
    <n v="498"/>
    <s v="45x25"/>
    <x v="1"/>
    <s v="Adam"/>
    <s v="Rose"/>
    <s v="Sasha"/>
    <s v="Oliynyk"/>
    <x v="1"/>
    <n v="39"/>
    <x v="1"/>
    <n v="4"/>
    <n v="2075"/>
    <n v="970"/>
    <n v="8300"/>
    <n v="4420"/>
    <x v="31"/>
    <x v="3"/>
    <s v="Ukraine"/>
    <s v="Business"/>
    <s v="No"/>
    <x v="7"/>
    <x v="1"/>
    <d v="2023-08-23T00:00:00"/>
    <x v="3"/>
  </r>
  <r>
    <n v="499"/>
    <s v="45x25"/>
    <x v="1"/>
    <s v="Lilia"/>
    <s v="White"/>
    <s v="Vlad"/>
    <s v="Shevchenko"/>
    <x v="1"/>
    <n v="31"/>
    <x v="0"/>
    <n v="3"/>
    <n v="1470"/>
    <n v="790"/>
    <n v="4410"/>
    <n v="2040"/>
    <x v="3"/>
    <x v="0"/>
    <s v="Ukraine"/>
    <s v="Business"/>
    <s v="No"/>
    <x v="5"/>
    <x v="0"/>
    <d v="2023-05-10T00:00:00"/>
    <x v="11"/>
  </r>
  <r>
    <n v="500"/>
    <s v="45x25"/>
    <x v="1"/>
    <s v="Dani"/>
    <s v="Green"/>
    <s v="Hanna"/>
    <s v="Kovalenko"/>
    <x v="0"/>
    <n v="44"/>
    <x v="1"/>
    <n v="1"/>
    <n v="1300"/>
    <n v="790"/>
    <n v="1300"/>
    <n v="510"/>
    <x v="23"/>
    <x v="4"/>
    <s v="Ukraine"/>
    <s v="Business"/>
    <s v="No"/>
    <x v="5"/>
    <x v="2"/>
    <d v="2023-08-03T00:00:00"/>
    <x v="3"/>
  </r>
  <r>
    <n v="501"/>
    <s v="140x45"/>
    <x v="1"/>
    <s v="Dont worry eat sushi"/>
    <s v="Green"/>
    <s v="Nikola"/>
    <s v="Bondarenko"/>
    <x v="1"/>
    <n v="26"/>
    <x v="0"/>
    <n v="4"/>
    <n v="4644"/>
    <n v="2550"/>
    <n v="18576"/>
    <n v="8376"/>
    <x v="34"/>
    <x v="1"/>
    <s v="Ukraine"/>
    <s v="Business"/>
    <s v="No"/>
    <x v="1"/>
    <x v="3"/>
    <d v="2023-05-19T00:00:00"/>
    <x v="11"/>
  </r>
  <r>
    <n v="502"/>
    <s v="110x14"/>
    <x v="1"/>
    <s v="Bring me with you"/>
    <s v="Rose"/>
    <s v="Ihnat"/>
    <s v="Tkachenko"/>
    <x v="1"/>
    <n v="48"/>
    <x v="1"/>
    <n v="5"/>
    <n v="2889"/>
    <n v="1320"/>
    <n v="14445"/>
    <n v="7845"/>
    <x v="13"/>
    <x v="1"/>
    <s v="Ukraine"/>
    <s v="Business"/>
    <s v="No"/>
    <x v="0"/>
    <x v="1"/>
    <d v="2023-01-26T00:00:00"/>
    <x v="4"/>
  </r>
  <r>
    <n v="503"/>
    <s v="20х20"/>
    <x v="1"/>
    <s v="Hear"/>
    <s v="Red"/>
    <s v="Slava"/>
    <s v="Kravchenko"/>
    <x v="0"/>
    <n v="53"/>
    <x v="2"/>
    <n v="3"/>
    <n v="840"/>
    <n v="440"/>
    <n v="2520"/>
    <n v="1200"/>
    <x v="17"/>
    <x v="1"/>
    <s v="Ukraine"/>
    <s v="Business"/>
    <s v="No"/>
    <x v="5"/>
    <x v="2"/>
    <d v="2023-05-23T00:00:00"/>
    <x v="11"/>
  </r>
  <r>
    <n v="504"/>
    <s v="20х101"/>
    <x v="1"/>
    <s v="Tattoo double"/>
    <s v="Black"/>
    <s v="Galyna"/>
    <s v="Boyko"/>
    <x v="0"/>
    <n v="30"/>
    <x v="0"/>
    <n v="2"/>
    <n v="2720"/>
    <n v="1720"/>
    <n v="5440"/>
    <n v="2000"/>
    <x v="13"/>
    <x v="1"/>
    <s v="Ukraine"/>
    <s v="Business"/>
    <s v="No"/>
    <x v="6"/>
    <x v="0"/>
    <d v="2023-11-27T00:00:00"/>
    <x v="5"/>
  </r>
  <r>
    <n v="505"/>
    <s v="100x47"/>
    <x v="1"/>
    <s v="Grim Tattoo"/>
    <s v="Rose"/>
    <s v="Volodymyr"/>
    <s v="Kovalchuk"/>
    <x v="1"/>
    <n v="37"/>
    <x v="1"/>
    <n v="4"/>
    <n v="4845"/>
    <n v="2550"/>
    <n v="19380"/>
    <n v="9180"/>
    <x v="4"/>
    <x v="3"/>
    <s v="Ukraine"/>
    <s v="Business"/>
    <s v="No"/>
    <x v="7"/>
    <x v="3"/>
    <d v="2023-11-20T00:00:00"/>
    <x v="5"/>
  </r>
  <r>
    <n v="506"/>
    <s v="55x17"/>
    <x v="1"/>
    <s v="brows"/>
    <s v="White"/>
    <s v="Vitaliaa"/>
    <s v="Melnyk"/>
    <x v="0"/>
    <n v="42"/>
    <x v="1"/>
    <n v="1"/>
    <n v="1800"/>
    <n v="730"/>
    <n v="1800"/>
    <n v="1070"/>
    <x v="37"/>
    <x v="4"/>
    <s v="Ukraine"/>
    <s v="Business"/>
    <s v="No"/>
    <x v="6"/>
    <x v="1"/>
    <d v="2023-01-11T00:00:00"/>
    <x v="4"/>
  </r>
  <r>
    <n v="507"/>
    <s v="80x30"/>
    <x v="1"/>
    <s v="D&amp;A studio"/>
    <s v="Red"/>
    <s v="Vitalia"/>
    <s v="Marchenko"/>
    <x v="0"/>
    <n v="24"/>
    <x v="0"/>
    <n v="5"/>
    <n v="2480"/>
    <n v="1200"/>
    <n v="12400"/>
    <n v="6400"/>
    <x v="7"/>
    <x v="0"/>
    <s v="Ukraine"/>
    <s v="Business"/>
    <s v="No"/>
    <x v="6"/>
    <x v="0"/>
    <d v="2023-02-10T00:00:00"/>
    <x v="1"/>
  </r>
  <r>
    <n v="508"/>
    <s v="126х25"/>
    <x v="1"/>
    <s v="Tattoo"/>
    <s v="Green"/>
    <s v="Vitaliaa"/>
    <s v="Lysenko"/>
    <x v="0"/>
    <n v="28"/>
    <x v="0"/>
    <n v="2"/>
    <n v="3135"/>
    <n v="2135"/>
    <n v="6270"/>
    <n v="2000"/>
    <x v="20"/>
    <x v="0"/>
    <s v="Ukraine"/>
    <s v="Business"/>
    <s v="No"/>
    <x v="7"/>
    <x v="2"/>
    <d v="2023-03-02T00:00:00"/>
    <x v="0"/>
  </r>
  <r>
    <n v="509"/>
    <s v="150x50"/>
    <x v="1"/>
    <s v="Naked "/>
    <s v="Yellow"/>
    <s v="Vitalia"/>
    <s v="Rudenko"/>
    <x v="0"/>
    <n v="50"/>
    <x v="2"/>
    <n v="3"/>
    <n v="4500"/>
    <n v="2750"/>
    <n v="13500"/>
    <n v="5250"/>
    <x v="9"/>
    <x v="3"/>
    <s v="Ukraine"/>
    <s v="Business"/>
    <s v="No"/>
    <x v="1"/>
    <x v="3"/>
    <d v="2023-10-28T00:00:00"/>
    <x v="9"/>
  </r>
  <r>
    <n v="510"/>
    <s v="80x33"/>
    <x v="1"/>
    <s v="unitech"/>
    <s v="Red"/>
    <s v="Kateryna"/>
    <s v="Savchenko"/>
    <x v="0"/>
    <n v="39"/>
    <x v="1"/>
    <n v="4"/>
    <n v="2960"/>
    <n v="1400"/>
    <n v="11840"/>
    <n v="6240"/>
    <x v="39"/>
    <x v="4"/>
    <s v="Ukraine"/>
    <s v="Business"/>
    <s v="No"/>
    <x v="7"/>
    <x v="1"/>
    <d v="2023-09-23T00:00:00"/>
    <x v="2"/>
  </r>
  <r>
    <n v="511"/>
    <s v="80x33"/>
    <x v="1"/>
    <s v="unitech"/>
    <s v="White"/>
    <s v="Segey"/>
    <s v="Hrytsenko"/>
    <x v="1"/>
    <n v="31"/>
    <x v="0"/>
    <n v="1"/>
    <n v="2960"/>
    <n v="1400"/>
    <n v="2960"/>
    <n v="1560"/>
    <x v="4"/>
    <x v="3"/>
    <s v="Ukraine"/>
    <s v="Business"/>
    <s v="No"/>
    <x v="5"/>
    <x v="2"/>
    <d v="2023-07-22T00:00:00"/>
    <x v="8"/>
  </r>
  <r>
    <n v="512"/>
    <s v="200x50"/>
    <x v="1"/>
    <s v="cafe franco"/>
    <s v="Green"/>
    <s v="Fedir"/>
    <s v="Polishchuk"/>
    <x v="1"/>
    <n v="24"/>
    <x v="0"/>
    <n v="5"/>
    <n v="7200"/>
    <n v="3700"/>
    <n v="36000"/>
    <n v="17500"/>
    <x v="23"/>
    <x v="4"/>
    <s v="Ukraine"/>
    <s v="Business"/>
    <s v="No"/>
    <x v="5"/>
    <x v="0"/>
    <d v="2023-10-11T00:00:00"/>
    <x v="9"/>
  </r>
  <r>
    <n v="513"/>
    <s v="90x30"/>
    <x v="1"/>
    <s v="Keratin studio"/>
    <s v="Yellow"/>
    <s v="Dmytro"/>
    <s v="Tymoshenko"/>
    <x v="1"/>
    <n v="57"/>
    <x v="2"/>
    <n v="3"/>
    <n v="4025"/>
    <n v="1630"/>
    <n v="12075"/>
    <n v="7185"/>
    <x v="1"/>
    <x v="1"/>
    <s v="Ukraine"/>
    <s v="Business"/>
    <s v="No"/>
    <x v="7"/>
    <x v="3"/>
    <d v="2023-07-31T00:00:00"/>
    <x v="8"/>
  </r>
  <r>
    <n v="514"/>
    <s v="15х15"/>
    <x v="1"/>
    <s v="Qr code"/>
    <s v="Red"/>
    <s v="Katerina"/>
    <s v="Kostenko"/>
    <x v="0"/>
    <n v="35"/>
    <x v="0"/>
    <n v="2"/>
    <n v="940"/>
    <n v="550"/>
    <n v="1880"/>
    <n v="780"/>
    <x v="39"/>
    <x v="4"/>
    <s v="Ukraine"/>
    <s v="Business"/>
    <s v="No"/>
    <x v="0"/>
    <x v="1"/>
    <d v="2023-07-14T00:00:00"/>
    <x v="8"/>
  </r>
  <r>
    <n v="515"/>
    <s v="65x45"/>
    <x v="1"/>
    <s v="Flower garden"/>
    <s v="Red"/>
    <s v="Volodya"/>
    <s v="Zakharchenko"/>
    <x v="1"/>
    <n v="40"/>
    <x v="1"/>
    <n v="4"/>
    <n v="2950"/>
    <n v="1590"/>
    <n v="11800"/>
    <n v="5440"/>
    <x v="39"/>
    <x v="4"/>
    <s v="Ukraine"/>
    <s v="Business"/>
    <s v="No"/>
    <x v="1"/>
    <x v="0"/>
    <d v="2023-04-04T00:00:00"/>
    <x v="7"/>
  </r>
  <r>
    <n v="516"/>
    <s v="55x13"/>
    <x v="1"/>
    <s v="You awesome"/>
    <s v="Rose"/>
    <s v="Dmytro"/>
    <s v="Denysenko"/>
    <x v="1"/>
    <n v="21"/>
    <x v="0"/>
    <n v="1"/>
    <n v="1980"/>
    <n v="986"/>
    <n v="1980"/>
    <n v="994"/>
    <x v="5"/>
    <x v="3"/>
    <s v="Ukraine"/>
    <s v="Business"/>
    <s v="No"/>
    <x v="1"/>
    <x v="2"/>
    <d v="2023-04-18T00:00:00"/>
    <x v="7"/>
  </r>
  <r>
    <n v="517"/>
    <s v="75х38"/>
    <x v="1"/>
    <s v="do me wow"/>
    <s v="White"/>
    <s v="Katerina"/>
    <s v="Ivanenko"/>
    <x v="0"/>
    <n v="36"/>
    <x v="1"/>
    <n v="5"/>
    <n v="2525"/>
    <n v="1420"/>
    <n v="12625"/>
    <n v="5525"/>
    <x v="1"/>
    <x v="1"/>
    <s v="Ukraine"/>
    <s v="Business"/>
    <s v="No"/>
    <x v="2"/>
    <x v="3"/>
    <d v="2023-03-10T00:00:00"/>
    <x v="0"/>
  </r>
  <r>
    <n v="518"/>
    <s v="50x35"/>
    <x v="1"/>
    <s v="Books and Coffe"/>
    <s v="Green"/>
    <s v="Volodya"/>
    <s v="Oliynyk"/>
    <x v="1"/>
    <n v="28"/>
    <x v="0"/>
    <n v="2"/>
    <n v="2360"/>
    <n v="1100"/>
    <n v="4720"/>
    <n v="2520"/>
    <x v="8"/>
    <x v="0"/>
    <s v="Ukraine"/>
    <s v="Business"/>
    <s v="No"/>
    <x v="1"/>
    <x v="1"/>
    <d v="2023-03-17T00:00:00"/>
    <x v="0"/>
  </r>
  <r>
    <n v="519"/>
    <s v="100x60"/>
    <x v="1"/>
    <s v="Rak beauty bar"/>
    <s v="Green"/>
    <s v="Hanna"/>
    <s v="Shevchenko"/>
    <x v="0"/>
    <n v="50"/>
    <x v="2"/>
    <n v="3"/>
    <n v="4848"/>
    <n v="2820"/>
    <n v="14544"/>
    <n v="6084"/>
    <x v="14"/>
    <x v="3"/>
    <s v="Ukraine"/>
    <s v="Business"/>
    <s v="No"/>
    <x v="3"/>
    <x v="2"/>
    <d v="2023-02-08T00:00:00"/>
    <x v="1"/>
  </r>
  <r>
    <n v="520"/>
    <s v="100x40"/>
    <x v="1"/>
    <s v="beauty bar"/>
    <s v="Rose"/>
    <s v="Nikola"/>
    <s v="Kovalenko"/>
    <x v="1"/>
    <n v="39"/>
    <x v="1"/>
    <n v="4"/>
    <n v="2870"/>
    <n v="1680"/>
    <n v="11480"/>
    <n v="4760"/>
    <x v="8"/>
    <x v="0"/>
    <s v="Ukraine"/>
    <s v="Business"/>
    <s v="No"/>
    <x v="4"/>
    <x v="0"/>
    <d v="2023-04-22T00:00:00"/>
    <x v="7"/>
  </r>
  <r>
    <n v="521"/>
    <s v="170х25"/>
    <x v="1"/>
    <s v="Do yourself"/>
    <s v="Red"/>
    <s v="Ihnat"/>
    <s v="Bondarenko"/>
    <x v="1"/>
    <n v="31"/>
    <x v="0"/>
    <n v="1"/>
    <n v="4050"/>
    <n v="1920"/>
    <n v="4050"/>
    <n v="2130"/>
    <x v="42"/>
    <x v="0"/>
    <s v="Ukraine"/>
    <s v="Business"/>
    <s v="No"/>
    <x v="7"/>
    <x v="3"/>
    <d v="2023-01-03T00:00:00"/>
    <x v="4"/>
  </r>
  <r>
    <n v="522"/>
    <s v="32x23"/>
    <x v="1"/>
    <s v="yagel hub rgb"/>
    <s v="Rose"/>
    <s v="Slava"/>
    <s v="Tkachenko"/>
    <x v="0"/>
    <n v="44"/>
    <x v="1"/>
    <n v="5"/>
    <n v="1690"/>
    <n v="900"/>
    <n v="8450"/>
    <n v="3950"/>
    <x v="7"/>
    <x v="0"/>
    <s v="Ukraine"/>
    <s v="Business"/>
    <s v="No"/>
    <x v="1"/>
    <x v="1"/>
    <d v="2023-12-28T00:00:00"/>
    <x v="10"/>
  </r>
  <r>
    <n v="522"/>
    <s v="32x24"/>
    <x v="1"/>
    <s v="yagel hub "/>
    <s v="Red"/>
    <s v="Galyna"/>
    <s v="Kravchenko"/>
    <x v="0"/>
    <n v="26"/>
    <x v="0"/>
    <n v="3"/>
    <n v="1300"/>
    <n v="710"/>
    <n v="3900"/>
    <n v="1770"/>
    <x v="7"/>
    <x v="0"/>
    <s v="Ukraine"/>
    <s v="Business"/>
    <s v="No"/>
    <x v="5"/>
    <x v="0"/>
    <d v="2023-01-27T00:00:00"/>
    <x v="4"/>
  </r>
  <r>
    <n v="523"/>
    <s v="100х30"/>
    <x v="1"/>
    <s v="Spring"/>
    <s v="White"/>
    <s v="Volodymyr"/>
    <s v="Boyko"/>
    <x v="1"/>
    <n v="48"/>
    <x v="1"/>
    <n v="2"/>
    <n v="2480"/>
    <n v="1460"/>
    <n v="4960"/>
    <n v="2040"/>
    <x v="19"/>
    <x v="3"/>
    <s v="Ukraine"/>
    <s v="Business"/>
    <s v="No"/>
    <x v="6"/>
    <x v="2"/>
    <d v="2023-12-26T00:00:00"/>
    <x v="10"/>
  </r>
  <r>
    <n v="524"/>
    <s v="60x40"/>
    <x v="1"/>
    <s v="Hienglish"/>
    <s v="Rose"/>
    <s v="Vitaliaa"/>
    <s v="Kovalchuk"/>
    <x v="0"/>
    <n v="53"/>
    <x v="2"/>
    <n v="4"/>
    <n v="3660"/>
    <n v="1700"/>
    <n v="14640"/>
    <n v="7840"/>
    <x v="12"/>
    <x v="2"/>
    <s v="Ukraine"/>
    <s v="Business"/>
    <s v="No"/>
    <x v="6"/>
    <x v="3"/>
    <d v="2023-09-11T00:00:00"/>
    <x v="2"/>
  </r>
  <r>
    <n v="525"/>
    <s v="76x53"/>
    <x v="1"/>
    <s v="piercing&amp;tattoo"/>
    <s v="White"/>
    <s v="Vitalia"/>
    <s v="Melnyk"/>
    <x v="0"/>
    <n v="30"/>
    <x v="0"/>
    <n v="1"/>
    <n v="4360"/>
    <n v="2280"/>
    <n v="4360"/>
    <n v="2080"/>
    <x v="0"/>
    <x v="0"/>
    <s v="Ukraine"/>
    <s v="Business"/>
    <s v="No"/>
    <x v="7"/>
    <x v="1"/>
    <d v="2023-03-08T00:00:00"/>
    <x v="0"/>
  </r>
  <r>
    <n v="523"/>
    <s v="18x127"/>
    <x v="1"/>
    <s v="piercing"/>
    <s v="Red"/>
    <s v="Vitaliaa"/>
    <s v="Marchenko"/>
    <x v="0"/>
    <n v="37"/>
    <x v="1"/>
    <n v="5"/>
    <n v="3000"/>
    <n v="1900"/>
    <n v="15000"/>
    <n v="5500"/>
    <x v="14"/>
    <x v="3"/>
    <s v="Ukraine"/>
    <s v="Business"/>
    <s v="No"/>
    <x v="6"/>
    <x v="2"/>
    <d v="2023-02-14T00:00:00"/>
    <x v="1"/>
  </r>
  <r>
    <n v="524"/>
    <s v="62х28"/>
    <x v="1"/>
    <s v="Ukraine"/>
    <s v="Green"/>
    <s v="Vitalia"/>
    <s v="Lysenko"/>
    <x v="0"/>
    <n v="42"/>
    <x v="1"/>
    <n v="2"/>
    <n v="3130"/>
    <n v="1350"/>
    <n v="6260"/>
    <n v="3560"/>
    <x v="34"/>
    <x v="1"/>
    <s v="Ukraine"/>
    <s v="Business"/>
    <s v="No"/>
    <x v="5"/>
    <x v="0"/>
    <d v="2023-04-23T00:00:00"/>
    <x v="7"/>
  </r>
  <r>
    <n v="525"/>
    <s v="60x30"/>
    <x v="1"/>
    <s v="TSVIT"/>
    <s v="Red"/>
    <s v="Kateryna"/>
    <s v="Rudenko"/>
    <x v="0"/>
    <n v="24"/>
    <x v="0"/>
    <n v="3"/>
    <n v="2590"/>
    <n v="1500"/>
    <n v="7770"/>
    <n v="3270"/>
    <x v="31"/>
    <x v="3"/>
    <s v="Ukraine"/>
    <s v="Business"/>
    <s v="No"/>
    <x v="2"/>
    <x v="3"/>
    <d v="2023-04-01T00:00:00"/>
    <x v="7"/>
  </r>
  <r>
    <n v="526"/>
    <s v="100x20"/>
    <x v="1"/>
    <s v="your beauty space"/>
    <s v="Rose"/>
    <s v="Segey"/>
    <s v="Savchenko"/>
    <x v="1"/>
    <n v="57"/>
    <x v="2"/>
    <n v="4"/>
    <n v="3360"/>
    <n v="1390"/>
    <n v="13440"/>
    <n v="7880"/>
    <x v="37"/>
    <x v="4"/>
    <s v="Ukraine"/>
    <s v="Business"/>
    <s v="No"/>
    <x v="3"/>
    <x v="1"/>
    <d v="2023-02-09T00:00:00"/>
    <x v="1"/>
  </r>
  <r>
    <n v="527"/>
    <s v="20x27"/>
    <x v="0"/>
    <s v="Qr code"/>
    <s v="Rose"/>
    <s v="Fedir"/>
    <s v="Hrytsenko"/>
    <x v="1"/>
    <n v="35"/>
    <x v="0"/>
    <n v="5"/>
    <n v="990"/>
    <n v="500"/>
    <n v="4950"/>
    <n v="2450"/>
    <x v="31"/>
    <x v="3"/>
    <s v="Ukraine"/>
    <s v="Business"/>
    <s v="No"/>
    <x v="3"/>
    <x v="0"/>
    <d v="2023-02-26T00:00:00"/>
    <x v="1"/>
  </r>
  <r>
    <n v="528"/>
    <s v="50x50"/>
    <x v="1"/>
    <s v="Caramel"/>
    <s v="White"/>
    <s v="Dmytro"/>
    <s v="Polishchuk"/>
    <x v="1"/>
    <n v="40"/>
    <x v="1"/>
    <n v="2"/>
    <n v="3820"/>
    <n v="1480"/>
    <n v="7640"/>
    <n v="4680"/>
    <x v="33"/>
    <x v="1"/>
    <s v="Ukraine"/>
    <s v="Business"/>
    <s v="No"/>
    <x v="7"/>
    <x v="2"/>
    <d v="2023-07-21T00:00:00"/>
    <x v="8"/>
  </r>
  <r>
    <n v="529"/>
    <s v="200x50"/>
    <x v="1"/>
    <s v="Flower garden"/>
    <s v="Red"/>
    <s v="Katerina"/>
    <s v="Tymoshenko"/>
    <x v="0"/>
    <n v="21"/>
    <x v="0"/>
    <n v="3"/>
    <n v="9790"/>
    <n v="5490"/>
    <n v="29370"/>
    <n v="12900"/>
    <x v="41"/>
    <x v="0"/>
    <s v="Ukraine"/>
    <s v="Business"/>
    <s v="No"/>
    <x v="5"/>
    <x v="3"/>
    <d v="2023-11-02T00:00:00"/>
    <x v="5"/>
  </r>
  <r>
    <n v="530"/>
    <s v="90х45"/>
    <x v="1"/>
    <s v="Coffe centra"/>
    <s v="Green"/>
    <s v="Volodya"/>
    <s v="Kostenko"/>
    <x v="1"/>
    <n v="59"/>
    <x v="2"/>
    <n v="4"/>
    <n v="7125"/>
    <n v="2450"/>
    <n v="28500"/>
    <n v="18700"/>
    <x v="28"/>
    <x v="2"/>
    <s v="Ukraine"/>
    <s v="Business"/>
    <s v="No"/>
    <x v="7"/>
    <x v="1"/>
    <d v="2023-08-16T00:00:00"/>
    <x v="3"/>
  </r>
  <r>
    <n v="531"/>
    <s v="60x90"/>
    <x v="1"/>
    <s v="f "/>
    <s v="Yellow"/>
    <s v="Dmytro"/>
    <s v="Zakharchenko"/>
    <x v="1"/>
    <n v="34"/>
    <x v="0"/>
    <n v="3"/>
    <n v="4150"/>
    <n v="2100"/>
    <n v="12450"/>
    <n v="6150"/>
    <x v="15"/>
    <x v="0"/>
    <s v="Ukraine"/>
    <s v="Business"/>
    <s v="No"/>
    <x v="1"/>
    <x v="2"/>
    <d v="2023-10-26T00:00:00"/>
    <x v="9"/>
  </r>
  <r>
    <n v="532"/>
    <s v="50х70"/>
    <x v="1"/>
    <s v="ibiza"/>
    <s v="Red"/>
    <s v="Katerina"/>
    <s v="Denysenko"/>
    <x v="0"/>
    <n v="27"/>
    <x v="0"/>
    <n v="1"/>
    <n v="3355"/>
    <n v="1650"/>
    <n v="3355"/>
    <n v="1705"/>
    <x v="28"/>
    <x v="2"/>
    <s v="Ukraine"/>
    <s v="Business"/>
    <s v="No"/>
    <x v="2"/>
    <x v="0"/>
    <d v="2023-03-01T00:00:00"/>
    <x v="0"/>
  </r>
  <r>
    <n v="533"/>
    <s v="140x40"/>
    <x v="1"/>
    <s v="Soho"/>
    <s v="White"/>
    <s v="Andrei"/>
    <s v="Ivanenko"/>
    <x v="1"/>
    <n v="45"/>
    <x v="1"/>
    <n v="4"/>
    <n v="4800"/>
    <n v="3600"/>
    <n v="19200"/>
    <n v="4800"/>
    <x v="12"/>
    <x v="2"/>
    <s v="Ukraine"/>
    <s v="Business"/>
    <s v="No"/>
    <x v="5"/>
    <x v="3"/>
    <d v="2023-02-01T00:00:00"/>
    <x v="1"/>
  </r>
  <r>
    <n v="534"/>
    <s v="30x30"/>
    <x v="0"/>
    <s v="qr code"/>
    <s v="Green"/>
    <s v="Olya"/>
    <s v="Oliynyk"/>
    <x v="0"/>
    <n v="52"/>
    <x v="2"/>
    <n v="5"/>
    <n v="1090"/>
    <n v="700"/>
    <n v="5450"/>
    <n v="1950"/>
    <x v="26"/>
    <x v="3"/>
    <s v="Ukraine"/>
    <s v="Business"/>
    <s v="No"/>
    <x v="2"/>
    <x v="1"/>
    <d v="2023-03-14T00:00:00"/>
    <x v="0"/>
  </r>
  <r>
    <n v="535"/>
    <s v="102x71"/>
    <x v="1"/>
    <s v="piercing&amp;tattoo"/>
    <s v="Green"/>
    <s v="Olenka"/>
    <s v="Shevchenko"/>
    <x v="0"/>
    <n v="23"/>
    <x v="0"/>
    <n v="3"/>
    <n v="5000"/>
    <n v="2900"/>
    <n v="15000"/>
    <n v="6300"/>
    <x v="14"/>
    <x v="3"/>
    <s v="Ukraine"/>
    <s v="Business"/>
    <s v="No"/>
    <x v="6"/>
    <x v="0"/>
    <d v="2023-05-14T00:00:00"/>
    <x v="11"/>
  </r>
  <r>
    <n v="534"/>
    <s v="90x26"/>
    <x v="1"/>
    <s v="The Durais"/>
    <s v="Yellow"/>
    <s v="Sergii"/>
    <s v="Kovalenko"/>
    <x v="1"/>
    <n v="38"/>
    <x v="1"/>
    <n v="2"/>
    <n v="2700"/>
    <n v="1500"/>
    <n v="5400"/>
    <n v="2400"/>
    <x v="14"/>
    <x v="3"/>
    <s v="Ukraine"/>
    <s v="Business"/>
    <s v="No"/>
    <x v="3"/>
    <x v="2"/>
    <d v="2023-04-13T00:00:00"/>
    <x v="7"/>
  </r>
  <r>
    <n v="535"/>
    <s v="81х76"/>
    <x v="1"/>
    <s v="Nails"/>
    <s v="Red"/>
    <s v="Nadii"/>
    <s v="Bondarenko"/>
    <x v="0"/>
    <n v="41"/>
    <x v="1"/>
    <n v="4"/>
    <n v="5190"/>
    <n v="2750"/>
    <n v="20760"/>
    <n v="9760"/>
    <x v="32"/>
    <x v="0"/>
    <s v="Ukraine"/>
    <s v="Business"/>
    <s v="No"/>
    <x v="3"/>
    <x v="3"/>
    <d v="2023-08-15T00:00:00"/>
    <x v="3"/>
  </r>
  <r>
    <n v="536"/>
    <s v="76x20"/>
    <x v="1"/>
    <s v="tattoo"/>
    <s v="Red"/>
    <s v="Yana"/>
    <s v="Tkachenko"/>
    <x v="0"/>
    <n v="29"/>
    <x v="0"/>
    <n v="1"/>
    <n v="2500"/>
    <n v="1500"/>
    <n v="2500"/>
    <n v="1000"/>
    <x v="8"/>
    <x v="0"/>
    <s v="Ukraine"/>
    <s v="Business"/>
    <s v="No"/>
    <x v="6"/>
    <x v="1"/>
    <d v="2023-04-04T00:00:00"/>
    <x v="7"/>
  </r>
  <r>
    <n v="537"/>
    <s v="15x125"/>
    <x v="1"/>
    <s v="Scapegoat"/>
    <s v="Rose"/>
    <s v="Yand"/>
    <s v="Kravchenko"/>
    <x v="0"/>
    <n v="60"/>
    <x v="2"/>
    <n v="5"/>
    <n v="2970"/>
    <n v="1600"/>
    <n v="14850"/>
    <n v="6850"/>
    <x v="19"/>
    <x v="3"/>
    <s v="Ukraine"/>
    <s v="Business"/>
    <s v="No"/>
    <x v="4"/>
    <x v="2"/>
    <d v="2023-03-04T00:00:00"/>
    <x v="0"/>
  </r>
  <r>
    <n v="538"/>
    <s v="76x20"/>
    <x v="1"/>
    <s v="tattoo"/>
    <s v="White"/>
    <s v="Maria"/>
    <s v="Boyko"/>
    <x v="0"/>
    <n v="33"/>
    <x v="0"/>
    <n v="2"/>
    <n v="2500"/>
    <n v="1500"/>
    <n v="5000"/>
    <n v="2000"/>
    <x v="34"/>
    <x v="1"/>
    <s v="Ukraine"/>
    <s v="Business"/>
    <s v="No"/>
    <x v="5"/>
    <x v="0"/>
    <d v="2023-11-18T00:00:00"/>
    <x v="5"/>
  </r>
  <r>
    <n v="539"/>
    <s v="70x20"/>
    <x v="1"/>
    <s v="Panteleymon"/>
    <s v="Green"/>
    <s v="Fedir"/>
    <s v="Kovalchuk"/>
    <x v="1"/>
    <n v="22"/>
    <x v="0"/>
    <n v="3"/>
    <n v="3020"/>
    <n v="1850"/>
    <n v="9060"/>
    <n v="3510"/>
    <x v="0"/>
    <x v="0"/>
    <s v="Ukraine"/>
    <s v="Business"/>
    <s v="No"/>
    <x v="0"/>
    <x v="3"/>
    <d v="2023-03-17T00:00:00"/>
    <x v="0"/>
  </r>
  <r>
    <n v="540"/>
    <s v="65x18"/>
    <x v="1"/>
    <s v="horiyume"/>
    <s v="Green"/>
    <s v="Dmytro"/>
    <s v="Melnyk"/>
    <x v="1"/>
    <n v="47"/>
    <x v="1"/>
    <n v="4"/>
    <n v="2360"/>
    <n v="1100"/>
    <n v="9440"/>
    <n v="5040"/>
    <x v="31"/>
    <x v="3"/>
    <s v="Ukraine"/>
    <s v="Business"/>
    <s v="No"/>
    <x v="6"/>
    <x v="1"/>
    <d v="2023-08-16T00:00:00"/>
    <x v="3"/>
  </r>
  <r>
    <n v="541"/>
    <s v="102x71"/>
    <x v="1"/>
    <s v="tattoo&amp;piersing"/>
    <s v="Rose"/>
    <s v="Katerina"/>
    <s v="Marchenko"/>
    <x v="0"/>
    <n v="55"/>
    <x v="2"/>
    <n v="1"/>
    <n v="5000"/>
    <n v="2900"/>
    <n v="5000"/>
    <n v="2100"/>
    <x v="42"/>
    <x v="0"/>
    <s v="Ukraine"/>
    <s v="Business"/>
    <s v="No"/>
    <x v="0"/>
    <x v="0"/>
    <d v="2023-04-20T00:00:00"/>
    <x v="7"/>
  </r>
  <r>
    <n v="542"/>
    <s v="89х38"/>
    <x v="1"/>
    <s v="one love tattoo"/>
    <s v="Red"/>
    <s v="Volodya"/>
    <s v="Lysenko"/>
    <x v="1"/>
    <n v="36"/>
    <x v="1"/>
    <n v="5"/>
    <n v="4750"/>
    <n v="2850"/>
    <n v="23750"/>
    <n v="9500"/>
    <x v="21"/>
    <x v="3"/>
    <s v="Ukraine"/>
    <s v="Business"/>
    <s v="No"/>
    <x v="2"/>
    <x v="2"/>
    <d v="2023-03-24T00:00:00"/>
    <x v="0"/>
  </r>
  <r>
    <n v="543"/>
    <s v="50x30"/>
    <x v="1"/>
    <s v="salads"/>
    <s v="Black"/>
    <s v="Nazar"/>
    <s v="Rudenko"/>
    <x v="1"/>
    <n v="28"/>
    <x v="0"/>
    <n v="3"/>
    <n v="2140"/>
    <n v="1125"/>
    <n v="6420"/>
    <n v="3045"/>
    <x v="0"/>
    <x v="0"/>
    <s v="Ukraine"/>
    <s v="Business"/>
    <s v="No"/>
    <x v="7"/>
    <x v="3"/>
    <d v="2023-03-17T00:00:00"/>
    <x v="0"/>
  </r>
  <r>
    <n v="544"/>
    <s v="50x31"/>
    <x v="1"/>
    <s v="coffee"/>
    <s v="Rose"/>
    <s v="Alina"/>
    <s v="Savchenko"/>
    <x v="0"/>
    <n v="50"/>
    <x v="2"/>
    <n v="2"/>
    <n v="2370"/>
    <n v="1125"/>
    <n v="4740"/>
    <n v="2490"/>
    <x v="10"/>
    <x v="0"/>
    <s v="Ukraine"/>
    <s v="Business"/>
    <s v="No"/>
    <x v="1"/>
    <x v="1"/>
    <d v="2023-05-15T00:00:00"/>
    <x v="11"/>
  </r>
  <r>
    <n v="545"/>
    <s v="230x60"/>
    <x v="1"/>
    <s v="jek coffee"/>
    <s v="White"/>
    <s v="Nazar"/>
    <s v="Hrytsenko"/>
    <x v="1"/>
    <n v="39"/>
    <x v="1"/>
    <n v="4"/>
    <n v="5370"/>
    <n v="6600"/>
    <n v="21480"/>
    <n v="-4920"/>
    <x v="44"/>
    <x v="1"/>
    <s v="Ukraine"/>
    <s v="Business"/>
    <s v="No"/>
    <x v="4"/>
    <x v="2"/>
    <d v="2023-12-13T00:00:00"/>
    <x v="10"/>
  </r>
  <r>
    <n v="546"/>
    <s v="75x75"/>
    <x v="1"/>
    <s v="ibiza"/>
    <s v="Red"/>
    <s v="Inessa"/>
    <s v="Polishchuk"/>
    <x v="0"/>
    <n v="31"/>
    <x v="0"/>
    <n v="1"/>
    <n v="3740"/>
    <n v="2100"/>
    <n v="3740"/>
    <n v="1640"/>
    <x v="30"/>
    <x v="0"/>
    <s v="Ukraine"/>
    <s v="Business"/>
    <s v="No"/>
    <x v="0"/>
    <x v="0"/>
    <d v="2023-03-31T00:00:00"/>
    <x v="0"/>
  </r>
  <r>
    <n v="547"/>
    <s v="40х30"/>
    <x v="1"/>
    <s v="Baloons"/>
    <s v="Green"/>
    <s v="Inna"/>
    <s v="Tymoshenko"/>
    <x v="0"/>
    <n v="44"/>
    <x v="1"/>
    <n v="5"/>
    <n v="1650"/>
    <n v="830"/>
    <n v="8250"/>
    <n v="4100"/>
    <x v="19"/>
    <x v="3"/>
    <s v="Ukraine"/>
    <s v="Business"/>
    <s v="No"/>
    <x v="2"/>
    <x v="3"/>
    <d v="2023-04-17T00:00:00"/>
    <x v="7"/>
  </r>
  <r>
    <n v="548"/>
    <s v="30x30"/>
    <x v="1"/>
    <s v="Puzzel"/>
    <s v="Yellow"/>
    <s v="Vasyl"/>
    <s v="Kostenko"/>
    <x v="1"/>
    <n v="26"/>
    <x v="0"/>
    <n v="2"/>
    <n v="1090"/>
    <n v="500"/>
    <n v="2180"/>
    <n v="1180"/>
    <x v="34"/>
    <x v="1"/>
    <s v="Ukraine"/>
    <s v="Business"/>
    <s v="No"/>
    <x v="4"/>
    <x v="1"/>
    <d v="2023-12-30T00:00:00"/>
    <x v="10"/>
  </r>
  <r>
    <n v="549"/>
    <s v="13x13"/>
    <x v="1"/>
    <s v="Shoes"/>
    <s v="Red"/>
    <s v="Tereza"/>
    <s v="Zakharchenko"/>
    <x v="0"/>
    <n v="48"/>
    <x v="1"/>
    <n v="3"/>
    <n v="2400"/>
    <n v="800"/>
    <n v="7200"/>
    <n v="4800"/>
    <x v="29"/>
    <x v="0"/>
    <s v="Ukraine"/>
    <s v="Business"/>
    <s v="No"/>
    <x v="5"/>
    <x v="0"/>
    <d v="2023-05-03T00:00:00"/>
    <x v="11"/>
  </r>
  <r>
    <n v="550"/>
    <s v="70x20"/>
    <x v="1"/>
    <s v="mars coffee"/>
    <s v="Black"/>
    <s v="Dmytro"/>
    <s v="Denysenko"/>
    <x v="1"/>
    <n v="53"/>
    <x v="2"/>
    <n v="4"/>
    <n v="2820"/>
    <n v="1380"/>
    <n v="11280"/>
    <n v="5760"/>
    <x v="31"/>
    <x v="3"/>
    <s v="Ukraine"/>
    <s v="Business"/>
    <s v="No"/>
    <x v="5"/>
    <x v="2"/>
    <d v="2023-05-24T00:00:00"/>
    <x v="11"/>
  </r>
  <r>
    <n v="551"/>
    <s v="130x26"/>
    <x v="1"/>
    <s v="mars coffee"/>
    <s v="Green"/>
    <s v="Daria"/>
    <s v="Ivanenko"/>
    <x v="0"/>
    <n v="30"/>
    <x v="0"/>
    <n v="1"/>
    <n v="3980"/>
    <n v="2180"/>
    <n v="3980"/>
    <n v="1800"/>
    <x v="39"/>
    <x v="4"/>
    <s v="Ukraine"/>
    <s v="Business"/>
    <s v="No"/>
    <x v="0"/>
    <x v="3"/>
    <d v="2023-12-23T00:00:00"/>
    <x v="10"/>
  </r>
  <r>
    <n v="552"/>
    <s v="60x20"/>
    <x v="1"/>
    <s v="Sofa"/>
    <s v="Yellow"/>
    <s v="Dasha"/>
    <s v="Oliynyk"/>
    <x v="0"/>
    <n v="37"/>
    <x v="1"/>
    <n v="5"/>
    <n v="1000"/>
    <n v="470"/>
    <n v="5000"/>
    <n v="2650"/>
    <x v="2"/>
    <x v="2"/>
    <s v="Ukraine"/>
    <s v="Business"/>
    <s v="No"/>
    <x v="7"/>
    <x v="1"/>
    <d v="2023-10-31T00:00:00"/>
    <x v="9"/>
  </r>
  <r>
    <n v="553"/>
    <s v="63x80"/>
    <x v="1"/>
    <s v="vandal vape"/>
    <s v="Red"/>
    <s v="Evgenia"/>
    <s v="Shevchenko"/>
    <x v="0"/>
    <n v="42"/>
    <x v="1"/>
    <n v="3"/>
    <n v="6130"/>
    <n v="3600"/>
    <n v="18390"/>
    <n v="7590"/>
    <x v="27"/>
    <x v="0"/>
    <s v="Ukraine"/>
    <s v="Business"/>
    <s v="No"/>
    <x v="5"/>
    <x v="2"/>
    <d v="2023-12-20T00:00:00"/>
    <x v="10"/>
  </r>
  <r>
    <n v="554"/>
    <s v="40x20"/>
    <x v="1"/>
    <s v="Robot"/>
    <s v="Red"/>
    <s v="Nika"/>
    <s v="Kovalenko"/>
    <x v="0"/>
    <n v="24"/>
    <x v="0"/>
    <n v="5"/>
    <n v="500"/>
    <n v="230"/>
    <n v="2500"/>
    <n v="1350"/>
    <x v="21"/>
    <x v="3"/>
    <s v="Ukraine"/>
    <s v="Business"/>
    <s v="No"/>
    <x v="4"/>
    <x v="0"/>
    <d v="2023-05-08T00:00:00"/>
    <x v="11"/>
  </r>
  <r>
    <n v="555"/>
    <s v="100x30"/>
    <x v="1"/>
    <s v="Katty Flowers"/>
    <s v="Rose"/>
    <s v="Nikol"/>
    <s v="Bondarenko"/>
    <x v="0"/>
    <n v="57"/>
    <x v="2"/>
    <n v="2"/>
    <n v="3400"/>
    <n v="1338"/>
    <n v="6800"/>
    <n v="4124"/>
    <x v="28"/>
    <x v="2"/>
    <s v="Ukraine"/>
    <s v="Business"/>
    <s v="No"/>
    <x v="6"/>
    <x v="3"/>
    <d v="2023-03-28T00:00:00"/>
    <x v="0"/>
  </r>
  <r>
    <n v="556"/>
    <s v="63x80"/>
    <x v="1"/>
    <s v="vandal vape"/>
    <s v="White"/>
    <s v="Nikolas"/>
    <s v="Tkachenko"/>
    <x v="1"/>
    <n v="35"/>
    <x v="0"/>
    <n v="1"/>
    <n v="6130"/>
    <n v="3510"/>
    <n v="6130"/>
    <n v="2620"/>
    <x v="24"/>
    <x v="3"/>
    <s v="Ukraine"/>
    <s v="Business"/>
    <s v="No"/>
    <x v="5"/>
    <x v="1"/>
    <d v="2023-12-21T00:00:00"/>
    <x v="10"/>
  </r>
  <r>
    <n v="557"/>
    <s v="40x20"/>
    <x v="1"/>
    <s v="Cars"/>
    <s v="Green"/>
    <s v="Maria"/>
    <s v="Kravchenko"/>
    <x v="0"/>
    <n v="40"/>
    <x v="1"/>
    <n v="3"/>
    <n v="500"/>
    <n v="300"/>
    <n v="1500"/>
    <n v="600"/>
    <x v="42"/>
    <x v="0"/>
    <s v="Ukraine"/>
    <s v="Business"/>
    <s v="No"/>
    <x v="2"/>
    <x v="0"/>
    <d v="2023-09-12T00:00:00"/>
    <x v="2"/>
  </r>
  <r>
    <n v="558"/>
    <s v="55х70"/>
    <x v="1"/>
    <s v="vandal vape"/>
    <s v="Green"/>
    <s v="Vasyl"/>
    <s v="Boyko"/>
    <x v="1"/>
    <n v="21"/>
    <x v="0"/>
    <n v="4"/>
    <n v="5780"/>
    <n v="3160"/>
    <n v="23120"/>
    <n v="10480"/>
    <x v="44"/>
    <x v="1"/>
    <s v="Ukraine"/>
    <s v="Business"/>
    <s v="No"/>
    <x v="2"/>
    <x v="2"/>
    <d v="2023-02-16T00:00:00"/>
    <x v="1"/>
  </r>
  <r>
    <n v="559"/>
    <s v="40x20"/>
    <x v="1"/>
    <s v="Vape"/>
    <s v="Rose"/>
    <s v="Emma"/>
    <s v="Kovalchuk"/>
    <x v="0"/>
    <n v="45"/>
    <x v="1"/>
    <n v="5"/>
    <n v="500"/>
    <n v="250"/>
    <n v="2500"/>
    <n v="1250"/>
    <x v="12"/>
    <x v="2"/>
    <s v="Ukraine"/>
    <s v="Business"/>
    <s v="No"/>
    <x v="3"/>
    <x v="3"/>
    <d v="2023-02-01T00:00:00"/>
    <x v="1"/>
  </r>
  <r>
    <n v="560"/>
    <s v="67х85"/>
    <x v="1"/>
    <s v="vandal vape"/>
    <s v="Red"/>
    <s v="Vlad"/>
    <s v="Melnyk"/>
    <x v="1"/>
    <n v="52"/>
    <x v="2"/>
    <n v="2"/>
    <n v="6430"/>
    <n v="3810"/>
    <n v="12860"/>
    <n v="5240"/>
    <x v="26"/>
    <x v="3"/>
    <s v="Ukraine"/>
    <s v="Business"/>
    <s v="No"/>
    <x v="4"/>
    <x v="1"/>
    <d v="2023-10-14T00:00:00"/>
    <x v="9"/>
  </r>
  <r>
    <n v="561"/>
    <s v="40x20"/>
    <x v="1"/>
    <s v="Pineaple"/>
    <s v="Rose"/>
    <s v="Olivia"/>
    <s v="Marchenko"/>
    <x v="0"/>
    <n v="23"/>
    <x v="0"/>
    <n v="3"/>
    <n v="500"/>
    <n v="170"/>
    <n v="1500"/>
    <n v="990"/>
    <x v="31"/>
    <x v="3"/>
    <s v="Ukraine"/>
    <s v="Business"/>
    <s v="No"/>
    <x v="6"/>
    <x v="2"/>
    <d v="2023-10-06T00:00:00"/>
    <x v="9"/>
  </r>
  <r>
    <n v="562"/>
    <s v="40х50"/>
    <x v="1"/>
    <s v="vandal vape"/>
    <s v="Red"/>
    <s v="Peter"/>
    <s v="Lysenko"/>
    <x v="1"/>
    <n v="38"/>
    <x v="1"/>
    <n v="1"/>
    <n v="5030"/>
    <n v="2410"/>
    <n v="5030"/>
    <n v="2620"/>
    <x v="4"/>
    <x v="3"/>
    <s v="Ukraine"/>
    <s v="Business"/>
    <s v="No"/>
    <x v="7"/>
    <x v="0"/>
    <d v="2023-02-05T00:00:00"/>
    <x v="1"/>
  </r>
  <r>
    <n v="563"/>
    <s v="60x15"/>
    <x v="1"/>
    <s v="Orange"/>
    <s v="Yellow"/>
    <s v="Sophia"/>
    <s v="Rudenko"/>
    <x v="0"/>
    <n v="41"/>
    <x v="1"/>
    <n v="4"/>
    <n v="1000"/>
    <n v="410"/>
    <n v="4000"/>
    <n v="2360"/>
    <x v="25"/>
    <x v="3"/>
    <s v="Ukraine"/>
    <s v="Business"/>
    <s v="No"/>
    <x v="7"/>
    <x v="3"/>
    <d v="2023-04-19T00:00:00"/>
    <x v="7"/>
  </r>
  <r>
    <n v="564"/>
    <s v="115x80"/>
    <x v="1"/>
    <s v="nezlamnist ukraine"/>
    <s v="Rose"/>
    <s v="Maria"/>
    <s v="Savchenko"/>
    <x v="0"/>
    <n v="29"/>
    <x v="0"/>
    <n v="5"/>
    <n v="6273"/>
    <n v="3040"/>
    <n v="31365"/>
    <n v="16165"/>
    <x v="16"/>
    <x v="3"/>
    <s v="Ukraine"/>
    <s v="Business"/>
    <s v="No"/>
    <x v="6"/>
    <x v="1"/>
    <d v="2023-11-24T00:00:00"/>
    <x v="5"/>
  </r>
  <r>
    <n v="565"/>
    <s v="77х110"/>
    <x v="1"/>
    <s v="Asian cat"/>
    <s v="White"/>
    <s v="Charlotte"/>
    <s v="Hrytsenko"/>
    <x v="0"/>
    <n v="60"/>
    <x v="2"/>
    <n v="3"/>
    <n v="6230"/>
    <n v="3140"/>
    <n v="18690"/>
    <n v="9270"/>
    <x v="5"/>
    <x v="3"/>
    <s v="Ukraine"/>
    <s v="Business"/>
    <s v="No"/>
    <x v="2"/>
    <x v="0"/>
    <d v="2023-12-26T00:00:00"/>
    <x v="10"/>
  </r>
  <r>
    <n v="566"/>
    <s v="40x110"/>
    <x v="1"/>
    <s v="ASIA"/>
    <s v="Red"/>
    <s v="Daria"/>
    <s v="Polishchuk"/>
    <x v="0"/>
    <n v="33"/>
    <x v="0"/>
    <n v="2"/>
    <n v="4480"/>
    <n v="2390"/>
    <n v="8960"/>
    <n v="4180"/>
    <x v="6"/>
    <x v="1"/>
    <s v="Ukraine"/>
    <s v="Business"/>
    <s v="No"/>
    <x v="1"/>
    <x v="2"/>
    <d v="2023-03-23T00:00:00"/>
    <x v="0"/>
  </r>
  <r>
    <n v="567"/>
    <s v="60x68"/>
    <x v="1"/>
    <s v="noodles"/>
    <s v="Green"/>
    <s v="Amelia"/>
    <s v="Tymoshenko"/>
    <x v="0"/>
    <n v="22"/>
    <x v="0"/>
    <n v="4"/>
    <n v="4350"/>
    <n v="1960"/>
    <n v="17400"/>
    <n v="9560"/>
    <x v="27"/>
    <x v="0"/>
    <s v="Ukraine"/>
    <s v="Business"/>
    <s v="No"/>
    <x v="6"/>
    <x v="3"/>
    <d v="2023-12-31T00:00:00"/>
    <x v="10"/>
  </r>
  <r>
    <n v="568"/>
    <s v="60x70"/>
    <x v="1"/>
    <s v="ramen"/>
    <s v="Red"/>
    <s v="Jose"/>
    <s v="Kostenko"/>
    <x v="1"/>
    <n v="47"/>
    <x v="1"/>
    <n v="1"/>
    <n v="4070"/>
    <n v="1980"/>
    <n v="4070"/>
    <n v="2090"/>
    <x v="23"/>
    <x v="4"/>
    <s v="Ukraine"/>
    <s v="Business"/>
    <s v="No"/>
    <x v="5"/>
    <x v="1"/>
    <d v="2023-05-15T00:00:00"/>
    <x v="11"/>
  </r>
  <r>
    <n v="569"/>
    <s v="45x100"/>
    <x v="1"/>
    <s v="save water drink wine"/>
    <s v="White"/>
    <s v="Ava"/>
    <s v="Zakharchenko"/>
    <x v="0"/>
    <n v="55"/>
    <x v="2"/>
    <n v="5"/>
    <n v="5200"/>
    <n v="2310"/>
    <n v="26000"/>
    <n v="14450"/>
    <x v="22"/>
    <x v="4"/>
    <s v="Ukraine"/>
    <s v="Business"/>
    <s v="No"/>
    <x v="3"/>
    <x v="2"/>
    <d v="2023-10-10T00:00:00"/>
    <x v="9"/>
  </r>
  <r>
    <n v="570"/>
    <s v="120x50"/>
    <x v="1"/>
    <s v="beef&amp;cake banquet hall"/>
    <s v="Rose"/>
    <s v="Ben"/>
    <s v="Denysenko"/>
    <x v="1"/>
    <n v="36"/>
    <x v="1"/>
    <n v="2"/>
    <n v="7870"/>
    <n v="3360"/>
    <n v="15740"/>
    <n v="9020"/>
    <x v="22"/>
    <x v="4"/>
    <s v="Ukraine"/>
    <s v="Business"/>
    <s v="No"/>
    <x v="0"/>
    <x v="0"/>
    <d v="2023-12-30T00:00:00"/>
    <x v="10"/>
  </r>
  <r>
    <n v="571"/>
    <s v="30x22"/>
    <x v="1"/>
    <s v="nike"/>
    <s v="White"/>
    <s v="Isabella"/>
    <s v="Ivanenko"/>
    <x v="0"/>
    <n v="28"/>
    <x v="0"/>
    <n v="3"/>
    <n v="1610"/>
    <n v="570"/>
    <n v="4830"/>
    <n v="3120"/>
    <x v="4"/>
    <x v="3"/>
    <s v="Ukraine"/>
    <s v="Business"/>
    <s v="No"/>
    <x v="3"/>
    <x v="3"/>
    <d v="2023-02-20T00:00:00"/>
    <x v="1"/>
  </r>
  <r>
    <n v="572"/>
    <s v="55х38"/>
    <x v="1"/>
    <s v="Him west"/>
    <s v="Red"/>
    <s v="Benedict"/>
    <s v="Oliynyk"/>
    <x v="1"/>
    <n v="50"/>
    <x v="2"/>
    <n v="4"/>
    <n v="2500"/>
    <n v="1200"/>
    <n v="10000"/>
    <n v="5200"/>
    <x v="34"/>
    <x v="1"/>
    <s v="Ukraine"/>
    <s v="Business"/>
    <s v="No"/>
    <x v="4"/>
    <x v="1"/>
    <d v="2023-08-04T00:00:00"/>
    <x v="3"/>
  </r>
  <r>
    <n v="573"/>
    <s v="60x77"/>
    <x v="1"/>
    <s v="vandal vape"/>
    <s v="Green"/>
    <s v="Mia"/>
    <s v="Shevchenko"/>
    <x v="0"/>
    <n v="39"/>
    <x v="1"/>
    <n v="1"/>
    <n v="6080"/>
    <n v="3550"/>
    <n v="6080"/>
    <n v="2530"/>
    <x v="42"/>
    <x v="0"/>
    <s v="Ukraine"/>
    <s v="Business"/>
    <s v="No"/>
    <x v="1"/>
    <x v="0"/>
    <d v="2023-09-23T00:00:00"/>
    <x v="2"/>
  </r>
  <r>
    <n v="574"/>
    <s v="60x15"/>
    <x v="1"/>
    <s v="Apple"/>
    <s v="Yellow"/>
    <s v="Gregory"/>
    <s v="Kovalenko"/>
    <x v="1"/>
    <n v="31"/>
    <x v="0"/>
    <n v="5"/>
    <n v="500"/>
    <n v="235"/>
    <n v="2500"/>
    <n v="1325"/>
    <x v="6"/>
    <x v="1"/>
    <s v="Ukraine"/>
    <s v="Business"/>
    <s v="No"/>
    <x v="6"/>
    <x v="2"/>
    <d v="2023-03-09T00:00:00"/>
    <x v="0"/>
  </r>
  <r>
    <n v="575"/>
    <s v="110х40"/>
    <x v="1"/>
    <s v="Coffe with chocolate"/>
    <s v="Red"/>
    <s v="Harper"/>
    <s v="Bondarenko"/>
    <x v="1"/>
    <n v="44"/>
    <x v="1"/>
    <n v="3"/>
    <n v="2780"/>
    <n v="1700"/>
    <n v="8340"/>
    <n v="3240"/>
    <x v="6"/>
    <x v="1"/>
    <s v="Ukraine"/>
    <s v="Business"/>
    <s v="No"/>
    <x v="3"/>
    <x v="3"/>
    <d v="2023-05-25T00:00:00"/>
    <x v="11"/>
  </r>
  <r>
    <n v="576"/>
    <s v="40x30"/>
    <x v="1"/>
    <s v="Blubberies"/>
    <s v="Yellow"/>
    <s v="Vika"/>
    <s v="Tkachenko"/>
    <x v="0"/>
    <n v="26"/>
    <x v="0"/>
    <n v="2"/>
    <n v="700"/>
    <n v="330"/>
    <n v="1400"/>
    <n v="740"/>
    <x v="15"/>
    <x v="0"/>
    <s v="Ukraine"/>
    <s v="Business"/>
    <s v="No"/>
    <x v="4"/>
    <x v="1"/>
    <d v="2023-10-10T00:00:00"/>
    <x v="9"/>
  </r>
  <r>
    <n v="577"/>
    <s v="65x17"/>
    <x v="1"/>
    <s v="Nimble"/>
    <s v="Green"/>
    <s v="Evelyn"/>
    <s v="Kravchenko"/>
    <x v="0"/>
    <n v="48"/>
    <x v="1"/>
    <n v="4"/>
    <n v="2520"/>
    <n v="1180"/>
    <n v="10080"/>
    <n v="5360"/>
    <x v="24"/>
    <x v="3"/>
    <s v="Ukraine"/>
    <s v="Business"/>
    <s v="No"/>
    <x v="0"/>
    <x v="2"/>
    <d v="2023-09-16T00:00:00"/>
    <x v="2"/>
  </r>
  <r>
    <n v="578"/>
    <s v="20x20"/>
    <x v="1"/>
    <s v="Strawbery"/>
    <s v="Green"/>
    <s v="Kate"/>
    <s v="Boyko"/>
    <x v="0"/>
    <n v="53"/>
    <x v="2"/>
    <n v="1"/>
    <n v="1580"/>
    <n v="530"/>
    <n v="1580"/>
    <n v="1050"/>
    <x v="8"/>
    <x v="0"/>
    <s v="Ukraine"/>
    <s v="Business"/>
    <s v="No"/>
    <x v="5"/>
    <x v="0"/>
    <d v="2023-02-09T00:00:00"/>
    <x v="1"/>
  </r>
  <r>
    <n v="579"/>
    <s v="35х45"/>
    <x v="1"/>
    <s v="Roof"/>
    <s v="Yellow"/>
    <s v="Abigail"/>
    <s v="Kovalchuk"/>
    <x v="0"/>
    <n v="30"/>
    <x v="0"/>
    <n v="5"/>
    <n v="2800"/>
    <n v="1600"/>
    <n v="14000"/>
    <n v="6000"/>
    <x v="10"/>
    <x v="0"/>
    <s v="Ukraine"/>
    <s v="Business"/>
    <s v="No"/>
    <x v="2"/>
    <x v="3"/>
    <d v="2023-07-21T00:00:00"/>
    <x v="8"/>
  </r>
  <r>
    <n v="580"/>
    <s v="78x98"/>
    <x v="1"/>
    <s v="vandal vape"/>
    <s v="Red"/>
    <s v="Emily"/>
    <s v="Melnyk"/>
    <x v="0"/>
    <n v="37"/>
    <x v="1"/>
    <n v="2"/>
    <n v="7150"/>
    <n v="4350"/>
    <n v="14300"/>
    <n v="5600"/>
    <x v="17"/>
    <x v="1"/>
    <s v="Ukraine"/>
    <s v="Business"/>
    <s v="No"/>
    <x v="7"/>
    <x v="1"/>
    <d v="2023-05-21T00:00:00"/>
    <x v="11"/>
  </r>
  <r>
    <n v="581"/>
    <s v="60x20"/>
    <x v="1"/>
    <s v="Lock"/>
    <s v="Black"/>
    <s v="Emily"/>
    <s v="Marchenko"/>
    <x v="0"/>
    <n v="42"/>
    <x v="1"/>
    <n v="3"/>
    <n v="500"/>
    <n v="195"/>
    <n v="1500"/>
    <n v="915"/>
    <x v="17"/>
    <x v="1"/>
    <s v="Ukraine"/>
    <s v="Business"/>
    <s v="No"/>
    <x v="5"/>
    <x v="0"/>
    <d v="2023-10-10T00:00:00"/>
    <x v="9"/>
  </r>
  <r>
    <n v="582"/>
    <s v="55x38"/>
    <x v="1"/>
    <s v="home"/>
    <s v="Green"/>
    <s v="Vlad"/>
    <s v="Lysenko"/>
    <x v="1"/>
    <n v="24"/>
    <x v="0"/>
    <n v="4"/>
    <n v="2500"/>
    <n v="1200"/>
    <n v="10000"/>
    <n v="5200"/>
    <x v="8"/>
    <x v="0"/>
    <s v="Ukraine"/>
    <s v="Business"/>
    <s v="No"/>
    <x v="3"/>
    <x v="2"/>
    <d v="2023-09-26T00:00:00"/>
    <x v="2"/>
  </r>
  <r>
    <n v="583"/>
    <s v="58х58"/>
    <x v="1"/>
    <s v="We are open"/>
    <s v="Green"/>
    <s v="Elizabeth"/>
    <s v="Rudenko"/>
    <x v="0"/>
    <n v="57"/>
    <x v="2"/>
    <n v="1"/>
    <n v="2770"/>
    <n v="1150"/>
    <n v="2770"/>
    <n v="1620"/>
    <x v="18"/>
    <x v="3"/>
    <s v="Ukraine"/>
    <s v="Business"/>
    <s v="No"/>
    <x v="1"/>
    <x v="3"/>
    <d v="2023-07-10T00:00:00"/>
    <x v="8"/>
  </r>
  <r>
    <n v="584"/>
    <s v="75x14"/>
    <x v="1"/>
    <s v="Saint smm"/>
    <s v="Yellow"/>
    <s v="Nazar"/>
    <s v="Savchenko"/>
    <x v="1"/>
    <n v="35"/>
    <x v="0"/>
    <n v="5"/>
    <n v="3000"/>
    <n v="1300"/>
    <n v="15000"/>
    <n v="8500"/>
    <x v="19"/>
    <x v="3"/>
    <s v="Ukraine"/>
    <s v="Business"/>
    <s v="No"/>
    <x v="7"/>
    <x v="1"/>
    <d v="2023-02-15T00:00:00"/>
    <x v="1"/>
  </r>
  <r>
    <n v="585"/>
    <s v="50х12"/>
    <x v="1"/>
    <s v="You amazing"/>
    <s v="Red"/>
    <s v="Scarlett"/>
    <s v="Hrytsenko"/>
    <x v="0"/>
    <n v="40"/>
    <x v="1"/>
    <n v="3"/>
    <n v="3410"/>
    <n v="1145"/>
    <n v="10230"/>
    <n v="6795"/>
    <x v="35"/>
    <x v="0"/>
    <s v="Ukraine"/>
    <s v="Business"/>
    <s v="No"/>
    <x v="4"/>
    <x v="2"/>
    <d v="2023-11-17T00:00:00"/>
    <x v="5"/>
  </r>
  <r>
    <n v="586"/>
    <s v="170x35"/>
    <x v="1"/>
    <s v="Marscoffee"/>
    <s v="Red"/>
    <s v="Colin"/>
    <s v="Polishchuk"/>
    <x v="1"/>
    <n v="21"/>
    <x v="0"/>
    <n v="2"/>
    <n v="5700"/>
    <n v="3450"/>
    <n v="11400"/>
    <n v="4500"/>
    <x v="34"/>
    <x v="1"/>
    <s v="Ukraine"/>
    <s v="Business"/>
    <s v="No"/>
    <x v="5"/>
    <x v="0"/>
    <d v="2023-12-23T00:00:00"/>
    <x v="10"/>
  </r>
  <r>
    <n v="587"/>
    <s v="60x20"/>
    <x v="1"/>
    <s v="Nike nike"/>
    <s v="Rose"/>
    <s v="Victoria"/>
    <s v="Tymoshenko"/>
    <x v="0"/>
    <n v="59"/>
    <x v="2"/>
    <n v="4"/>
    <n v="500"/>
    <n v="220"/>
    <n v="2000"/>
    <n v="1120"/>
    <x v="20"/>
    <x v="0"/>
    <s v="Ukraine"/>
    <s v="Business"/>
    <s v="No"/>
    <x v="2"/>
    <x v="3"/>
    <d v="2023-09-15T00:00:00"/>
    <x v="2"/>
  </r>
  <r>
    <n v="588"/>
    <s v="20x105"/>
    <x v="1"/>
    <s v="coffee"/>
    <s v="White"/>
    <s v="Katalina"/>
    <s v="Kostenko"/>
    <x v="0"/>
    <n v="32"/>
    <x v="0"/>
    <n v="1"/>
    <n v="2770"/>
    <n v="1470"/>
    <n v="2770"/>
    <n v="1300"/>
    <x v="33"/>
    <x v="1"/>
    <s v="Ukraine"/>
    <s v="Business"/>
    <s v="No"/>
    <x v="3"/>
    <x v="1"/>
    <d v="2023-05-16T00:00:00"/>
    <x v="11"/>
  </r>
  <r>
    <n v="589"/>
    <s v="79x52"/>
    <x v="1"/>
    <s v="lotus"/>
    <s v="Green"/>
    <s v="Liam"/>
    <s v="Zakharchenko"/>
    <x v="0"/>
    <n v="46"/>
    <x v="1"/>
    <n v="5"/>
    <n v="6700"/>
    <n v="3560"/>
    <n v="33500"/>
    <n v="15700"/>
    <x v="23"/>
    <x v="4"/>
    <s v="Ukraine"/>
    <s v="Business"/>
    <s v="No"/>
    <x v="7"/>
    <x v="0"/>
    <d v="2023-04-20T00:00:00"/>
    <x v="7"/>
  </r>
  <r>
    <n v="590"/>
    <s v="55x100"/>
    <x v="1"/>
    <s v="coffee and cup"/>
    <s v="Green"/>
    <s v="Vitalia"/>
    <s v="Denysenko"/>
    <x v="0"/>
    <n v="54"/>
    <x v="2"/>
    <n v="3"/>
    <n v="3700"/>
    <n v="2500"/>
    <n v="11100"/>
    <n v="3600"/>
    <x v="38"/>
    <x v="2"/>
    <s v="Ukraine"/>
    <s v="Business"/>
    <s v="No"/>
    <x v="4"/>
    <x v="2"/>
    <d v="2023-07-10T00:00:00"/>
    <x v="8"/>
  </r>
  <r>
    <n v="591"/>
    <s v="90x25"/>
    <x v="1"/>
    <s v="mafia"/>
    <s v="Rose"/>
    <s v="Noah"/>
    <s v="Ivanenko"/>
    <x v="1"/>
    <n v="25"/>
    <x v="0"/>
    <n v="1"/>
    <n v="1880"/>
    <n v="1100"/>
    <n v="1880"/>
    <n v="780"/>
    <x v="3"/>
    <x v="0"/>
    <s v="Ukraine"/>
    <s v="Business"/>
    <s v="No"/>
    <x v="4"/>
    <x v="3"/>
    <d v="2023-01-31T00:00:00"/>
    <x v="4"/>
  </r>
  <r>
    <n v="592"/>
    <s v="90x20"/>
    <x v="1"/>
    <s v="barbershop"/>
    <s v="Red"/>
    <s v="Denis"/>
    <s v="Oliynyk"/>
    <x v="1"/>
    <n v="43"/>
    <x v="1"/>
    <n v="2"/>
    <n v="1880"/>
    <n v="1100"/>
    <n v="3760"/>
    <n v="1560"/>
    <x v="35"/>
    <x v="0"/>
    <s v="Ukraine"/>
    <s v="Business"/>
    <s v="No"/>
    <x v="3"/>
    <x v="1"/>
    <d v="2023-01-03T00:00:00"/>
    <x v="4"/>
  </r>
  <r>
    <n v="593"/>
    <s v="65x65"/>
    <x v="1"/>
    <s v="asup tattoo"/>
    <s v="White"/>
    <s v="Oliver"/>
    <s v="Shevchenko"/>
    <x v="0"/>
    <n v="58"/>
    <x v="2"/>
    <n v="4"/>
    <n v="4340"/>
    <n v="2450"/>
    <n v="17360"/>
    <n v="7560"/>
    <x v="18"/>
    <x v="3"/>
    <s v="Ukraine"/>
    <s v="Business"/>
    <s v="No"/>
    <x v="2"/>
    <x v="2"/>
    <d v="2023-08-26T00:00:00"/>
    <x v="3"/>
  </r>
  <r>
    <n v="594"/>
    <s v="80x33"/>
    <x v="1"/>
    <s v="pure"/>
    <s v="Rose"/>
    <s v="Alina"/>
    <s v="Kovalenko"/>
    <x v="0"/>
    <n v="20"/>
    <x v="0"/>
    <n v="5"/>
    <n v="2970"/>
    <n v="1470"/>
    <n v="14850"/>
    <n v="7500"/>
    <x v="2"/>
    <x v="2"/>
    <s v="Ukraine"/>
    <s v="Business"/>
    <s v="No"/>
    <x v="2"/>
    <x v="0"/>
    <d v="2023-07-20T00:00:00"/>
    <x v="8"/>
  </r>
  <r>
    <n v="595"/>
    <s v="110x27"/>
    <x v="1"/>
    <s v="amster"/>
    <s v="White"/>
    <s v="Elijah"/>
    <s v="Bondarenko"/>
    <x v="0"/>
    <n v="49"/>
    <x v="1"/>
    <n v="2"/>
    <n v="4520"/>
    <n v="2500"/>
    <n v="9040"/>
    <n v="4040"/>
    <x v="28"/>
    <x v="2"/>
    <s v="Ukraine"/>
    <s v="Business"/>
    <s v="No"/>
    <x v="6"/>
    <x v="3"/>
    <d v="2023-07-24T00:00:00"/>
    <x v="8"/>
  </r>
  <r>
    <n v="596"/>
    <s v="20x100"/>
    <x v="1"/>
    <s v="studbaza"/>
    <s v="Red"/>
    <s v="Mirella"/>
    <s v="Tkachenko"/>
    <x v="0"/>
    <n v="34"/>
    <x v="0"/>
    <n v="3"/>
    <n v="2820"/>
    <n v="900"/>
    <n v="8460"/>
    <n v="5760"/>
    <x v="34"/>
    <x v="1"/>
    <s v="Ukraine"/>
    <s v="Business"/>
    <s v="No"/>
    <x v="6"/>
    <x v="1"/>
    <d v="2023-03-24T00:00:00"/>
    <x v="0"/>
  </r>
  <r>
    <n v="597"/>
    <s v="20х100"/>
    <x v="1"/>
    <s v="Flowers"/>
    <s v="Rose"/>
    <s v="James"/>
    <s v="Kravchenko"/>
    <x v="1"/>
    <n v="27"/>
    <x v="0"/>
    <n v="1"/>
    <n v="2400"/>
    <n v="1400"/>
    <n v="2400"/>
    <n v="1000"/>
    <x v="6"/>
    <x v="1"/>
    <s v="Ukraine"/>
    <s v="Business"/>
    <s v="No"/>
    <x v="7"/>
    <x v="0"/>
    <d v="2023-06-29T00:00:00"/>
    <x v="6"/>
  </r>
  <r>
    <n v="598"/>
    <s v="50x20"/>
    <x v="1"/>
    <s v="Chill"/>
    <s v="White"/>
    <s v="Joana"/>
    <s v="Boyko"/>
    <x v="0"/>
    <n v="45"/>
    <x v="1"/>
    <n v="4"/>
    <n v="1650"/>
    <n v="760"/>
    <n v="6600"/>
    <n v="3560"/>
    <x v="13"/>
    <x v="1"/>
    <s v="Ukraine"/>
    <s v="Business"/>
    <s v="No"/>
    <x v="7"/>
    <x v="2"/>
    <d v="2023-06-23T00:00:00"/>
    <x v="6"/>
  </r>
  <r>
    <n v="599"/>
    <s v="30x22"/>
    <x v="1"/>
    <s v="trend device "/>
    <s v="Red"/>
    <s v="William"/>
    <s v="Kovalchuk"/>
    <x v="1"/>
    <n v="52"/>
    <x v="2"/>
    <n v="5"/>
    <n v="2065"/>
    <n v="700"/>
    <n v="10325"/>
    <n v="6825"/>
    <x v="4"/>
    <x v="3"/>
    <s v="Ukraine"/>
    <s v="Business"/>
    <s v="No"/>
    <x v="6"/>
    <x v="3"/>
    <d v="2023-01-21T00:00:00"/>
    <x v="4"/>
  </r>
  <r>
    <n v="600"/>
    <s v="55x49"/>
    <x v="1"/>
    <s v="Only"/>
    <s v="Green"/>
    <s v="Luca"/>
    <s v="Melnyk"/>
    <x v="1"/>
    <n v="23"/>
    <x v="0"/>
    <n v="3"/>
    <n v="3850"/>
    <n v="2350"/>
    <n v="11550"/>
    <n v="4500"/>
    <x v="13"/>
    <x v="1"/>
    <s v="Ukraine"/>
    <s v="Business"/>
    <s v="No"/>
    <x v="5"/>
    <x v="1"/>
    <d v="2023-03-14T00:00:00"/>
    <x v="0"/>
  </r>
  <r>
    <n v="601"/>
    <s v="52х22"/>
    <x v="1"/>
    <s v="Hands"/>
    <s v="Red"/>
    <s v="Benjamin"/>
    <s v="Marchenko"/>
    <x v="1"/>
    <n v="38"/>
    <x v="1"/>
    <n v="2"/>
    <n v="2050"/>
    <n v="850"/>
    <n v="4100"/>
    <n v="2400"/>
    <x v="44"/>
    <x v="1"/>
    <s v="Ukraine"/>
    <s v="Business"/>
    <s v="No"/>
    <x v="2"/>
    <x v="2"/>
    <d v="2023-03-05T00:00:00"/>
    <x v="0"/>
  </r>
  <r>
    <n v="602"/>
    <s v="27х30"/>
    <x v="1"/>
    <s v="Grape"/>
    <s v="Black"/>
    <s v="Oleg"/>
    <s v="Lysenko"/>
    <x v="1"/>
    <n v="41"/>
    <x v="1"/>
    <n v="4"/>
    <n v="2080"/>
    <n v="906"/>
    <n v="8320"/>
    <n v="4696"/>
    <x v="6"/>
    <x v="1"/>
    <s v="Ukraine"/>
    <s v="Business"/>
    <s v="No"/>
    <x v="2"/>
    <x v="0"/>
    <d v="2023-07-02T00:00:00"/>
    <x v="8"/>
  </r>
  <r>
    <n v="603"/>
    <s v="65x25"/>
    <x v="1"/>
    <s v="Spayder_Stace"/>
    <s v="Rose"/>
    <s v="Lucas"/>
    <s v="Rudenko"/>
    <x v="1"/>
    <n v="29"/>
    <x v="0"/>
    <n v="1"/>
    <n v="2560"/>
    <n v="1110"/>
    <n v="2560"/>
    <n v="1450"/>
    <x v="9"/>
    <x v="3"/>
    <s v="Ukraine"/>
    <s v="Business"/>
    <s v="No"/>
    <x v="2"/>
    <x v="3"/>
    <d v="2023-08-25T00:00:00"/>
    <x v="3"/>
  </r>
  <r>
    <n v="604"/>
    <s v="40x60"/>
    <x v="1"/>
    <s v="Dog"/>
    <s v="White"/>
    <s v="Kristina"/>
    <s v="Savchenko"/>
    <x v="0"/>
    <n v="60"/>
    <x v="2"/>
    <n v="5"/>
    <n v="2960"/>
    <n v="1745"/>
    <n v="14800"/>
    <n v="6075"/>
    <x v="7"/>
    <x v="0"/>
    <s v="Ukraine"/>
    <s v="Business"/>
    <s v="No"/>
    <x v="4"/>
    <x v="1"/>
    <d v="2023-09-30T00:00:00"/>
    <x v="2"/>
  </r>
  <r>
    <n v="605"/>
    <s v="120x80"/>
    <x v="1"/>
    <s v="Map Ridni"/>
    <s v="Red"/>
    <s v="Henry"/>
    <s v="Hrytsenko"/>
    <x v="1"/>
    <n v="33"/>
    <x v="0"/>
    <n v="2"/>
    <n v="5600"/>
    <n v="3510"/>
    <n v="11200"/>
    <n v="4180"/>
    <x v="26"/>
    <x v="3"/>
    <s v="Ukraine"/>
    <s v="Business"/>
    <s v="No"/>
    <x v="0"/>
    <x v="0"/>
    <d v="2023-06-08T00:00:00"/>
    <x v="6"/>
  </r>
  <r>
    <n v="606"/>
    <s v="78x98"/>
    <x v="1"/>
    <s v="vandal vape"/>
    <s v="Green"/>
    <s v="Taras"/>
    <s v="Polishchuk"/>
    <x v="1"/>
    <n v="22"/>
    <x v="0"/>
    <n v="3"/>
    <n v="8220"/>
    <n v="4260"/>
    <n v="24660"/>
    <n v="11880"/>
    <x v="22"/>
    <x v="4"/>
    <s v="Ukraine"/>
    <s v="Business"/>
    <s v="No"/>
    <x v="6"/>
    <x v="2"/>
    <d v="2023-06-11T00:00:00"/>
    <x v="6"/>
  </r>
  <r>
    <n v="607"/>
    <s v="25x25"/>
    <x v="0"/>
    <s v="Qr code"/>
    <s v="Yellow"/>
    <s v="Alexander"/>
    <s v="Tymoshenko"/>
    <x v="1"/>
    <n v="47"/>
    <x v="1"/>
    <n v="4"/>
    <n v="1190"/>
    <n v="650"/>
    <n v="4760"/>
    <n v="2160"/>
    <x v="25"/>
    <x v="3"/>
    <s v="Ukraine"/>
    <s v="Business"/>
    <s v="No"/>
    <x v="7"/>
    <x v="3"/>
    <d v="2023-08-30T00:00:00"/>
    <x v="3"/>
  </r>
  <r>
    <n v="608"/>
    <s v="20x20"/>
    <x v="1"/>
    <s v="Socks"/>
    <s v="Red"/>
    <s v="Karina"/>
    <s v="Kostenko"/>
    <x v="0"/>
    <n v="55"/>
    <x v="2"/>
    <n v="1"/>
    <n v="1220"/>
    <n v="260"/>
    <n v="1220"/>
    <n v="960"/>
    <x v="5"/>
    <x v="3"/>
    <s v="Ukraine"/>
    <s v="Business"/>
    <s v="No"/>
    <x v="1"/>
    <x v="1"/>
    <d v="2023-02-16T00:00:00"/>
    <x v="1"/>
  </r>
  <r>
    <n v="609"/>
    <s v="50x15"/>
    <x v="1"/>
    <s v="playstation"/>
    <s v="Black"/>
    <s v="Daniel"/>
    <s v="Zakharchenko"/>
    <x v="1"/>
    <n v="36"/>
    <x v="1"/>
    <n v="5"/>
    <n v="1990"/>
    <n v="865"/>
    <n v="9950"/>
    <n v="5625"/>
    <x v="22"/>
    <x v="4"/>
    <s v="Ukraine"/>
    <s v="Business"/>
    <s v="No"/>
    <x v="1"/>
    <x v="2"/>
    <d v="2023-06-06T00:00:00"/>
    <x v="6"/>
  </r>
  <r>
    <n v="610"/>
    <s v="65x25"/>
    <x v="1"/>
    <s v="Devil may cry"/>
    <s v="Green"/>
    <s v="Gosha"/>
    <s v="Denysenko"/>
    <x v="1"/>
    <n v="28"/>
    <x v="0"/>
    <n v="3"/>
    <n v="3260"/>
    <n v="1220"/>
    <n v="9780"/>
    <n v="6120"/>
    <x v="16"/>
    <x v="3"/>
    <s v="Ukraine"/>
    <s v="Business"/>
    <s v="No"/>
    <x v="3"/>
    <x v="0"/>
    <d v="2023-05-08T00:00:00"/>
    <x v="11"/>
  </r>
  <r>
    <n v="611"/>
    <s v="50x25"/>
    <x v="1"/>
    <s v="mafia"/>
    <s v="Green"/>
    <s v="Michael"/>
    <s v="Ivanenko"/>
    <x v="1"/>
    <n v="50"/>
    <x v="2"/>
    <n v="2"/>
    <n v="1870"/>
    <n v="870"/>
    <n v="3740"/>
    <n v="2000"/>
    <x v="41"/>
    <x v="0"/>
    <s v="Ukraine"/>
    <s v="Business"/>
    <s v="No"/>
    <x v="2"/>
    <x v="3"/>
    <d v="2023-05-26T00:00:00"/>
    <x v="11"/>
  </r>
  <r>
    <n v="612"/>
    <s v="110x40"/>
    <x v="1"/>
    <s v="permanent lash studio"/>
    <s v="Yellow"/>
    <s v="Gregory"/>
    <s v="Oliynyk"/>
    <x v="1"/>
    <n v="39"/>
    <x v="1"/>
    <n v="4"/>
    <n v="5150"/>
    <n v="2120"/>
    <n v="20600"/>
    <n v="12120"/>
    <x v="23"/>
    <x v="4"/>
    <s v="Ukraine"/>
    <s v="Business"/>
    <s v="No"/>
    <x v="5"/>
    <x v="1"/>
    <d v="2023-08-21T00:00:00"/>
    <x v="3"/>
  </r>
  <r>
    <n v="613"/>
    <s v="120x30"/>
    <x v="1"/>
    <s v="Black Jack"/>
    <s v="Red"/>
    <s v="Ethan"/>
    <s v="Shevchenko"/>
    <x v="1"/>
    <n v="31"/>
    <x v="0"/>
    <n v="1"/>
    <n v="3600"/>
    <n v="2300"/>
    <n v="3600"/>
    <n v="1300"/>
    <x v="0"/>
    <x v="0"/>
    <s v="Ukraine"/>
    <s v="Business"/>
    <s v="No"/>
    <x v="2"/>
    <x v="0"/>
    <d v="2023-08-13T00:00:00"/>
    <x v="3"/>
  </r>
  <r>
    <n v="614"/>
    <s v="40x22"/>
    <x v="1"/>
    <s v="squirrels bag"/>
    <s v="Red"/>
    <s v="Milana"/>
    <s v="Kovalenko"/>
    <x v="0"/>
    <n v="44"/>
    <x v="1"/>
    <n v="5"/>
    <n v="2760"/>
    <n v="1080"/>
    <n v="13800"/>
    <n v="8400"/>
    <x v="28"/>
    <x v="2"/>
    <s v="Ukraine"/>
    <s v="Business"/>
    <s v="No"/>
    <x v="6"/>
    <x v="2"/>
    <d v="2023-08-03T00:00:00"/>
    <x v="3"/>
  </r>
  <r>
    <n v="615"/>
    <s v="53х60"/>
    <x v="1"/>
    <s v="Interior"/>
    <s v="Rose"/>
    <s v="Jacob"/>
    <s v="Bondarenko"/>
    <x v="1"/>
    <n v="26"/>
    <x v="0"/>
    <n v="2"/>
    <n v="4210"/>
    <n v="2050"/>
    <n v="8420"/>
    <n v="4320"/>
    <x v="29"/>
    <x v="0"/>
    <s v="Ukraine"/>
    <s v="Business"/>
    <s v="No"/>
    <x v="6"/>
    <x v="3"/>
    <d v="2023-05-10T00:00:00"/>
    <x v="11"/>
  </r>
  <r>
    <n v="616"/>
    <s v="90x15"/>
    <x v="1"/>
    <s v="My body"/>
    <s v="White"/>
    <s v="Roman"/>
    <s v="Tkachenko"/>
    <x v="1"/>
    <n v="48"/>
    <x v="1"/>
    <n v="3"/>
    <n v="3797"/>
    <n v="1270"/>
    <n v="11391"/>
    <n v="7581"/>
    <x v="23"/>
    <x v="4"/>
    <s v="Ukraine"/>
    <s v="Business"/>
    <s v="No"/>
    <x v="0"/>
    <x v="1"/>
    <d v="2023-09-12T00:00:00"/>
    <x v="2"/>
  </r>
  <r>
    <n v="617"/>
    <s v="75x15"/>
    <x v="1"/>
    <s v="I go on vaxin"/>
    <s v="Green"/>
    <s v="Matthew"/>
    <s v="Kravchenko"/>
    <x v="1"/>
    <n v="53"/>
    <x v="2"/>
    <n v="4"/>
    <n v="2757"/>
    <n v="1130"/>
    <n v="11028"/>
    <n v="6508"/>
    <x v="18"/>
    <x v="3"/>
    <s v="Ukraine"/>
    <s v="Business"/>
    <s v="No"/>
    <x v="0"/>
    <x v="2"/>
    <d v="2023-09-06T00:00:00"/>
    <x v="2"/>
  </r>
  <r>
    <n v="618"/>
    <s v="70х27"/>
    <x v="1"/>
    <s v="Stomatology"/>
    <s v="Green"/>
    <s v="Galyna"/>
    <s v="Boyko"/>
    <x v="0"/>
    <n v="30"/>
    <x v="0"/>
    <n v="1"/>
    <n v="4220"/>
    <n v="1500"/>
    <n v="4220"/>
    <n v="2720"/>
    <x v="40"/>
    <x v="3"/>
    <s v="Ukraine"/>
    <s v="Business"/>
    <s v="No"/>
    <x v="7"/>
    <x v="0"/>
    <d v="2023-02-12T00:00:00"/>
    <x v="1"/>
  </r>
  <r>
    <n v="619"/>
    <s v="40x25"/>
    <x v="1"/>
    <s v="Play station "/>
    <s v="Rose"/>
    <s v="Volodymyr"/>
    <s v="Kovalchuk"/>
    <x v="1"/>
    <n v="37"/>
    <x v="1"/>
    <n v="5"/>
    <n v="1720"/>
    <n v="760"/>
    <n v="8600"/>
    <n v="4800"/>
    <x v="26"/>
    <x v="3"/>
    <s v="Ukraine"/>
    <s v="Business"/>
    <s v="No"/>
    <x v="4"/>
    <x v="3"/>
    <d v="2023-03-19T00:00:00"/>
    <x v="0"/>
  </r>
  <r>
    <n v="620"/>
    <s v="40x13"/>
    <x v="1"/>
    <s v="Cockteils"/>
    <s v="Red"/>
    <s v="Vitaliaa"/>
    <s v="Melnyk"/>
    <x v="0"/>
    <n v="42"/>
    <x v="1"/>
    <n v="3"/>
    <n v="1660"/>
    <n v="820"/>
    <n v="4980"/>
    <n v="2520"/>
    <x v="14"/>
    <x v="3"/>
    <s v="Ukraine"/>
    <s v="Business"/>
    <s v="No"/>
    <x v="3"/>
    <x v="1"/>
    <d v="2023-08-20T00:00:00"/>
    <x v="3"/>
  </r>
  <r>
    <n v="621"/>
    <s v="50x14"/>
    <x v="1"/>
    <s v="Chears"/>
    <s v="White"/>
    <s v="Vitalia"/>
    <s v="Marchenko"/>
    <x v="0"/>
    <n v="24"/>
    <x v="0"/>
    <n v="2"/>
    <n v="1970"/>
    <n v="1150"/>
    <n v="3940"/>
    <n v="1640"/>
    <x v="29"/>
    <x v="0"/>
    <s v="Ukraine"/>
    <s v="Business"/>
    <s v="No"/>
    <x v="6"/>
    <x v="0"/>
    <d v="2023-01-23T00:00:00"/>
    <x v="4"/>
  </r>
  <r>
    <n v="622"/>
    <s v="60x20"/>
    <x v="1"/>
    <s v="colorupgrade"/>
    <s v="Rose"/>
    <s v="Vitaliaa"/>
    <s v="Lysenko"/>
    <x v="0"/>
    <n v="57"/>
    <x v="2"/>
    <n v="4"/>
    <n v="2320"/>
    <n v="1200"/>
    <n v="9280"/>
    <n v="4480"/>
    <x v="37"/>
    <x v="4"/>
    <s v="Ukraine"/>
    <s v="Business"/>
    <s v="No"/>
    <x v="2"/>
    <x v="2"/>
    <d v="2023-11-07T00:00:00"/>
    <x v="5"/>
  </r>
  <r>
    <n v="623"/>
    <s v="25х170"/>
    <x v="1"/>
    <s v="Flowers"/>
    <s v="White"/>
    <s v="Vitalia"/>
    <s v="Rudenko"/>
    <x v="0"/>
    <n v="35"/>
    <x v="0"/>
    <n v="1"/>
    <n v="4340"/>
    <n v="2000"/>
    <n v="4340"/>
    <n v="2340"/>
    <x v="40"/>
    <x v="3"/>
    <s v="Ukraine"/>
    <s v="Business"/>
    <s v="No"/>
    <x v="0"/>
    <x v="3"/>
    <d v="2023-06-05T00:00:00"/>
    <x v="6"/>
  </r>
  <r>
    <n v="624"/>
    <s v="95х100"/>
    <x v="1"/>
    <s v="Crepes"/>
    <s v="Red"/>
    <s v="Kateryna"/>
    <s v="Savchenko"/>
    <x v="0"/>
    <n v="40"/>
    <x v="1"/>
    <n v="5"/>
    <n v="10430"/>
    <n v="5762"/>
    <n v="52150"/>
    <n v="23340"/>
    <x v="29"/>
    <x v="0"/>
    <s v="Ukraine"/>
    <s v="Business"/>
    <s v="No"/>
    <x v="6"/>
    <x v="1"/>
    <d v="2023-09-05T00:00:00"/>
    <x v="2"/>
  </r>
  <r>
    <n v="625"/>
    <s v="30х30"/>
    <x v="1"/>
    <s v="qr code"/>
    <s v="Rose"/>
    <s v="Segey"/>
    <s v="Hrytsenko"/>
    <x v="1"/>
    <n v="21"/>
    <x v="0"/>
    <n v="2"/>
    <n v="1600"/>
    <n v="1153"/>
    <n v="3200"/>
    <n v="894"/>
    <x v="6"/>
    <x v="1"/>
    <s v="Ukraine"/>
    <s v="Business"/>
    <s v="No"/>
    <x v="1"/>
    <x v="2"/>
    <d v="2023-07-22T00:00:00"/>
    <x v="8"/>
  </r>
  <r>
    <n v="626"/>
    <s v="40х15"/>
    <x v="1"/>
    <s v="zbrod"/>
    <s v="White"/>
    <s v="Fedir"/>
    <s v="Polishchuk"/>
    <x v="1"/>
    <n v="59"/>
    <x v="2"/>
    <n v="3"/>
    <n v="1790"/>
    <n v="790"/>
    <n v="5370"/>
    <n v="3000"/>
    <x v="43"/>
    <x v="4"/>
    <s v="Ukraine"/>
    <s v="Business"/>
    <s v="No"/>
    <x v="0"/>
    <x v="0"/>
    <d v="2023-04-27T00:00:00"/>
    <x v="7"/>
  </r>
  <r>
    <n v="627"/>
    <s v="70х70"/>
    <x v="1"/>
    <s v="qr code"/>
    <s v="Red"/>
    <s v="Dmytro"/>
    <s v="Tymoshenko"/>
    <x v="1"/>
    <n v="32"/>
    <x v="0"/>
    <n v="4"/>
    <n v="5010"/>
    <n v="3590"/>
    <n v="20040"/>
    <n v="5680"/>
    <x v="34"/>
    <x v="1"/>
    <s v="Ukraine"/>
    <s v="Business"/>
    <s v="No"/>
    <x v="4"/>
    <x v="3"/>
    <d v="2023-01-12T00:00:00"/>
    <x v="4"/>
  </r>
  <r>
    <n v="628"/>
    <s v="105x35"/>
    <x v="1"/>
    <s v="Coffee and gotdog"/>
    <s v="Green"/>
    <s v="Katerina"/>
    <s v="Kostenko"/>
    <x v="0"/>
    <n v="46"/>
    <x v="1"/>
    <n v="1"/>
    <n v="4200"/>
    <n v="1900"/>
    <n v="4200"/>
    <n v="2300"/>
    <x v="21"/>
    <x v="3"/>
    <s v="Ukraine"/>
    <s v="Business"/>
    <s v="No"/>
    <x v="2"/>
    <x v="1"/>
    <d v="2023-10-26T00:00:00"/>
    <x v="9"/>
  </r>
  <r>
    <n v="630"/>
    <s v="70х20"/>
    <x v="1"/>
    <s v="Asian"/>
    <s v="Red"/>
    <s v="Volodya"/>
    <s v="Zakharchenko"/>
    <x v="1"/>
    <n v="54"/>
    <x v="2"/>
    <n v="5"/>
    <n v="4150"/>
    <n v="1370"/>
    <n v="20750"/>
    <n v="13900"/>
    <x v="43"/>
    <x v="4"/>
    <s v="Ukraine"/>
    <s v="Business"/>
    <s v="No"/>
    <x v="4"/>
    <x v="0"/>
    <d v="2023-10-24T00:00:00"/>
    <x v="9"/>
  </r>
  <r>
    <n v="631"/>
    <s v="75х67"/>
    <x v="1"/>
    <s v="Bull"/>
    <s v="Yellow"/>
    <s v="Dmytro"/>
    <s v="Denysenko"/>
    <x v="1"/>
    <n v="25"/>
    <x v="0"/>
    <n v="3"/>
    <n v="3700"/>
    <n v="1850"/>
    <n v="11100"/>
    <n v="5550"/>
    <x v="11"/>
    <x v="2"/>
    <s v="Ukraine"/>
    <s v="Business"/>
    <s v="No"/>
    <x v="0"/>
    <x v="2"/>
    <d v="2023-09-27T00:00:00"/>
    <x v="2"/>
  </r>
  <r>
    <n v="632"/>
    <s v="150x40"/>
    <x v="1"/>
    <s v="Kosmos food"/>
    <s v="Rose"/>
    <s v="Katerina"/>
    <s v="Ivanenko"/>
    <x v="0"/>
    <n v="43"/>
    <x v="1"/>
    <n v="2"/>
    <n v="9630"/>
    <n v="4200"/>
    <n v="19260"/>
    <n v="10860"/>
    <x v="27"/>
    <x v="0"/>
    <s v="Ukraine"/>
    <s v="Business"/>
    <s v="No"/>
    <x v="1"/>
    <x v="3"/>
    <d v="2023-08-04T00:00:00"/>
    <x v="3"/>
  </r>
  <r>
    <n v="633"/>
    <s v="70x70"/>
    <x v="1"/>
    <s v="twinhouse"/>
    <s v="Yellow"/>
    <s v="Andrei"/>
    <s v="Oliynyk"/>
    <x v="1"/>
    <n v="58"/>
    <x v="2"/>
    <n v="4"/>
    <n v="4680"/>
    <n v="2600"/>
    <n v="18720"/>
    <n v="8320"/>
    <x v="16"/>
    <x v="3"/>
    <s v="Ukraine"/>
    <s v="Business"/>
    <s v="No"/>
    <x v="5"/>
    <x v="1"/>
    <d v="2023-09-03T00:00:00"/>
    <x v="2"/>
  </r>
  <r>
    <n v="634"/>
    <s v="130x19"/>
    <x v="1"/>
    <s v="Between us coffee"/>
    <s v="Red"/>
    <s v="Olya"/>
    <s v="Shevchenko"/>
    <x v="0"/>
    <n v="20"/>
    <x v="0"/>
    <n v="1"/>
    <n v="3660"/>
    <n v="1840"/>
    <n v="3660"/>
    <n v="1820"/>
    <x v="20"/>
    <x v="0"/>
    <s v="Ukraine"/>
    <s v="Business"/>
    <s v="No"/>
    <x v="0"/>
    <x v="2"/>
    <d v="2023-02-27T00:00:00"/>
    <x v="1"/>
  </r>
  <r>
    <n v="635"/>
    <s v="50x53"/>
    <x v="1"/>
    <s v="You are wow"/>
    <s v="Red"/>
    <s v="Olenka"/>
    <s v="Kovalenko"/>
    <x v="0"/>
    <n v="49"/>
    <x v="1"/>
    <n v="5"/>
    <n v="2975"/>
    <n v="1700"/>
    <n v="14875"/>
    <n v="6375"/>
    <x v="42"/>
    <x v="0"/>
    <s v="Ukraine"/>
    <s v="Business"/>
    <s v="No"/>
    <x v="6"/>
    <x v="0"/>
    <d v="2023-02-22T00:00:00"/>
    <x v="1"/>
  </r>
  <r>
    <n v="636"/>
    <s v="87x27"/>
    <x v="1"/>
    <s v="Coffee"/>
    <s v="Rose"/>
    <s v="Sergii"/>
    <s v="Bondarenko"/>
    <x v="1"/>
    <n v="25"/>
    <x v="0"/>
    <n v="2"/>
    <n v="2585"/>
    <n v="1280"/>
    <n v="5170"/>
    <n v="2610"/>
    <x v="6"/>
    <x v="1"/>
    <s v="Ukraine"/>
    <s v="Business"/>
    <s v="No"/>
    <x v="4"/>
    <x v="3"/>
    <d v="2023-10-22T00:00:00"/>
    <x v="9"/>
  </r>
  <r>
    <n v="637"/>
    <s v="70х17"/>
    <x v="1"/>
    <s v="You can do it"/>
    <s v="White"/>
    <s v="Nadii"/>
    <s v="Tkachenko"/>
    <x v="0"/>
    <n v="31"/>
    <x v="0"/>
    <n v="3"/>
    <n v="2590"/>
    <n v="890"/>
    <n v="7770"/>
    <n v="5100"/>
    <x v="3"/>
    <x v="0"/>
    <s v="Ukraine"/>
    <s v="Business"/>
    <s v="No"/>
    <x v="3"/>
    <x v="1"/>
    <d v="2023-06-15T00:00:00"/>
    <x v="6"/>
  </r>
  <r>
    <n v="638"/>
    <s v="80х11"/>
    <x v="1"/>
    <s v="Gosips"/>
    <s v="Green"/>
    <s v="Yana"/>
    <s v="Kravchenko"/>
    <x v="0"/>
    <n v="56"/>
    <x v="2"/>
    <n v="4"/>
    <n v="2930"/>
    <n v="1130"/>
    <n v="11720"/>
    <n v="7200"/>
    <x v="22"/>
    <x v="4"/>
    <s v="Ukraine"/>
    <s v="Business"/>
    <s v="No"/>
    <x v="2"/>
    <x v="0"/>
    <d v="2023-11-01T00:00:00"/>
    <x v="5"/>
  </r>
  <r>
    <n v="639"/>
    <s v="55х12"/>
    <x v="1"/>
    <s v="Do you wanna coffee"/>
    <s v="Green"/>
    <s v="Yand"/>
    <s v="Boyko"/>
    <x v="0"/>
    <n v="42"/>
    <x v="1"/>
    <n v="1"/>
    <n v="2465"/>
    <n v="850"/>
    <n v="2465"/>
    <n v="1615"/>
    <x v="11"/>
    <x v="2"/>
    <s v="Ukraine"/>
    <s v="Business"/>
    <s v="No"/>
    <x v="6"/>
    <x v="2"/>
    <d v="2023-12-29T00:00:00"/>
    <x v="10"/>
  </r>
  <r>
    <n v="640"/>
    <s v="158x168"/>
    <x v="1"/>
    <s v="Mickey ZBS CAR"/>
    <s v="Rose"/>
    <s v="Maria"/>
    <s v="Kovalchuk"/>
    <x v="0"/>
    <n v="34"/>
    <x v="0"/>
    <n v="5"/>
    <n v="20840"/>
    <n v="12500"/>
    <n v="104200"/>
    <n v="41700"/>
    <x v="19"/>
    <x v="3"/>
    <s v="Ukraine"/>
    <s v="Business"/>
    <s v="No"/>
    <x v="5"/>
    <x v="3"/>
    <d v="2023-07-24T00:00:00"/>
    <x v="8"/>
  </r>
  <r>
    <n v="641"/>
    <s v="190x40"/>
    <x v="1"/>
    <s v="Mickey ZBS CAR"/>
    <s v="Red"/>
    <s v="Fedir"/>
    <s v="Melnyk"/>
    <x v="1"/>
    <n v="23"/>
    <x v="0"/>
    <n v="3"/>
    <n v="20840"/>
    <n v="12500"/>
    <n v="62520"/>
    <n v="25020"/>
    <x v="33"/>
    <x v="1"/>
    <s v="Ukraine"/>
    <s v="Business"/>
    <s v="No"/>
    <x v="1"/>
    <x v="1"/>
    <d v="2023-09-04T00:00:00"/>
    <x v="2"/>
  </r>
  <r>
    <n v="642"/>
    <s v="58x74"/>
    <x v="1"/>
    <s v="vandal vape"/>
    <s v="White"/>
    <s v="Dmytro"/>
    <s v="Marchenko"/>
    <x v="1"/>
    <n v="56"/>
    <x v="2"/>
    <n v="2"/>
    <n v="6130"/>
    <n v="3650"/>
    <n v="12260"/>
    <n v="4960"/>
    <x v="12"/>
    <x v="2"/>
    <s v="Ukraine"/>
    <s v="Business"/>
    <s v="No"/>
    <x v="5"/>
    <x v="2"/>
    <d v="2023-11-02T00:00:00"/>
    <x v="5"/>
  </r>
  <r>
    <n v="643"/>
    <s v="50х27"/>
    <x v="1"/>
    <s v="Make me photo"/>
    <s v="Rose"/>
    <s v="Katerina"/>
    <s v="Lysenko"/>
    <x v="0"/>
    <n v="24"/>
    <x v="0"/>
    <n v="4"/>
    <n v="2850"/>
    <n v="1150"/>
    <n v="11400"/>
    <n v="6800"/>
    <x v="9"/>
    <x v="3"/>
    <s v="Ukraine"/>
    <s v="Business"/>
    <s v="No"/>
    <x v="7"/>
    <x v="0"/>
    <d v="2023-08-31T00:00:00"/>
    <x v="3"/>
  </r>
  <r>
    <n v="645"/>
    <s v="25x31"/>
    <x v="1"/>
    <s v="qr code"/>
    <s v="White"/>
    <s v="Volodya"/>
    <s v="Rudenko"/>
    <x v="1"/>
    <n v="64"/>
    <x v="2"/>
    <n v="1"/>
    <n v="1190"/>
    <n v="650"/>
    <n v="1190"/>
    <n v="540"/>
    <x v="28"/>
    <x v="2"/>
    <s v="Ukraine"/>
    <s v="Business"/>
    <s v="No"/>
    <x v="5"/>
    <x v="3"/>
    <d v="2023-02-20T00:00:00"/>
    <x v="1"/>
  </r>
  <r>
    <n v="646"/>
    <s v="44x57"/>
    <x v="1"/>
    <s v="vandal vape"/>
    <s v="Red"/>
    <s v="Nazar"/>
    <s v="Savchenko"/>
    <x v="1"/>
    <n v="64"/>
    <x v="2"/>
    <n v="5"/>
    <n v="5430"/>
    <n v="2950"/>
    <n v="27150"/>
    <n v="12400"/>
    <x v="19"/>
    <x v="3"/>
    <s v="Ukraine"/>
    <s v="Business"/>
    <s v="No"/>
    <x v="0"/>
    <x v="1"/>
    <d v="2023-02-16T00:00:00"/>
    <x v="1"/>
  </r>
  <r>
    <n v="647"/>
    <s v="65x45"/>
    <x v="1"/>
    <s v="Happy birthday"/>
    <s v="Rose"/>
    <s v="Ava"/>
    <s v="Hrytsenko"/>
    <x v="0"/>
    <n v="23"/>
    <x v="0"/>
    <n v="2"/>
    <n v="3320"/>
    <n v="1850"/>
    <n v="6640"/>
    <n v="2940"/>
    <x v="20"/>
    <x v="0"/>
    <s v="Ukraine"/>
    <s v="Business"/>
    <s v="No"/>
    <x v="2"/>
    <x v="0"/>
    <d v="2023-02-20T00:00:00"/>
    <x v="1"/>
  </r>
  <r>
    <n v="648"/>
    <s v="80х27"/>
    <x v="1"/>
    <s v="Your smile"/>
    <s v="White"/>
    <s v="Ben"/>
    <s v="Polishchuk"/>
    <x v="1"/>
    <n v="19"/>
    <x v="0"/>
    <n v="3"/>
    <n v="4390"/>
    <n v="1790"/>
    <n v="13170"/>
    <n v="7800"/>
    <x v="33"/>
    <x v="1"/>
    <s v="Ukraine"/>
    <s v="Business"/>
    <s v="No"/>
    <x v="0"/>
    <x v="2"/>
    <d v="2023-12-31T00:00:00"/>
    <x v="10"/>
  </r>
  <r>
    <n v="650"/>
    <s v="137x71"/>
    <x v="1"/>
    <s v="andrvet"/>
    <s v="Red"/>
    <s v="Isabella"/>
    <s v="Tymoshenko"/>
    <x v="0"/>
    <n v="21"/>
    <x v="0"/>
    <n v="4"/>
    <n v="5400"/>
    <n v="3900"/>
    <n v="21600"/>
    <n v="6000"/>
    <x v="1"/>
    <x v="1"/>
    <s v="Ukraine"/>
    <s v="Business"/>
    <s v="No"/>
    <x v="6"/>
    <x v="3"/>
    <d v="2023-06-01T00:00:00"/>
    <x v="6"/>
  </r>
  <r>
    <n v="651"/>
    <s v="90x35"/>
    <x v="1"/>
    <s v="mariamchic tattoo"/>
    <s v="Rose"/>
    <s v="Benedict"/>
    <s v="Kostenko"/>
    <x v="1"/>
    <n v="56"/>
    <x v="2"/>
    <n v="1"/>
    <n v="3890"/>
    <n v="1690"/>
    <n v="3890"/>
    <n v="2200"/>
    <x v="30"/>
    <x v="0"/>
    <s v="Ukraine"/>
    <s v="Business"/>
    <s v="No"/>
    <x v="4"/>
    <x v="1"/>
    <d v="2023-04-16T00:00:00"/>
    <x v="7"/>
  </r>
  <r>
    <n v="652"/>
    <s v="137x88"/>
    <x v="1"/>
    <s v="Sunny deserts"/>
    <s v="White"/>
    <s v="Mia"/>
    <s v="Zakharchenko"/>
    <x v="0"/>
    <n v="34"/>
    <x v="0"/>
    <n v="5"/>
    <n v="6620"/>
    <n v="4050"/>
    <n v="33100"/>
    <n v="12850"/>
    <x v="19"/>
    <x v="3"/>
    <s v="Ukraine"/>
    <s v="Business"/>
    <s v="No"/>
    <x v="6"/>
    <x v="2"/>
    <d v="2023-06-18T00:00:00"/>
    <x v="6"/>
  </r>
  <r>
    <n v="653"/>
    <s v="60x20"/>
    <x v="1"/>
    <s v="Nails"/>
    <s v="Red"/>
    <s v="Gregory"/>
    <s v="Denysenko"/>
    <x v="1"/>
    <n v="64"/>
    <x v="2"/>
    <n v="5"/>
    <n v="700"/>
    <n v="300"/>
    <n v="3500"/>
    <n v="2000"/>
    <x v="36"/>
    <x v="0"/>
    <s v="Ukraine"/>
    <s v="Business"/>
    <s v="No"/>
    <x v="5"/>
    <x v="0"/>
    <d v="2023-07-07T00:00:00"/>
    <x v="8"/>
  </r>
  <r>
    <n v="654"/>
    <s v="140x55"/>
    <x v="1"/>
    <s v="lerros beauty studio"/>
    <s v="Rose"/>
    <s v="Harper"/>
    <s v="Ivanenko"/>
    <x v="1"/>
    <n v="78"/>
    <x v="2"/>
    <n v="3"/>
    <n v="6920"/>
    <n v="3750"/>
    <n v="20760"/>
    <n v="9510"/>
    <x v="15"/>
    <x v="0"/>
    <s v="Ukraine"/>
    <s v="Business"/>
    <s v="No"/>
    <x v="5"/>
    <x v="3"/>
    <d v="2023-12-17T00:00:00"/>
    <x v="10"/>
  </r>
  <r>
    <n v="655"/>
    <s v="140x27"/>
    <x v="1"/>
    <s v="salon urody"/>
    <s v="Red"/>
    <s v="Vika"/>
    <s v="Oliynyk"/>
    <x v="0"/>
    <n v="54"/>
    <x v="2"/>
    <n v="2"/>
    <n v="4510"/>
    <n v="2550"/>
    <n v="9020"/>
    <n v="3920"/>
    <x v="7"/>
    <x v="0"/>
    <s v="Ukraine"/>
    <s v="Business"/>
    <s v="No"/>
    <x v="5"/>
    <x v="1"/>
    <d v="2023-07-21T00:00:00"/>
    <x v="8"/>
  </r>
  <r>
    <n v="656"/>
    <s v="60x20"/>
    <x v="1"/>
    <s v="Lemon"/>
    <s v="Rose"/>
    <s v="Evelyn"/>
    <s v="Shevchenko"/>
    <x v="0"/>
    <n v="32"/>
    <x v="0"/>
    <n v="4"/>
    <n v="3910"/>
    <n v="3120"/>
    <n v="15640"/>
    <n v="3160"/>
    <x v="30"/>
    <x v="0"/>
    <s v="Ukraine"/>
    <s v="Business"/>
    <s v="No"/>
    <x v="6"/>
    <x v="0"/>
    <d v="2023-03-22T00:00:00"/>
    <x v="0"/>
  </r>
  <r>
    <n v="657"/>
    <s v="80x15"/>
    <x v="1"/>
    <s v="anna_lash_paris"/>
    <s v="White"/>
    <s v="Kate"/>
    <s v="Kovalenko"/>
    <x v="0"/>
    <n v="24"/>
    <x v="0"/>
    <n v="1"/>
    <n v="3450"/>
    <n v="1050"/>
    <n v="3450"/>
    <n v="2400"/>
    <x v="42"/>
    <x v="0"/>
    <s v="Ukraine"/>
    <s v="Business"/>
    <s v="No"/>
    <x v="4"/>
    <x v="2"/>
    <d v="2023-03-13T00:00:00"/>
    <x v="0"/>
  </r>
  <r>
    <n v="658"/>
    <s v="60x75"/>
    <x v="1"/>
    <s v="the art of everyday life"/>
    <s v="Green"/>
    <s v="Abigail"/>
    <s v="Bondarenko"/>
    <x v="0"/>
    <n v="57"/>
    <x v="2"/>
    <n v="5"/>
    <n v="5570"/>
    <n v="2470"/>
    <n v="27850"/>
    <n v="15500"/>
    <x v="37"/>
    <x v="4"/>
    <s v="Ukraine"/>
    <s v="Business"/>
    <s v="No"/>
    <x v="3"/>
    <x v="3"/>
    <d v="2023-01-05T00:00:00"/>
    <x v="4"/>
  </r>
  <r>
    <n v="659"/>
    <s v="60x20"/>
    <x v="1"/>
    <s v="Peppers"/>
    <s v="Green"/>
    <s v="Emily"/>
    <s v="Tkachenko"/>
    <x v="0"/>
    <n v="35"/>
    <x v="0"/>
    <n v="2"/>
    <n v="1200"/>
    <n v="550"/>
    <n v="2400"/>
    <n v="1300"/>
    <x v="12"/>
    <x v="2"/>
    <s v="Ukraine"/>
    <s v="Business"/>
    <s v="No"/>
    <x v="4"/>
    <x v="1"/>
    <d v="2023-10-15T00:00:00"/>
    <x v="9"/>
  </r>
  <r>
    <n v="660"/>
    <s v="75x115"/>
    <x v="1"/>
    <s v="Hookah "/>
    <s v="Green"/>
    <s v="Emily"/>
    <s v="Kravchenko"/>
    <x v="0"/>
    <n v="40"/>
    <x v="1"/>
    <n v="3"/>
    <n v="11900"/>
    <n v="4960"/>
    <n v="35700"/>
    <n v="20820"/>
    <x v="26"/>
    <x v="3"/>
    <s v="Ukraine"/>
    <s v="Business"/>
    <s v="No"/>
    <x v="1"/>
    <x v="2"/>
    <d v="2023-06-01T00:00:00"/>
    <x v="6"/>
  </r>
  <r>
    <n v="661"/>
    <s v="105x75"/>
    <x v="1"/>
    <s v="lubko stasiv and shahid"/>
    <s v="Rose"/>
    <s v="Vlad"/>
    <s v="Boyko"/>
    <x v="1"/>
    <n v="21"/>
    <x v="0"/>
    <n v="4"/>
    <n v="7030"/>
    <n v="4430"/>
    <n v="28120"/>
    <n v="10400"/>
    <x v="0"/>
    <x v="0"/>
    <s v="Ukraine"/>
    <s v="Business"/>
    <s v="No"/>
    <x v="6"/>
    <x v="0"/>
    <d v="2023-04-25T00:00:00"/>
    <x v="7"/>
  </r>
  <r>
    <n v="662"/>
    <s v="15x15"/>
    <x v="0"/>
    <s v="Qr code"/>
    <s v="Black"/>
    <s v="Elizabeth"/>
    <s v="Kovalchuk"/>
    <x v="0"/>
    <n v="59"/>
    <x v="2"/>
    <n v="1"/>
    <n v="3200"/>
    <n v="600"/>
    <n v="3200"/>
    <n v="2600"/>
    <x v="39"/>
    <x v="4"/>
    <s v="Ukraine"/>
    <s v="Business"/>
    <s v="No"/>
    <x v="1"/>
    <x v="3"/>
    <d v="2023-11-18T00:00:00"/>
    <x v="5"/>
  </r>
  <r>
    <n v="663"/>
    <s v="75x62"/>
    <x v="1"/>
    <s v="Amperd"/>
    <s v="White"/>
    <s v="Nazar"/>
    <s v="Melnyk"/>
    <x v="1"/>
    <n v="32"/>
    <x v="0"/>
    <n v="5"/>
    <n v="4600"/>
    <n v="2300"/>
    <n v="23000"/>
    <n v="11500"/>
    <x v="39"/>
    <x v="4"/>
    <s v="Ukraine"/>
    <s v="Business"/>
    <s v="No"/>
    <x v="7"/>
    <x v="1"/>
    <d v="2023-04-07T00:00:00"/>
    <x v="7"/>
  </r>
  <r>
    <n v="664"/>
    <s v="50x33"/>
    <x v="1"/>
    <s v="simpson"/>
    <s v="Rose"/>
    <s v="Scarlett"/>
    <s v="Marchenko"/>
    <x v="0"/>
    <n v="46"/>
    <x v="1"/>
    <n v="3"/>
    <n v="2240"/>
    <n v="1100"/>
    <n v="6720"/>
    <n v="3420"/>
    <x v="38"/>
    <x v="2"/>
    <s v="Ukraine"/>
    <s v="Business"/>
    <s v="No"/>
    <x v="5"/>
    <x v="0"/>
    <d v="2023-03-05T00:00:00"/>
    <x v="0"/>
  </r>
  <r>
    <n v="665"/>
    <s v="145х145"/>
    <x v="1"/>
    <s v="Forewer"/>
    <s v="White"/>
    <s v="Colin"/>
    <s v="Lysenko"/>
    <x v="1"/>
    <n v="54"/>
    <x v="2"/>
    <n v="2"/>
    <n v="16420"/>
    <n v="8500"/>
    <n v="32840"/>
    <n v="15840"/>
    <x v="15"/>
    <x v="0"/>
    <s v="Ukraine"/>
    <s v="Business"/>
    <s v="No"/>
    <x v="7"/>
    <x v="2"/>
    <d v="2023-06-20T00:00:00"/>
    <x v="6"/>
  </r>
  <r>
    <n v="666"/>
    <s v="100x35"/>
    <x v="1"/>
    <s v="peony beauty"/>
    <s v="Red"/>
    <s v="Victoria"/>
    <s v="Rudenko"/>
    <x v="0"/>
    <n v="25"/>
    <x v="0"/>
    <n v="4"/>
    <n v="3090"/>
    <n v="1550"/>
    <n v="12360"/>
    <n v="6160"/>
    <x v="30"/>
    <x v="0"/>
    <s v="Ukraine"/>
    <s v="Business"/>
    <s v="No"/>
    <x v="4"/>
    <x v="3"/>
    <d v="2023-01-30T00:00:00"/>
    <x v="4"/>
  </r>
  <r>
    <n v="667"/>
    <s v="120x35"/>
    <x v="1"/>
    <s v="Lamarch"/>
    <s v="Rose"/>
    <s v="Katalina"/>
    <s v="Savchenko"/>
    <x v="0"/>
    <n v="43"/>
    <x v="1"/>
    <n v="1"/>
    <n v="3950"/>
    <n v="2750"/>
    <n v="3950"/>
    <n v="1200"/>
    <x v="31"/>
    <x v="3"/>
    <s v="Ukraine"/>
    <s v="Business"/>
    <s v="No"/>
    <x v="6"/>
    <x v="1"/>
    <d v="2023-07-17T00:00:00"/>
    <x v="8"/>
  </r>
  <r>
    <n v="668"/>
    <s v="67x85"/>
    <x v="1"/>
    <s v="Vandal Vape"/>
    <s v="Red"/>
    <s v="Liam"/>
    <s v="Hrytsenko"/>
    <x v="1"/>
    <n v="58"/>
    <x v="2"/>
    <n v="5"/>
    <n v="6680"/>
    <n v="4150"/>
    <n v="33400"/>
    <n v="12650"/>
    <x v="11"/>
    <x v="2"/>
    <s v="Ukraine"/>
    <s v="Business"/>
    <s v="No"/>
    <x v="6"/>
    <x v="2"/>
    <d v="2023-12-29T00:00:00"/>
    <x v="10"/>
  </r>
  <r>
    <n v="669"/>
    <s v="75x32"/>
    <x v="1"/>
    <s v="Bufalo.ua"/>
    <s v="Rose"/>
    <s v="Vitalia"/>
    <s v="Polishchuk"/>
    <x v="0"/>
    <n v="20"/>
    <x v="0"/>
    <n v="2"/>
    <n v="3310"/>
    <n v="1277"/>
    <n v="6620"/>
    <n v="4066"/>
    <x v="28"/>
    <x v="2"/>
    <s v="Ukraine"/>
    <s v="Business"/>
    <s v="No"/>
    <x v="3"/>
    <x v="0"/>
    <d v="2023-11-07T00:00:00"/>
    <x v="5"/>
  </r>
  <r>
    <n v="670"/>
    <s v="80x47"/>
    <x v="1"/>
    <s v="baby esti wow"/>
    <s v="White"/>
    <s v="Noah"/>
    <s v="Tymoshenko"/>
    <x v="1"/>
    <n v="49"/>
    <x v="1"/>
    <n v="3"/>
    <n v="3790"/>
    <n v="1780"/>
    <n v="11370"/>
    <n v="6030"/>
    <x v="34"/>
    <x v="1"/>
    <s v="Ukraine"/>
    <s v="Business"/>
    <s v="No"/>
    <x v="4"/>
    <x v="3"/>
    <d v="2023-09-04T00:00:00"/>
    <x v="2"/>
  </r>
  <r>
    <n v="671"/>
    <s v="100x25"/>
    <x v="1"/>
    <s v="prosecco bar"/>
    <s v="Red"/>
    <s v="Denis"/>
    <s v="Kostenko"/>
    <x v="1"/>
    <n v="25"/>
    <x v="0"/>
    <n v="4"/>
    <n v="3990"/>
    <n v="2200"/>
    <n v="15960"/>
    <n v="7160"/>
    <x v="36"/>
    <x v="0"/>
    <s v="Ukraine"/>
    <s v="Business"/>
    <s v="No"/>
    <x v="3"/>
    <x v="1"/>
    <d v="2023-03-16T00:00:00"/>
    <x v="0"/>
  </r>
  <r>
    <n v="672"/>
    <s v="80x82"/>
    <x v="1"/>
    <s v="light bar"/>
    <s v="Rose"/>
    <s v="Oliver"/>
    <s v="Zakharchenko"/>
    <x v="1"/>
    <n v="31"/>
    <x v="0"/>
    <n v="1"/>
    <n v="4800"/>
    <n v="2300"/>
    <n v="4800"/>
    <n v="2500"/>
    <x v="8"/>
    <x v="0"/>
    <s v="Ukraine"/>
    <s v="Business"/>
    <s v="No"/>
    <x v="6"/>
    <x v="0"/>
    <d v="2023-10-06T00:00:00"/>
    <x v="9"/>
  </r>
  <r>
    <n v="673"/>
    <s v="150х143"/>
    <x v="1"/>
    <s v="Boat"/>
    <s v="Yellow"/>
    <s v="Segey"/>
    <s v="Denysenko"/>
    <x v="1"/>
    <n v="56"/>
    <x v="2"/>
    <n v="5"/>
    <n v="11850"/>
    <n v="7100"/>
    <n v="59250"/>
    <n v="23750"/>
    <x v="9"/>
    <x v="3"/>
    <s v="Ukraine"/>
    <s v="Business"/>
    <s v="No"/>
    <x v="3"/>
    <x v="2"/>
    <d v="2023-01-09T00:00:00"/>
    <x v="4"/>
  </r>
  <r>
    <n v="674"/>
    <s v="120x50"/>
    <x v="1"/>
    <s v="autolux"/>
    <s v="Green"/>
    <s v="Artem"/>
    <s v="Ivanenko"/>
    <x v="1"/>
    <n v="42"/>
    <x v="1"/>
    <n v="3"/>
    <n v="4780"/>
    <n v="3000"/>
    <n v="14340"/>
    <n v="5340"/>
    <x v="38"/>
    <x v="2"/>
    <s v="Ukraine"/>
    <s v="Business"/>
    <s v="No"/>
    <x v="6"/>
    <x v="3"/>
    <d v="2023-06-29T00:00:00"/>
    <x v="6"/>
  </r>
  <r>
    <n v="675"/>
    <s v="50x50"/>
    <x v="1"/>
    <s v="lightbox"/>
    <s v="Green"/>
    <s v="Nazar"/>
    <s v="Oliynyk"/>
    <x v="1"/>
    <n v="34"/>
    <x v="0"/>
    <n v="2"/>
    <n v="15000"/>
    <n v="13000"/>
    <n v="30000"/>
    <n v="4000"/>
    <x v="44"/>
    <x v="1"/>
    <s v="Ukraine"/>
    <s v="Business"/>
    <s v="No"/>
    <x v="6"/>
    <x v="1"/>
    <d v="2023-06-14T00:00:00"/>
    <x v="6"/>
  </r>
  <r>
    <n v="676"/>
    <s v="170x40"/>
    <x v="1"/>
    <s v="skymusic"/>
    <s v="Rose"/>
    <s v="Inessa"/>
    <s v="Shevchenko"/>
    <x v="0"/>
    <n v="23"/>
    <x v="0"/>
    <n v="4"/>
    <n v="4900"/>
    <n v="2900"/>
    <n v="19600"/>
    <n v="8000"/>
    <x v="23"/>
    <x v="4"/>
    <s v="Ukraine"/>
    <s v="Business"/>
    <s v="No"/>
    <x v="0"/>
    <x v="2"/>
    <d v="2023-04-29T00:00:00"/>
    <x v="7"/>
  </r>
  <r>
    <n v="677"/>
    <s v="145x75"/>
    <x v="1"/>
    <s v="everyday is rock day"/>
    <s v="Red"/>
    <s v="Inna"/>
    <s v="Kovalenko"/>
    <x v="0"/>
    <n v="56"/>
    <x v="2"/>
    <n v="1"/>
    <n v="6350"/>
    <n v="3550"/>
    <n v="6350"/>
    <n v="2800"/>
    <x v="16"/>
    <x v="3"/>
    <s v="Ukraine"/>
    <s v="Business"/>
    <s v="No"/>
    <x v="5"/>
    <x v="0"/>
    <d v="2023-09-19T00:00:00"/>
    <x v="2"/>
  </r>
  <r>
    <n v="678"/>
    <s v="60x20"/>
    <x v="1"/>
    <s v="Laptop"/>
    <s v="White"/>
    <s v="Anya"/>
    <s v="Bondarenko"/>
    <x v="0"/>
    <n v="24"/>
    <x v="0"/>
    <n v="5"/>
    <n v="1600"/>
    <n v="840"/>
    <n v="8000"/>
    <n v="3800"/>
    <x v="1"/>
    <x v="1"/>
    <s v="Ukraine"/>
    <s v="Business"/>
    <s v="No"/>
    <x v="3"/>
    <x v="3"/>
    <d v="2023-01-10T00:00:00"/>
    <x v="4"/>
  </r>
  <r>
    <n v="679"/>
    <s v="60x20"/>
    <x v="1"/>
    <s v="Bag"/>
    <s v="Rose"/>
    <s v="Igor"/>
    <s v="Tkachenko"/>
    <x v="1"/>
    <n v="64"/>
    <x v="2"/>
    <n v="2"/>
    <n v="500"/>
    <n v="195"/>
    <n v="1000"/>
    <n v="610"/>
    <x v="37"/>
    <x v="4"/>
    <s v="Ukraine"/>
    <s v="Business"/>
    <s v="No"/>
    <x v="3"/>
    <x v="1"/>
    <d v="2023-10-01T00:00:00"/>
    <x v="9"/>
  </r>
  <r>
    <n v="680"/>
    <s v="50x50"/>
    <x v="1"/>
    <s v="alla beauty"/>
    <s v="White"/>
    <s v="Alina"/>
    <s v="Kravchenko"/>
    <x v="0"/>
    <n v="64"/>
    <x v="2"/>
    <n v="3"/>
    <n v="2550"/>
    <n v="1600"/>
    <n v="7650"/>
    <n v="2850"/>
    <x v="23"/>
    <x v="4"/>
    <s v="Ukraine"/>
    <s v="Business"/>
    <s v="No"/>
    <x v="0"/>
    <x v="0"/>
    <d v="2023-04-12T00:00:00"/>
    <x v="7"/>
  </r>
  <r>
    <n v="681"/>
    <s v="120x40"/>
    <x v="1"/>
    <s v="Family smile"/>
    <s v="Red"/>
    <s v="Volodya"/>
    <s v="Boyko"/>
    <x v="1"/>
    <n v="23"/>
    <x v="0"/>
    <n v="4"/>
    <n v="4290"/>
    <n v="2090"/>
    <n v="17160"/>
    <n v="8800"/>
    <x v="37"/>
    <x v="4"/>
    <s v="Ukraine"/>
    <s v="Business"/>
    <s v="No"/>
    <x v="0"/>
    <x v="2"/>
    <d v="2023-05-09T00:00:00"/>
    <x v="11"/>
  </r>
  <r>
    <n v="682"/>
    <s v="75x95"/>
    <x v="1"/>
    <s v="Vandal Vape"/>
    <s v="Rose"/>
    <s v="Dmytro"/>
    <s v="Kovalchuk"/>
    <x v="1"/>
    <n v="19"/>
    <x v="0"/>
    <n v="3"/>
    <n v="7500"/>
    <n v="4700"/>
    <n v="22500"/>
    <n v="8400"/>
    <x v="8"/>
    <x v="0"/>
    <s v="Ukraine"/>
    <s v="Business"/>
    <s v="No"/>
    <x v="6"/>
    <x v="3"/>
    <d v="2023-06-27T00:00:00"/>
    <x v="6"/>
  </r>
  <r>
    <n v="683"/>
    <s v="60x20"/>
    <x v="1"/>
    <s v="New balance"/>
    <s v="Red"/>
    <s v="Katerina"/>
    <s v="Melnyk"/>
    <x v="0"/>
    <n v="21"/>
    <x v="0"/>
    <n v="1"/>
    <n v="500"/>
    <n v="230"/>
    <n v="500"/>
    <n v="270"/>
    <x v="34"/>
    <x v="1"/>
    <s v="Ukraine"/>
    <s v="Business"/>
    <s v="No"/>
    <x v="5"/>
    <x v="1"/>
    <d v="2023-08-25T00:00:00"/>
    <x v="3"/>
  </r>
  <r>
    <n v="684"/>
    <s v="50x50"/>
    <x v="1"/>
    <s v="dominic pizza контурна"/>
    <s v="White"/>
    <s v="Volodya"/>
    <s v="Marchenko"/>
    <x v="1"/>
    <n v="56"/>
    <x v="2"/>
    <n v="4"/>
    <n v="2890"/>
    <n v="1890"/>
    <n v="11560"/>
    <n v="4000"/>
    <x v="44"/>
    <x v="1"/>
    <s v="Ukraine"/>
    <s v="Business"/>
    <s v="No"/>
    <x v="5"/>
    <x v="2"/>
    <d v="2023-04-03T00:00:00"/>
    <x v="7"/>
  </r>
  <r>
    <n v="685"/>
    <s v="40x15"/>
    <x v="1"/>
    <s v="WC"/>
    <s v="Rose"/>
    <s v="Nazar"/>
    <s v="Lysenko"/>
    <x v="1"/>
    <n v="34"/>
    <x v="0"/>
    <n v="5"/>
    <n v="1530"/>
    <n v="680"/>
    <n v="7650"/>
    <n v="4250"/>
    <x v="14"/>
    <x v="3"/>
    <s v="Ukraine"/>
    <s v="Business"/>
    <s v="No"/>
    <x v="3"/>
    <x v="0"/>
    <d v="2023-07-04T00:00:00"/>
    <x v="8"/>
  </r>
  <r>
    <n v="686"/>
    <s v="60x60"/>
    <x v="1"/>
    <s v="Topclimat"/>
    <s v="White"/>
    <s v="Alina"/>
    <s v="Rudenko"/>
    <x v="0"/>
    <n v="64"/>
    <x v="2"/>
    <n v="3"/>
    <n v="4970"/>
    <n v="2170"/>
    <n v="14910"/>
    <n v="8400"/>
    <x v="11"/>
    <x v="2"/>
    <s v="Ukraine"/>
    <s v="Business"/>
    <s v="No"/>
    <x v="2"/>
    <x v="3"/>
    <d v="2023-03-19T00:00:00"/>
    <x v="0"/>
  </r>
  <r>
    <n v="687"/>
    <s v="170x22"/>
    <x v="1"/>
    <s v="Your success"/>
    <s v="Red"/>
    <s v="Nazar"/>
    <s v="Savchenko"/>
    <x v="1"/>
    <n v="78"/>
    <x v="2"/>
    <n v="2"/>
    <n v="3950"/>
    <n v="1950"/>
    <n v="7900"/>
    <n v="4000"/>
    <x v="34"/>
    <x v="1"/>
    <s v="Ukraine"/>
    <s v="Business"/>
    <s v="No"/>
    <x v="1"/>
    <x v="1"/>
    <d v="2023-09-30T00:00:00"/>
    <x v="2"/>
  </r>
  <r>
    <n v="688"/>
    <s v="70x25"/>
    <x v="1"/>
    <s v="nail agentka"/>
    <s v="Rose"/>
    <s v="Inessa"/>
    <s v="Hrytsenko"/>
    <x v="0"/>
    <n v="54"/>
    <x v="2"/>
    <n v="4"/>
    <n v="2900"/>
    <n v="1200"/>
    <n v="11600"/>
    <n v="6800"/>
    <x v="1"/>
    <x v="1"/>
    <s v="Ukraine"/>
    <s v="Business"/>
    <s v="No"/>
    <x v="6"/>
    <x v="0"/>
    <d v="2023-05-13T00:00:00"/>
    <x v="11"/>
  </r>
  <r>
    <n v="689"/>
    <s v="40x16"/>
    <x v="1"/>
    <s v="anisia"/>
    <s v="Red"/>
    <s v="Inna"/>
    <s v="Polishchuk"/>
    <x v="0"/>
    <n v="32"/>
    <x v="0"/>
    <n v="1"/>
    <n v="1920"/>
    <n v="900"/>
    <n v="1920"/>
    <n v="1020"/>
    <x v="20"/>
    <x v="0"/>
    <s v="Ukraine"/>
    <s v="Business"/>
    <s v="No"/>
    <x v="3"/>
    <x v="2"/>
    <d v="2023-08-09T00:00:00"/>
    <x v="3"/>
  </r>
  <r>
    <n v="690"/>
    <s v="100х30"/>
    <x v="1"/>
    <s v="mono laser"/>
    <s v="Rose"/>
    <s v="Anya"/>
    <s v="Tymoshenko"/>
    <x v="0"/>
    <n v="55"/>
    <x v="2"/>
    <n v="5"/>
    <n v="4400"/>
    <n v="2400"/>
    <n v="22000"/>
    <n v="10000"/>
    <x v="6"/>
    <x v="1"/>
    <s v="Ukraine"/>
    <s v="Business"/>
    <s v="No"/>
    <x v="7"/>
    <x v="3"/>
    <d v="2023-02-19T00:00:00"/>
    <x v="1"/>
  </r>
  <r>
    <n v="691"/>
    <s v="60x40"/>
    <x v="1"/>
    <s v="take bike"/>
    <s v="White"/>
    <s v="Igor"/>
    <s v="Kostenko"/>
    <x v="1"/>
    <n v="36"/>
    <x v="1"/>
    <n v="2"/>
    <n v="3300"/>
    <n v="1800"/>
    <n v="6600"/>
    <n v="3000"/>
    <x v="24"/>
    <x v="3"/>
    <s v="Ukraine"/>
    <s v="Business"/>
    <s v="No"/>
    <x v="6"/>
    <x v="1"/>
    <d v="2023-01-30T00:00:00"/>
    <x v="4"/>
  </r>
  <r>
    <n v="692"/>
    <s v="15x150"/>
    <x v="1"/>
    <s v="mosiy tattoo"/>
    <s v="Red"/>
    <s v="Alina"/>
    <s v="Zakharchenko"/>
    <x v="0"/>
    <n v="28"/>
    <x v="0"/>
    <n v="3"/>
    <n v="3050"/>
    <n v="1550"/>
    <n v="9150"/>
    <n v="4500"/>
    <x v="34"/>
    <x v="1"/>
    <s v="Ukraine"/>
    <s v="Business"/>
    <s v="No"/>
    <x v="7"/>
    <x v="2"/>
    <d v="2023-05-16T00:00:00"/>
    <x v="11"/>
  </r>
  <r>
    <n v="693"/>
    <s v="55х57"/>
    <x v="1"/>
    <s v="First"/>
    <s v="Rose"/>
    <s v="Lybov"/>
    <s v="Denysenko"/>
    <x v="0"/>
    <n v="50"/>
    <x v="2"/>
    <n v="4"/>
    <n v="3850"/>
    <n v="2300"/>
    <n v="15400"/>
    <n v="6200"/>
    <x v="10"/>
    <x v="0"/>
    <s v="Ukraine"/>
    <s v="Business"/>
    <s v="No"/>
    <x v="0"/>
    <x v="0"/>
    <d v="2023-02-05T00:00:00"/>
    <x v="1"/>
  </r>
  <r>
    <n v="694"/>
    <s v="80x60"/>
    <x v="1"/>
    <s v="lets drink"/>
    <s v="Yellow"/>
    <s v="Hanna"/>
    <s v="Ivanenko"/>
    <x v="0"/>
    <n v="39"/>
    <x v="1"/>
    <n v="1"/>
    <n v="5715"/>
    <n v="2280"/>
    <n v="5715"/>
    <n v="3435"/>
    <x v="31"/>
    <x v="3"/>
    <s v="Ukraine"/>
    <s v="Business"/>
    <s v="No"/>
    <x v="1"/>
    <x v="3"/>
    <d v="2023-05-07T00:00:00"/>
    <x v="11"/>
  </r>
  <r>
    <n v="695"/>
    <s v="85x42"/>
    <x v="1"/>
    <s v="junior kids"/>
    <s v="Green"/>
    <s v="Nikola"/>
    <s v="Oliynyk"/>
    <x v="1"/>
    <n v="31"/>
    <x v="0"/>
    <n v="5"/>
    <n v="3780"/>
    <n v="2280"/>
    <n v="18900"/>
    <n v="7500"/>
    <x v="24"/>
    <x v="3"/>
    <s v="Ukraine"/>
    <s v="Business"/>
    <s v="No"/>
    <x v="5"/>
    <x v="1"/>
    <d v="2023-09-18T00:00:00"/>
    <x v="2"/>
  </r>
  <r>
    <n v="696"/>
    <s v="60x46"/>
    <x v="1"/>
    <s v="yana olman"/>
    <s v="Green"/>
    <s v="Ihnat"/>
    <s v="Shevchenko"/>
    <x v="1"/>
    <n v="44"/>
    <x v="1"/>
    <n v="3"/>
    <n v="3090"/>
    <n v="1670"/>
    <n v="9270"/>
    <n v="4260"/>
    <x v="6"/>
    <x v="1"/>
    <s v="Ukraine"/>
    <s v="Business"/>
    <s v="No"/>
    <x v="3"/>
    <x v="0"/>
    <d v="2023-09-06T00:00:00"/>
    <x v="2"/>
  </r>
  <r>
    <n v="697"/>
    <s v="65x32"/>
    <x v="1"/>
    <s v="lovebryk studio"/>
    <s v="Rose"/>
    <s v="Lybov"/>
    <s v="Kovalenko"/>
    <x v="0"/>
    <n v="26"/>
    <x v="0"/>
    <n v="2"/>
    <n v="3180"/>
    <n v="1260"/>
    <n v="6360"/>
    <n v="3840"/>
    <x v="34"/>
    <x v="1"/>
    <s v="Ukraine"/>
    <s v="Business"/>
    <s v="No"/>
    <x v="3"/>
    <x v="2"/>
    <d v="2023-03-02T00:00:00"/>
    <x v="0"/>
  </r>
  <r>
    <n v="698"/>
    <s v="70х18"/>
    <x v="1"/>
    <s v="Map"/>
    <s v="Red"/>
    <s v="Hanna"/>
    <s v="Bondarenko"/>
    <x v="0"/>
    <n v="48"/>
    <x v="1"/>
    <n v="4"/>
    <n v="2600"/>
    <n v="1200"/>
    <n v="10400"/>
    <n v="5600"/>
    <x v="8"/>
    <x v="0"/>
    <s v="Ukraine"/>
    <s v="Business"/>
    <s v="No"/>
    <x v="5"/>
    <x v="3"/>
    <d v="2023-08-20T00:00:00"/>
    <x v="3"/>
  </r>
  <r>
    <n v="699"/>
    <s v="60х16"/>
    <x v="1"/>
    <s v="Bottle and glass"/>
    <s v="Red"/>
    <s v="Nikola"/>
    <s v="Tkachenko"/>
    <x v="1"/>
    <n v="53"/>
    <x v="2"/>
    <n v="1"/>
    <n v="2150"/>
    <n v="1150"/>
    <n v="2150"/>
    <n v="1000"/>
    <x v="19"/>
    <x v="3"/>
    <s v="Ukraine"/>
    <s v="Business"/>
    <s v="No"/>
    <x v="7"/>
    <x v="1"/>
    <d v="2023-07-29T00:00:00"/>
    <x v="8"/>
  </r>
  <r>
    <n v="700"/>
    <s v="40x12"/>
    <x v="1"/>
    <s v="Letter"/>
    <s v="White"/>
    <s v="Ihnat"/>
    <s v="Kravchenko"/>
    <x v="1"/>
    <n v="30"/>
    <x v="0"/>
    <n v="5"/>
    <n v="1700"/>
    <n v="1200"/>
    <n v="8500"/>
    <n v="2500"/>
    <x v="3"/>
    <x v="0"/>
    <s v="Ukraine"/>
    <s v="Business"/>
    <s v="No"/>
    <x v="2"/>
    <x v="2"/>
    <d v="2023-04-22T00:00:00"/>
    <x v="7"/>
  </r>
  <r>
    <n v="701"/>
    <s v="90x115"/>
    <x v="1"/>
    <s v="Vandal Vape"/>
    <s v="Rose"/>
    <s v="Slava"/>
    <s v="Boyko"/>
    <x v="0"/>
    <n v="37"/>
    <x v="1"/>
    <n v="2"/>
    <n v="8470"/>
    <n v="5400"/>
    <n v="16940"/>
    <n v="6140"/>
    <x v="36"/>
    <x v="0"/>
    <s v="Ukraine"/>
    <s v="Business"/>
    <s v="No"/>
    <x v="6"/>
    <x v="0"/>
    <d v="2023-04-12T00:00:00"/>
    <x v="7"/>
  </r>
  <r>
    <n v="702"/>
    <s v="45x37"/>
    <x v="1"/>
    <s v="Pig"/>
    <s v="White"/>
    <s v="Galyna"/>
    <s v="Kovalchuk"/>
    <x v="0"/>
    <n v="42"/>
    <x v="1"/>
    <n v="3"/>
    <n v="2270"/>
    <n v="1100"/>
    <n v="6810"/>
    <n v="3510"/>
    <x v="1"/>
    <x v="1"/>
    <s v="Ukraine"/>
    <s v="Business"/>
    <s v="No"/>
    <x v="5"/>
    <x v="3"/>
    <d v="2023-05-31T00:00:00"/>
    <x v="11"/>
  </r>
  <r>
    <n v="703"/>
    <s v="80x100"/>
    <x v="1"/>
    <s v="Vandal Vape"/>
    <s v="Red"/>
    <s v="Volodymyr"/>
    <s v="Melnyk"/>
    <x v="1"/>
    <n v="24"/>
    <x v="0"/>
    <n v="4"/>
    <n v="7820"/>
    <n v="4750"/>
    <n v="31280"/>
    <n v="12280"/>
    <x v="24"/>
    <x v="3"/>
    <s v="Ukraine"/>
    <s v="Business"/>
    <s v="No"/>
    <x v="3"/>
    <x v="1"/>
    <d v="2023-07-07T00:00:00"/>
    <x v="8"/>
  </r>
  <r>
    <n v="704"/>
    <s v="50х50"/>
    <x v="1"/>
    <s v="Burger"/>
    <s v="Rose"/>
    <s v="Vitaliaa"/>
    <s v="Marchenko"/>
    <x v="0"/>
    <n v="57"/>
    <x v="2"/>
    <n v="1"/>
    <n v="3820"/>
    <n v="1800"/>
    <n v="3820"/>
    <n v="2020"/>
    <x v="21"/>
    <x v="3"/>
    <s v="Ukraine"/>
    <s v="Business"/>
    <s v="No"/>
    <x v="3"/>
    <x v="0"/>
    <d v="2023-09-02T00:00:00"/>
    <x v="2"/>
  </r>
  <r>
    <n v="705"/>
    <s v="50х50"/>
    <x v="1"/>
    <s v="Shaurma"/>
    <s v="White"/>
    <s v="Vitalia"/>
    <s v="Lysenko"/>
    <x v="0"/>
    <n v="35"/>
    <x v="0"/>
    <n v="5"/>
    <n v="4920"/>
    <n v="2000"/>
    <n v="24600"/>
    <n v="14600"/>
    <x v="5"/>
    <x v="3"/>
    <s v="Ukraine"/>
    <s v="Business"/>
    <s v="No"/>
    <x v="7"/>
    <x v="2"/>
    <d v="2023-02-27T00:00:00"/>
    <x v="1"/>
  </r>
  <r>
    <n v="706"/>
    <s v="70x44"/>
    <x v="1"/>
    <s v="Vn nails"/>
    <s v="Red"/>
    <s v="Kateryna"/>
    <s v="Rudenko"/>
    <x v="0"/>
    <n v="40"/>
    <x v="1"/>
    <n v="3"/>
    <n v="4500"/>
    <n v="1600"/>
    <n v="13500"/>
    <n v="8700"/>
    <x v="35"/>
    <x v="0"/>
    <s v="Ukraine"/>
    <s v="Business"/>
    <s v="No"/>
    <x v="4"/>
    <x v="3"/>
    <d v="2023-06-15T00:00:00"/>
    <x v="6"/>
  </r>
  <r>
    <n v="707"/>
    <s v="42х21"/>
    <x v="1"/>
    <s v="Moon"/>
    <s v="Rose"/>
    <s v="Segey"/>
    <s v="Savchenko"/>
    <x v="1"/>
    <n v="21"/>
    <x v="0"/>
    <n v="2"/>
    <n v="1940"/>
    <n v="840"/>
    <n v="3880"/>
    <n v="2200"/>
    <x v="26"/>
    <x v="3"/>
    <s v="Ukraine"/>
    <s v="Business"/>
    <s v="No"/>
    <x v="0"/>
    <x v="1"/>
    <d v="2023-06-30T00:00:00"/>
    <x v="6"/>
  </r>
  <r>
    <n v="708"/>
    <s v="100x63"/>
    <x v="1"/>
    <s v="ESP motors"/>
    <s v="White"/>
    <s v="Artem"/>
    <s v="Hrytsenko"/>
    <x v="1"/>
    <n v="36"/>
    <x v="1"/>
    <n v="4"/>
    <n v="5940"/>
    <n v="3400"/>
    <n v="23760"/>
    <n v="10160"/>
    <x v="16"/>
    <x v="3"/>
    <s v="Ukraine"/>
    <s v="Business"/>
    <s v="No"/>
    <x v="4"/>
    <x v="2"/>
    <d v="2023-02-03T00:00:00"/>
    <x v="1"/>
  </r>
  <r>
    <n v="709"/>
    <s v="140х45"/>
    <x v="1"/>
    <s v="Do you mind?"/>
    <s v="Red"/>
    <s v="Slava"/>
    <s v="Polishchuk"/>
    <x v="0"/>
    <n v="28"/>
    <x v="0"/>
    <n v="1"/>
    <n v="6741"/>
    <n v="2890"/>
    <n v="6741"/>
    <n v="3851"/>
    <x v="20"/>
    <x v="0"/>
    <s v="Ukraine"/>
    <s v="Business"/>
    <s v="No"/>
    <x v="0"/>
    <x v="0"/>
    <d v="2023-09-19T00:00:00"/>
    <x v="2"/>
  </r>
  <r>
    <n v="710"/>
    <s v="65x76"/>
    <x v="1"/>
    <s v="caffesta"/>
    <s v="Rose"/>
    <s v="Galyna"/>
    <s v="Tymoshenko"/>
    <x v="0"/>
    <n v="50"/>
    <x v="2"/>
    <n v="5"/>
    <n v="6360"/>
    <n v="3270"/>
    <n v="31800"/>
    <n v="15450"/>
    <x v="18"/>
    <x v="3"/>
    <s v="Ukraine"/>
    <s v="Business"/>
    <s v="No"/>
    <x v="5"/>
    <x v="3"/>
    <d v="2023-12-24T00:00:00"/>
    <x v="10"/>
  </r>
  <r>
    <n v="711"/>
    <s v="100х77"/>
    <x v="1"/>
    <s v="Roof"/>
    <s v="Red"/>
    <s v="Volodymyr"/>
    <s v="Kostenko"/>
    <x v="1"/>
    <n v="39"/>
    <x v="1"/>
    <n v="2"/>
    <n v="6590"/>
    <n v="3590"/>
    <n v="13180"/>
    <n v="6000"/>
    <x v="22"/>
    <x v="4"/>
    <s v="Ukraine"/>
    <s v="Business"/>
    <s v="No"/>
    <x v="1"/>
    <x v="1"/>
    <d v="2023-02-15T00:00:00"/>
    <x v="1"/>
  </r>
  <r>
    <n v="712"/>
    <s v="55x20"/>
    <x v="1"/>
    <s v="flash"/>
    <s v="White"/>
    <s v="Vitaliaa"/>
    <s v="Zakharchenko"/>
    <x v="0"/>
    <n v="31"/>
    <x v="0"/>
    <n v="3"/>
    <n v="6230"/>
    <n v="4000"/>
    <n v="18690"/>
    <n v="6690"/>
    <x v="2"/>
    <x v="2"/>
    <s v="Ukraine"/>
    <s v="Business"/>
    <s v="No"/>
    <x v="3"/>
    <x v="0"/>
    <d v="2023-05-26T00:00:00"/>
    <x v="11"/>
  </r>
  <r>
    <n v="713"/>
    <s v="150х40"/>
    <x v="1"/>
    <s v="Dance"/>
    <s v="Red"/>
    <s v="Igor"/>
    <s v="Denysenko"/>
    <x v="1"/>
    <n v="44"/>
    <x v="1"/>
    <n v="4"/>
    <n v="7455"/>
    <n v="3000"/>
    <n v="29820"/>
    <n v="17820"/>
    <x v="17"/>
    <x v="1"/>
    <s v="Ukraine"/>
    <s v="Business"/>
    <s v="No"/>
    <x v="6"/>
    <x v="2"/>
    <d v="2023-07-27T00:00:00"/>
    <x v="8"/>
  </r>
  <r>
    <n v="714"/>
    <s v="50x50"/>
    <x v="1"/>
    <s v="school by manhattan"/>
    <s v="Rose"/>
    <s v="Alina"/>
    <s v="Ivanenko"/>
    <x v="0"/>
    <n v="26"/>
    <x v="0"/>
    <n v="5"/>
    <n v="2150"/>
    <n v="1150"/>
    <n v="10750"/>
    <n v="5000"/>
    <x v="4"/>
    <x v="3"/>
    <s v="Ukraine"/>
    <s v="Business"/>
    <s v="No"/>
    <x v="4"/>
    <x v="3"/>
    <d v="2023-07-15T00:00:00"/>
    <x v="8"/>
  </r>
  <r>
    <n v="715"/>
    <s v="50x19"/>
    <x v="1"/>
    <s v="anastasia"/>
    <s v="Red"/>
    <s v="Lybov"/>
    <s v="Oliynyk"/>
    <x v="0"/>
    <n v="48"/>
    <x v="1"/>
    <n v="2"/>
    <n v="2740"/>
    <n v="1240"/>
    <n v="5480"/>
    <n v="3000"/>
    <x v="24"/>
    <x v="3"/>
    <s v="Ukraine"/>
    <s v="Business"/>
    <s v="No"/>
    <x v="2"/>
    <x v="1"/>
    <d v="2023-01-27T00:00:00"/>
    <x v="4"/>
  </r>
  <r>
    <n v="716"/>
    <s v="80x49"/>
    <x v="1"/>
    <s v="Happy birthday"/>
    <s v="Rose"/>
    <s v="Hanna"/>
    <s v="Shevchenko"/>
    <x v="0"/>
    <n v="53"/>
    <x v="2"/>
    <n v="3"/>
    <n v="3610"/>
    <n v="1640"/>
    <n v="10830"/>
    <n v="5910"/>
    <x v="8"/>
    <x v="0"/>
    <s v="Ukraine"/>
    <s v="Business"/>
    <s v="No"/>
    <x v="0"/>
    <x v="2"/>
    <d v="2023-02-21T00:00:00"/>
    <x v="1"/>
  </r>
  <r>
    <n v="717"/>
    <s v="20x20"/>
    <x v="0"/>
    <s v="Qr code"/>
    <s v="Black"/>
    <s v="Nikola"/>
    <s v="Kovalenko"/>
    <x v="1"/>
    <n v="30"/>
    <x v="0"/>
    <n v="4"/>
    <n v="1090"/>
    <n v="600"/>
    <n v="4360"/>
    <n v="1960"/>
    <x v="31"/>
    <x v="3"/>
    <s v="Ukraine"/>
    <s v="Business"/>
    <s v="No"/>
    <x v="3"/>
    <x v="0"/>
    <d v="2023-07-15T00:00:00"/>
    <x v="8"/>
  </r>
  <r>
    <n v="718"/>
    <s v="100x65"/>
    <x v="1"/>
    <s v="run&amp;drive"/>
    <s v="Red"/>
    <s v="Ihnat"/>
    <s v="Bondarenko"/>
    <x v="1"/>
    <n v="37"/>
    <x v="1"/>
    <n v="3"/>
    <n v="4650"/>
    <n v="2350"/>
    <n v="13950"/>
    <n v="6900"/>
    <x v="30"/>
    <x v="0"/>
    <s v="Ukraine"/>
    <s v="Business"/>
    <s v="No"/>
    <x v="4"/>
    <x v="3"/>
    <d v="2023-03-18T00:00:00"/>
    <x v="0"/>
  </r>
  <r>
    <n v="719"/>
    <s v="50x25"/>
    <x v="1"/>
    <s v="LVS garage"/>
    <s v="White"/>
    <s v="Slava"/>
    <s v="Tkachenko"/>
    <x v="0"/>
    <n v="42"/>
    <x v="1"/>
    <n v="1"/>
    <n v="2270"/>
    <n v="1070"/>
    <n v="2270"/>
    <n v="1200"/>
    <x v="10"/>
    <x v="0"/>
    <s v="Ukraine"/>
    <s v="Business"/>
    <s v="No"/>
    <x v="1"/>
    <x v="1"/>
    <d v="2023-01-28T00:00:00"/>
    <x v="4"/>
  </r>
  <r>
    <n v="720"/>
    <s v="60x45"/>
    <x v="1"/>
    <s v="Black Bunny"/>
    <s v="Rose"/>
    <s v="Galyna"/>
    <s v="Kravchenko"/>
    <x v="0"/>
    <n v="24"/>
    <x v="0"/>
    <n v="4"/>
    <n v="3020"/>
    <n v="1520"/>
    <n v="12080"/>
    <n v="6000"/>
    <x v="9"/>
    <x v="3"/>
    <s v="Ukraine"/>
    <s v="Business"/>
    <s v="No"/>
    <x v="5"/>
    <x v="0"/>
    <d v="2023-07-07T00:00:00"/>
    <x v="8"/>
  </r>
  <r>
    <n v="721"/>
    <s v="35x35"/>
    <x v="1"/>
    <s v="smile"/>
    <s v="White"/>
    <s v="Volodymyr"/>
    <s v="Boyko"/>
    <x v="1"/>
    <n v="57"/>
    <x v="2"/>
    <n v="5"/>
    <n v="1800"/>
    <n v="850"/>
    <n v="9000"/>
    <n v="4750"/>
    <x v="19"/>
    <x v="3"/>
    <s v="Ukraine"/>
    <s v="Business"/>
    <s v="No"/>
    <x v="4"/>
    <x v="2"/>
    <d v="2023-08-03T00:00:00"/>
    <x v="3"/>
  </r>
  <r>
    <n v="722"/>
    <s v="20x20"/>
    <x v="1"/>
    <s v="insta"/>
    <s v="Red"/>
    <s v="Vitaliaa"/>
    <s v="Kovalchuk"/>
    <x v="0"/>
    <n v="35"/>
    <x v="0"/>
    <n v="3"/>
    <n v="1450"/>
    <n v="550"/>
    <n v="4350"/>
    <n v="2700"/>
    <x v="15"/>
    <x v="0"/>
    <s v="Ukraine"/>
    <s v="Business"/>
    <s v="No"/>
    <x v="4"/>
    <x v="3"/>
    <d v="2023-03-11T00:00:00"/>
    <x v="0"/>
  </r>
  <r>
    <n v="723"/>
    <s v="80x15"/>
    <x v="1"/>
    <s v="55 house"/>
    <s v="Rose"/>
    <s v="Vitalia"/>
    <s v="Melnyk"/>
    <x v="0"/>
    <n v="40"/>
    <x v="1"/>
    <n v="2"/>
    <n v="2610"/>
    <n v="1070"/>
    <n v="5220"/>
    <n v="3080"/>
    <x v="23"/>
    <x v="4"/>
    <s v="Ukraine"/>
    <s v="Business"/>
    <s v="No"/>
    <x v="3"/>
    <x v="1"/>
    <d v="2023-01-15T00:00:00"/>
    <x v="4"/>
  </r>
  <r>
    <n v="724"/>
    <s v="100x31"/>
    <x v="1"/>
    <s v="Vanilla nail studio"/>
    <s v="White"/>
    <s v="Kateryna"/>
    <s v="Marchenko"/>
    <x v="0"/>
    <n v="21"/>
    <x v="0"/>
    <n v="4"/>
    <n v="4400"/>
    <n v="1900"/>
    <n v="17600"/>
    <n v="10000"/>
    <x v="26"/>
    <x v="3"/>
    <s v="Ukraine"/>
    <s v="Business"/>
    <s v="No"/>
    <x v="1"/>
    <x v="2"/>
    <d v="2023-01-14T00:00:00"/>
    <x v="4"/>
  </r>
  <r>
    <n v="725"/>
    <s v="40x22"/>
    <x v="1"/>
    <s v="Never give up"/>
    <s v="Red"/>
    <s v="Segey"/>
    <s v="Lysenko"/>
    <x v="1"/>
    <n v="59"/>
    <x v="2"/>
    <n v="1"/>
    <n v="2450"/>
    <n v="900"/>
    <n v="2450"/>
    <n v="1550"/>
    <x v="7"/>
    <x v="0"/>
    <s v="Ukraine"/>
    <s v="Business"/>
    <s v="No"/>
    <x v="2"/>
    <x v="0"/>
    <d v="2023-10-04T00:00:00"/>
    <x v="9"/>
  </r>
  <r>
    <n v="726"/>
    <s v="25x25"/>
    <x v="0"/>
    <s v="Qr code"/>
    <s v="Silver"/>
    <s v="Fedir"/>
    <s v="Rudenko"/>
    <x v="1"/>
    <n v="32"/>
    <x v="0"/>
    <n v="5"/>
    <n v="1890"/>
    <n v="1000"/>
    <n v="9450"/>
    <n v="4450"/>
    <x v="13"/>
    <x v="1"/>
    <s v="Ukraine"/>
    <s v="Business"/>
    <s v="No"/>
    <x v="7"/>
    <x v="3"/>
    <d v="2023-03-09T00:00:00"/>
    <x v="0"/>
  </r>
  <r>
    <n v="727"/>
    <s v="50x27"/>
    <x v="1"/>
    <s v="Coolbaba"/>
    <s v="White"/>
    <s v="Dmytro"/>
    <s v="Savchenko"/>
    <x v="1"/>
    <n v="46"/>
    <x v="1"/>
    <n v="2"/>
    <n v="2150"/>
    <n v="950"/>
    <n v="4300"/>
    <n v="2400"/>
    <x v="26"/>
    <x v="3"/>
    <s v="Ukraine"/>
    <s v="Business"/>
    <s v="No"/>
    <x v="2"/>
    <x v="1"/>
    <d v="2023-04-20T00:00:00"/>
    <x v="7"/>
  </r>
  <r>
    <n v="728"/>
    <s v="55x33"/>
    <x v="1"/>
    <s v="Brow Space"/>
    <s v="Red"/>
    <s v="Katerina"/>
    <s v="Hrytsenko"/>
    <x v="0"/>
    <n v="54"/>
    <x v="2"/>
    <n v="3"/>
    <n v="2670"/>
    <n v="1370"/>
    <n v="8010"/>
    <n v="3900"/>
    <x v="29"/>
    <x v="0"/>
    <s v="Ukraine"/>
    <s v="Business"/>
    <s v="No"/>
    <x v="3"/>
    <x v="0"/>
    <d v="2023-12-18T00:00:00"/>
    <x v="10"/>
  </r>
  <r>
    <n v="729"/>
    <s v="100x100"/>
    <x v="1"/>
    <s v="Beauty House"/>
    <s v="Rose"/>
    <s v="Volodya"/>
    <s v="Polishchuk"/>
    <x v="1"/>
    <n v="25"/>
    <x v="0"/>
    <n v="4"/>
    <n v="6950"/>
    <n v="3950"/>
    <n v="27800"/>
    <n v="12000"/>
    <x v="30"/>
    <x v="0"/>
    <s v="Ukraine"/>
    <s v="Business"/>
    <s v="No"/>
    <x v="3"/>
    <x v="2"/>
    <d v="2023-03-27T00:00:00"/>
    <x v="0"/>
  </r>
  <r>
    <n v="730"/>
    <s v="88x57"/>
    <x v="1"/>
    <s v="mali house"/>
    <s v="Red"/>
    <s v="Dmytro"/>
    <s v="Tymoshenko"/>
    <x v="1"/>
    <n v="43"/>
    <x v="1"/>
    <n v="1"/>
    <n v="7490"/>
    <n v="2900"/>
    <n v="7490"/>
    <n v="4590"/>
    <x v="17"/>
    <x v="1"/>
    <s v="Ukraine"/>
    <s v="Business"/>
    <s v="No"/>
    <x v="0"/>
    <x v="3"/>
    <d v="2023-08-30T00:00:00"/>
    <x v="3"/>
  </r>
  <r>
    <n v="731"/>
    <s v="65х64"/>
    <x v="1"/>
    <s v="Your coffe"/>
    <s v="White"/>
    <s v="Kateryna"/>
    <s v="Kostenko"/>
    <x v="0"/>
    <n v="58"/>
    <x v="2"/>
    <n v="5"/>
    <n v="3350"/>
    <n v="1950"/>
    <n v="16750"/>
    <n v="7000"/>
    <x v="24"/>
    <x v="3"/>
    <s v="Ukraine"/>
    <s v="Business"/>
    <s v="No"/>
    <x v="6"/>
    <x v="1"/>
    <d v="2023-07-16T00:00:00"/>
    <x v="8"/>
  </r>
  <r>
    <n v="732"/>
    <s v="60х65"/>
    <x v="1"/>
    <s v="coffee and mug"/>
    <s v="Red"/>
    <s v="Segey"/>
    <s v="Zakharchenko"/>
    <x v="1"/>
    <n v="20"/>
    <x v="0"/>
    <n v="3"/>
    <n v="3120"/>
    <n v="1920"/>
    <n v="9360"/>
    <n v="3600"/>
    <x v="11"/>
    <x v="2"/>
    <s v="Ukraine"/>
    <s v="Business"/>
    <s v="No"/>
    <x v="1"/>
    <x v="2"/>
    <d v="2023-02-07T00:00:00"/>
    <x v="1"/>
  </r>
  <r>
    <n v="733"/>
    <s v="65x30"/>
    <x v="1"/>
    <s v="prosseco"/>
    <s v="Rose"/>
    <s v="Fedir"/>
    <s v="Denysenko"/>
    <x v="1"/>
    <n v="49"/>
    <x v="1"/>
    <n v="5"/>
    <n v="3050"/>
    <n v="1450"/>
    <n v="15250"/>
    <n v="8000"/>
    <x v="43"/>
    <x v="4"/>
    <s v="Ukraine"/>
    <s v="Business"/>
    <s v="No"/>
    <x v="6"/>
    <x v="0"/>
    <d v="2023-03-15T00:00:00"/>
    <x v="0"/>
  </r>
  <r>
    <n v="734"/>
    <s v="65x30"/>
    <x v="1"/>
    <s v="Prosseco"/>
    <s v="Red"/>
    <s v="Dmytro"/>
    <s v="Ivanenko"/>
    <x v="1"/>
    <n v="34"/>
    <x v="0"/>
    <n v="2"/>
    <n v="2640"/>
    <n v="1300"/>
    <n v="5280"/>
    <n v="2680"/>
    <x v="5"/>
    <x v="3"/>
    <s v="Ukraine"/>
    <s v="Business"/>
    <s v="No"/>
    <x v="1"/>
    <x v="3"/>
    <d v="2023-02-28T00:00:00"/>
    <x v="1"/>
  </r>
  <r>
    <n v="735"/>
    <s v="100х52"/>
    <x v="1"/>
    <s v="4.5.0 coffee point"/>
    <s v="White"/>
    <s v="Katerina"/>
    <s v="Oliynyk"/>
    <x v="0"/>
    <n v="27"/>
    <x v="0"/>
    <n v="1"/>
    <n v="4199"/>
    <n v="2200"/>
    <n v="4199"/>
    <n v="1999"/>
    <x v="15"/>
    <x v="0"/>
    <s v="Ukraine"/>
    <s v="Business"/>
    <s v="No"/>
    <x v="6"/>
    <x v="1"/>
    <d v="2023-10-27T00:00:00"/>
    <x v="9"/>
  </r>
  <r>
    <n v="736"/>
    <s v="100х41"/>
    <x v="1"/>
    <s v="Mavky"/>
    <s v="Red"/>
    <s v="Volodya"/>
    <s v="Shevchenko"/>
    <x v="1"/>
    <n v="45"/>
    <x v="1"/>
    <n v="3"/>
    <n v="4670"/>
    <n v="2100"/>
    <n v="14010"/>
    <n v="7710"/>
    <x v="34"/>
    <x v="1"/>
    <s v="Ukraine"/>
    <s v="Business"/>
    <s v="No"/>
    <x v="3"/>
    <x v="0"/>
    <d v="2023-11-23T00:00:00"/>
    <x v="5"/>
  </r>
  <r>
    <n v="737"/>
    <s v="70x60"/>
    <x v="1"/>
    <s v="Utactic"/>
    <s v="Rose"/>
    <s v="Dmytro"/>
    <s v="Kovalenko"/>
    <x v="1"/>
    <n v="52"/>
    <x v="2"/>
    <n v="4"/>
    <n v="3130"/>
    <n v="1750"/>
    <n v="12520"/>
    <n v="5520"/>
    <x v="21"/>
    <x v="3"/>
    <s v="Ukraine"/>
    <s v="Business"/>
    <s v="No"/>
    <x v="6"/>
    <x v="2"/>
    <d v="2023-03-18T00:00:00"/>
    <x v="0"/>
  </r>
  <r>
    <n v="738"/>
    <s v="40x41"/>
    <x v="1"/>
    <s v="mi cafe"/>
    <s v="Red"/>
    <s v="Katerina"/>
    <s v="Bondarenko"/>
    <x v="0"/>
    <n v="23"/>
    <x v="0"/>
    <n v="5"/>
    <n v="2590"/>
    <n v="1190"/>
    <n v="12950"/>
    <n v="7000"/>
    <x v="2"/>
    <x v="2"/>
    <s v="Ukraine"/>
    <s v="Business"/>
    <s v="No"/>
    <x v="5"/>
    <x v="3"/>
    <d v="2023-12-24T00:00:00"/>
    <x v="10"/>
  </r>
  <r>
    <n v="739"/>
    <s v="70x32"/>
    <x v="1"/>
    <s v="svitlo"/>
    <s v="Rose"/>
    <s v="Volodya"/>
    <s v="Tkachenko"/>
    <x v="1"/>
    <n v="38"/>
    <x v="1"/>
    <n v="2"/>
    <n v="2460"/>
    <n v="1260"/>
    <n v="4920"/>
    <n v="2400"/>
    <x v="8"/>
    <x v="0"/>
    <s v="Ukraine"/>
    <s v="Business"/>
    <s v="No"/>
    <x v="6"/>
    <x v="1"/>
    <d v="2023-02-13T00:00:00"/>
    <x v="1"/>
  </r>
  <r>
    <n v="740"/>
    <s v="105x53"/>
    <x v="1"/>
    <s v="fresh tour"/>
    <s v="Yellow"/>
    <s v="Nazar"/>
    <s v="Kravchenko"/>
    <x v="1"/>
    <n v="41"/>
    <x v="1"/>
    <n v="3"/>
    <n v="3250"/>
    <n v="2250"/>
    <n v="9750"/>
    <n v="3000"/>
    <x v="23"/>
    <x v="4"/>
    <s v="Ukraine"/>
    <s v="Business"/>
    <s v="No"/>
    <x v="6"/>
    <x v="2"/>
    <d v="2023-03-09T00:00:00"/>
    <x v="0"/>
  </r>
  <r>
    <n v="741"/>
    <s v="90х32"/>
    <x v="1"/>
    <s v="Your dog is awesome"/>
    <s v="Green"/>
    <s v="Alina"/>
    <s v="Boyko"/>
    <x v="0"/>
    <n v="29"/>
    <x v="0"/>
    <n v="1"/>
    <n v="5240"/>
    <n v="1640"/>
    <n v="5240"/>
    <n v="3600"/>
    <x v="31"/>
    <x v="3"/>
    <s v="Ukraine"/>
    <s v="Business"/>
    <s v="No"/>
    <x v="1"/>
    <x v="0"/>
    <d v="2023-07-12T00:00:00"/>
    <x v="8"/>
  </r>
  <r>
    <n v="742"/>
    <s v="80х49"/>
    <x v="1"/>
    <s v="Dog and cat"/>
    <s v="Green"/>
    <s v="Nazar"/>
    <s v="Kovalchuk"/>
    <x v="1"/>
    <n v="60"/>
    <x v="2"/>
    <n v="2"/>
    <n v="4750"/>
    <n v="2550"/>
    <n v="9500"/>
    <n v="4400"/>
    <x v="29"/>
    <x v="0"/>
    <s v="Ukraine"/>
    <s v="Business"/>
    <s v="No"/>
    <x v="7"/>
    <x v="3"/>
    <d v="2023-06-16T00:00:00"/>
    <x v="6"/>
  </r>
  <r>
    <n v="743"/>
    <s v="76х13"/>
    <x v="1"/>
    <s v="You the best"/>
    <s v="Rose"/>
    <s v="Inessa"/>
    <s v="Melnyk"/>
    <x v="0"/>
    <n v="33"/>
    <x v="0"/>
    <n v="4"/>
    <n v="2200"/>
    <n v="995"/>
    <n v="8800"/>
    <n v="4820"/>
    <x v="13"/>
    <x v="1"/>
    <s v="Ukraine"/>
    <s v="Business"/>
    <s v="No"/>
    <x v="6"/>
    <x v="1"/>
    <d v="2023-03-15T00:00:00"/>
    <x v="0"/>
  </r>
  <r>
    <n v="744"/>
    <s v="88х13"/>
    <x v="1"/>
    <s v="Profil"/>
    <s v="Red"/>
    <s v="Inna"/>
    <s v="Marchenko"/>
    <x v="0"/>
    <n v="22"/>
    <x v="0"/>
    <n v="5"/>
    <n v="2290"/>
    <n v="1075"/>
    <n v="11450"/>
    <n v="6075"/>
    <x v="1"/>
    <x v="1"/>
    <s v="Ukraine"/>
    <s v="Business"/>
    <s v="No"/>
    <x v="2"/>
    <x v="0"/>
    <d v="2023-11-28T00:00:00"/>
    <x v="5"/>
  </r>
  <r>
    <n v="745"/>
    <s v="100x54"/>
    <x v="1"/>
    <s v="jumping party"/>
    <s v="Red"/>
    <s v="Anya"/>
    <s v="Lysenko"/>
    <x v="0"/>
    <n v="47"/>
    <x v="1"/>
    <n v="2"/>
    <n v="4970"/>
    <n v="2000"/>
    <n v="9940"/>
    <n v="5940"/>
    <x v="18"/>
    <x v="3"/>
    <s v="Ukraine"/>
    <s v="Business"/>
    <s v="No"/>
    <x v="4"/>
    <x v="2"/>
    <d v="2023-08-09T00:00:00"/>
    <x v="3"/>
  </r>
  <r>
    <n v="746"/>
    <s v="35x15"/>
    <x v="1"/>
    <s v="tviy.dr"/>
    <s v="White"/>
    <s v="Igor"/>
    <s v="Rudenko"/>
    <x v="1"/>
    <n v="55"/>
    <x v="2"/>
    <n v="3"/>
    <n v="1850"/>
    <n v="650"/>
    <n v="5550"/>
    <n v="3600"/>
    <x v="19"/>
    <x v="3"/>
    <s v="Ukraine"/>
    <s v="Business"/>
    <s v="No"/>
    <x v="3"/>
    <x v="3"/>
    <d v="2023-09-02T00:00:00"/>
    <x v="2"/>
  </r>
  <r>
    <n v="747"/>
    <s v="80x25"/>
    <x v="1"/>
    <s v="kseyonce"/>
    <s v="Rose"/>
    <s v="Alina"/>
    <s v="Savchenko"/>
    <x v="0"/>
    <n v="36"/>
    <x v="1"/>
    <n v="1"/>
    <n v="4980"/>
    <n v="1750"/>
    <n v="4980"/>
    <n v="3230"/>
    <x v="0"/>
    <x v="0"/>
    <s v="Ukraine"/>
    <s v="Business"/>
    <s v="No"/>
    <x v="5"/>
    <x v="1"/>
    <d v="2023-11-22T00:00:00"/>
    <x v="5"/>
  </r>
  <r>
    <n v="748"/>
    <s v="90х30"/>
    <x v="1"/>
    <s v="Dj K"/>
    <s v="White"/>
    <s v="Lybov"/>
    <s v="Hrytsenko"/>
    <x v="0"/>
    <n v="28"/>
    <x v="0"/>
    <n v="4"/>
    <n v="3310"/>
    <n v="1485"/>
    <n v="13240"/>
    <n v="7300"/>
    <x v="28"/>
    <x v="2"/>
    <s v="Ukraine"/>
    <s v="Business"/>
    <s v="No"/>
    <x v="1"/>
    <x v="2"/>
    <d v="2023-08-22T00:00:00"/>
    <x v="3"/>
  </r>
  <r>
    <n v="749"/>
    <s v="50х35"/>
    <x v="1"/>
    <s v="Woow you are star"/>
    <s v="Red"/>
    <s v="Hanna"/>
    <s v="Polishchuk"/>
    <x v="0"/>
    <n v="50"/>
    <x v="2"/>
    <n v="5"/>
    <n v="2700"/>
    <n v="1200"/>
    <n v="13500"/>
    <n v="7500"/>
    <x v="26"/>
    <x v="3"/>
    <s v="Ukraine"/>
    <s v="Business"/>
    <s v="No"/>
    <x v="1"/>
    <x v="0"/>
    <d v="2023-02-23T00:00:00"/>
    <x v="1"/>
  </r>
  <r>
    <n v="750"/>
    <s v="90x17"/>
    <x v="1"/>
    <s v="ravlykovy ray"/>
    <s v="Rose"/>
    <s v="Nikola"/>
    <s v="Tymoshenko"/>
    <x v="1"/>
    <n v="39"/>
    <x v="1"/>
    <n v="3"/>
    <n v="3340"/>
    <n v="1240"/>
    <n v="10020"/>
    <n v="6300"/>
    <x v="4"/>
    <x v="3"/>
    <s v="Ukraine"/>
    <s v="Business"/>
    <s v="No"/>
    <x v="4"/>
    <x v="3"/>
    <d v="2023-11-11T00:00:00"/>
    <x v="5"/>
  </r>
  <r>
    <n v="751"/>
    <s v="65x33"/>
    <x v="1"/>
    <s v="maestro music"/>
    <s v="White"/>
    <s v="Ihnat"/>
    <s v="Kostenko"/>
    <x v="1"/>
    <n v="31"/>
    <x v="0"/>
    <n v="2"/>
    <n v="3450"/>
    <n v="1470"/>
    <n v="6900"/>
    <n v="3960"/>
    <x v="3"/>
    <x v="0"/>
    <s v="Ukraine"/>
    <s v="Business"/>
    <s v="No"/>
    <x v="5"/>
    <x v="1"/>
    <d v="2023-06-09T00:00:00"/>
    <x v="6"/>
  </r>
  <r>
    <n v="752"/>
    <s v="100x35"/>
    <x v="1"/>
    <s v="Freestyle"/>
    <s v="Red"/>
    <s v="Slava"/>
    <s v="Zakharchenko"/>
    <x v="0"/>
    <n v="44"/>
    <x v="1"/>
    <n v="4"/>
    <n v="5170"/>
    <n v="2045"/>
    <n v="20680"/>
    <n v="12500"/>
    <x v="18"/>
    <x v="3"/>
    <s v="Ukraine"/>
    <s v="Business"/>
    <s v="No"/>
    <x v="4"/>
    <x v="0"/>
    <d v="2023-11-03T00:00:00"/>
    <x v="5"/>
  </r>
  <r>
    <n v="753"/>
    <s v="80x18"/>
    <x v="1"/>
    <s v="Beauty Peach"/>
    <s v="Rose"/>
    <s v="Galyna"/>
    <s v="Denysenko"/>
    <x v="0"/>
    <n v="26"/>
    <x v="0"/>
    <n v="1"/>
    <n v="2750"/>
    <n v="1150"/>
    <n v="2750"/>
    <n v="1600"/>
    <x v="13"/>
    <x v="1"/>
    <s v="Ukraine"/>
    <s v="Business"/>
    <s v="No"/>
    <x v="2"/>
    <x v="2"/>
    <d v="2023-07-13T00:00:00"/>
    <x v="8"/>
  </r>
  <r>
    <n v="754"/>
    <s v="30x30"/>
    <x v="0"/>
    <s v="Qr code"/>
    <s v="Black"/>
    <s v="Volodymyr"/>
    <s v="Ivanenko"/>
    <x v="1"/>
    <n v="48"/>
    <x v="1"/>
    <n v="5"/>
    <n v="1290"/>
    <n v="700"/>
    <n v="6450"/>
    <n v="2950"/>
    <x v="43"/>
    <x v="4"/>
    <s v="Ukraine"/>
    <s v="Business"/>
    <s v="No"/>
    <x v="0"/>
    <x v="3"/>
    <d v="2023-01-16T00:00:00"/>
    <x v="4"/>
  </r>
  <r>
    <n v="755"/>
    <s v="100х22"/>
    <x v="1"/>
    <s v="Shobsho"/>
    <s v="Red"/>
    <s v="Vitaliaa"/>
    <s v="Oliynyk"/>
    <x v="0"/>
    <n v="53"/>
    <x v="2"/>
    <n v="2"/>
    <n v="3090"/>
    <n v="1590"/>
    <n v="6180"/>
    <n v="3000"/>
    <x v="25"/>
    <x v="3"/>
    <s v="Ukraine"/>
    <s v="Business"/>
    <s v="No"/>
    <x v="4"/>
    <x v="1"/>
    <d v="2023-03-14T00:00:00"/>
    <x v="0"/>
  </r>
  <r>
    <n v="756"/>
    <s v="150х30"/>
    <x v="1"/>
    <s v="Change currency"/>
    <s v="Rose"/>
    <s v="Vitalia"/>
    <s v="Shevchenko"/>
    <x v="0"/>
    <n v="30"/>
    <x v="0"/>
    <n v="3"/>
    <n v="6480"/>
    <n v="3800"/>
    <n v="19440"/>
    <n v="8040"/>
    <x v="25"/>
    <x v="3"/>
    <s v="Ukraine"/>
    <s v="Business"/>
    <s v="No"/>
    <x v="2"/>
    <x v="2"/>
    <d v="2023-03-05T00:00:00"/>
    <x v="0"/>
  </r>
  <r>
    <n v="757"/>
    <s v="150х30"/>
    <x v="1"/>
    <s v="Change currency"/>
    <s v="Red"/>
    <s v="Kateryna"/>
    <s v="Kovalenko"/>
    <x v="0"/>
    <n v="37"/>
    <x v="1"/>
    <n v="4"/>
    <n v="6480"/>
    <n v="3800"/>
    <n v="25920"/>
    <n v="10720"/>
    <x v="41"/>
    <x v="0"/>
    <s v="Ukraine"/>
    <s v="Business"/>
    <s v="No"/>
    <x v="6"/>
    <x v="0"/>
    <d v="2023-04-26T00:00:00"/>
    <x v="7"/>
  </r>
  <r>
    <n v="758"/>
    <s v="66x47"/>
    <x v="1"/>
    <s v="Cosmetics"/>
    <s v="White"/>
    <s v="Segey"/>
    <s v="Bondarenko"/>
    <x v="1"/>
    <n v="42"/>
    <x v="1"/>
    <n v="1"/>
    <n v="5220"/>
    <n v="2120"/>
    <n v="5220"/>
    <n v="3100"/>
    <x v="6"/>
    <x v="1"/>
    <s v="Ukraine"/>
    <s v="Business"/>
    <s v="No"/>
    <x v="7"/>
    <x v="3"/>
    <d v="2023-03-07T00:00:00"/>
    <x v="0"/>
  </r>
  <r>
    <n v="759"/>
    <s v="65х33"/>
    <x v="1"/>
    <s v="oh baby"/>
    <s v="Red"/>
    <s v="Artem"/>
    <s v="Tkachenko"/>
    <x v="1"/>
    <n v="24"/>
    <x v="0"/>
    <n v="5"/>
    <n v="2470"/>
    <n v="1170"/>
    <n v="12350"/>
    <n v="6500"/>
    <x v="11"/>
    <x v="2"/>
    <s v="Ukraine"/>
    <s v="Business"/>
    <s v="No"/>
    <x v="1"/>
    <x v="1"/>
    <d v="2023-12-19T00:00:00"/>
    <x v="10"/>
  </r>
  <r>
    <n v="760"/>
    <s v="75х48"/>
    <x v="1"/>
    <s v="paradse place"/>
    <s v="Rose"/>
    <s v="Bogdan"/>
    <s v="Kravchenko"/>
    <x v="1"/>
    <n v="28"/>
    <x v="0"/>
    <n v="3"/>
    <n v="4180"/>
    <n v="1680"/>
    <n v="12540"/>
    <n v="7500"/>
    <x v="30"/>
    <x v="0"/>
    <s v="Ukraine"/>
    <s v="Business"/>
    <s v="No"/>
    <x v="4"/>
    <x v="0"/>
    <d v="2023-01-10T00:00:00"/>
    <x v="4"/>
  </r>
  <r>
    <n v="761"/>
    <s v="80х60"/>
    <x v="1"/>
    <s v="New culture"/>
    <s v="Red"/>
    <s v="Lazar"/>
    <s v="Boyko"/>
    <x v="1"/>
    <n v="50"/>
    <x v="2"/>
    <n v="2"/>
    <n v="5980"/>
    <n v="2750"/>
    <n v="11960"/>
    <n v="6460"/>
    <x v="33"/>
    <x v="1"/>
    <s v="Ukraine"/>
    <s v="Business"/>
    <s v="No"/>
    <x v="4"/>
    <x v="2"/>
    <d v="2023-05-10T00:00:00"/>
    <x v="11"/>
  </r>
  <r>
    <n v="762"/>
    <s v="100х15"/>
    <x v="1"/>
    <s v="Do how you feel"/>
    <s v="Rose"/>
    <s v="Viola"/>
    <s v="Kovalchuk"/>
    <x v="0"/>
    <n v="39"/>
    <x v="1"/>
    <n v="4"/>
    <n v="4320"/>
    <n v="1680"/>
    <n v="17280"/>
    <n v="10560"/>
    <x v="10"/>
    <x v="0"/>
    <s v="Ukraine"/>
    <s v="Business"/>
    <s v="No"/>
    <x v="3"/>
    <x v="3"/>
    <d v="2023-12-31T00:00:00"/>
    <x v="10"/>
  </r>
  <r>
    <n v="763"/>
    <s v="85х23"/>
    <x v="1"/>
    <s v="You haircut amazing"/>
    <s v="Rose"/>
    <s v="Nazar"/>
    <s v="Melnyk"/>
    <x v="1"/>
    <n v="31"/>
    <x v="0"/>
    <n v="1"/>
    <n v="3200"/>
    <n v="1900"/>
    <n v="3200"/>
    <n v="1300"/>
    <x v="13"/>
    <x v="1"/>
    <s v="Ukraine"/>
    <s v="Business"/>
    <s v="No"/>
    <x v="5"/>
    <x v="1"/>
    <d v="2023-06-19T00:00:00"/>
    <x v="6"/>
  </r>
  <r>
    <n v="764"/>
    <s v="90x60"/>
    <x v="1"/>
    <s v="Rhythm"/>
    <s v="Red"/>
    <s v="Alina"/>
    <s v="Marchenko"/>
    <x v="0"/>
    <n v="44"/>
    <x v="1"/>
    <n v="5"/>
    <n v="3990"/>
    <n v="2100"/>
    <n v="19950"/>
    <n v="9450"/>
    <x v="0"/>
    <x v="0"/>
    <s v="Ukraine"/>
    <s v="Business"/>
    <s v="No"/>
    <x v="3"/>
    <x v="2"/>
    <d v="2023-10-20T00:00:00"/>
    <x v="9"/>
  </r>
  <r>
    <n v="765"/>
    <s v="70x15"/>
    <x v="1"/>
    <s v="Alex media"/>
    <s v="White"/>
    <s v="Nazar"/>
    <s v="Lysenko"/>
    <x v="1"/>
    <n v="26"/>
    <x v="0"/>
    <n v="2"/>
    <n v="2650"/>
    <n v="1150"/>
    <n v="5300"/>
    <n v="3000"/>
    <x v="6"/>
    <x v="1"/>
    <s v="Ukraine"/>
    <s v="Business"/>
    <s v="No"/>
    <x v="1"/>
    <x v="0"/>
    <d v="2023-05-24T00:00:00"/>
    <x v="11"/>
  </r>
  <r>
    <n v="766"/>
    <s v="85x75"/>
    <x v="1"/>
    <s v="Art-Line"/>
    <s v="Red"/>
    <s v="Inessa"/>
    <s v="Rudenko"/>
    <x v="0"/>
    <n v="48"/>
    <x v="1"/>
    <n v="3"/>
    <n v="4950"/>
    <n v="2450"/>
    <n v="14850"/>
    <n v="7500"/>
    <x v="2"/>
    <x v="2"/>
    <s v="Ukraine"/>
    <s v="Business"/>
    <s v="No"/>
    <x v="4"/>
    <x v="3"/>
    <d v="2023-03-19T00:00:00"/>
    <x v="0"/>
  </r>
  <r>
    <n v="767"/>
    <s v="85x65"/>
    <x v="1"/>
    <s v="vape shop"/>
    <s v="Rose"/>
    <s v="Inna"/>
    <s v="Savchenko"/>
    <x v="0"/>
    <n v="53"/>
    <x v="2"/>
    <n v="4"/>
    <n v="5450"/>
    <n v="3300"/>
    <n v="21800"/>
    <n v="8600"/>
    <x v="28"/>
    <x v="2"/>
    <s v="Ukraine"/>
    <s v="Business"/>
    <s v="No"/>
    <x v="0"/>
    <x v="1"/>
    <d v="2023-06-07T00:00:00"/>
    <x v="6"/>
  </r>
  <r>
    <n v="768"/>
    <s v="60x20"/>
    <x v="1"/>
    <s v="Cookies"/>
    <s v="White"/>
    <s v="Anya"/>
    <s v="Hrytsenko"/>
    <x v="0"/>
    <n v="30"/>
    <x v="0"/>
    <n v="1"/>
    <n v="500"/>
    <n v="245"/>
    <n v="500"/>
    <n v="255"/>
    <x v="28"/>
    <x v="2"/>
    <s v="Ukraine"/>
    <s v="Business"/>
    <s v="No"/>
    <x v="5"/>
    <x v="0"/>
    <d v="2023-01-26T00:00:00"/>
    <x v="4"/>
  </r>
  <r>
    <n v="769"/>
    <s v="43х95"/>
    <x v="1"/>
    <s v="Buy her flowers"/>
    <s v="Red"/>
    <s v="Igor"/>
    <s v="Polishchuk"/>
    <x v="1"/>
    <n v="37"/>
    <x v="1"/>
    <n v="5"/>
    <n v="4250"/>
    <n v="2250"/>
    <n v="21250"/>
    <n v="10000"/>
    <x v="28"/>
    <x v="2"/>
    <s v="Ukraine"/>
    <s v="Business"/>
    <s v="No"/>
    <x v="0"/>
    <x v="2"/>
    <d v="2023-06-20T00:00:00"/>
    <x v="6"/>
  </r>
  <r>
    <n v="770"/>
    <s v="100х21"/>
    <x v="1"/>
    <s v="Fruits and vegetables"/>
    <s v="Rose"/>
    <s v="Alina"/>
    <s v="Tymoshenko"/>
    <x v="0"/>
    <n v="42"/>
    <x v="1"/>
    <n v="3"/>
    <n v="4300"/>
    <n v="1600"/>
    <n v="12900"/>
    <n v="8100"/>
    <x v="18"/>
    <x v="3"/>
    <s v="Ukraine"/>
    <s v="Business"/>
    <s v="No"/>
    <x v="2"/>
    <x v="3"/>
    <d v="2023-03-14T00:00:00"/>
    <x v="0"/>
  </r>
  <r>
    <n v="771"/>
    <s v="55х38"/>
    <x v="1"/>
    <s v="Map of Ukraine"/>
    <s v="Red"/>
    <s v="Lybov"/>
    <s v="Kostenko"/>
    <x v="0"/>
    <n v="24"/>
    <x v="0"/>
    <n v="2"/>
    <n v="1900"/>
    <n v="970"/>
    <n v="3800"/>
    <n v="1860"/>
    <x v="2"/>
    <x v="2"/>
    <s v="Ukraine"/>
    <s v="Business"/>
    <s v="No"/>
    <x v="1"/>
    <x v="0"/>
    <d v="2023-09-03T00:00:00"/>
    <x v="2"/>
  </r>
  <r>
    <n v="772"/>
    <s v="100х65"/>
    <x v="1"/>
    <s v="Unforgedable"/>
    <s v="White"/>
    <s v="Hanna"/>
    <s v="Zakharchenko"/>
    <x v="0"/>
    <n v="57"/>
    <x v="2"/>
    <n v="4"/>
    <n v="4820"/>
    <n v="2590"/>
    <n v="19280"/>
    <n v="8920"/>
    <x v="42"/>
    <x v="0"/>
    <s v="Ukraine"/>
    <s v="Business"/>
    <s v="No"/>
    <x v="7"/>
    <x v="2"/>
    <d v="2023-05-31T00:00:00"/>
    <x v="11"/>
  </r>
  <r>
    <n v="773"/>
    <s v="50x18"/>
    <x v="1"/>
    <s v="craft"/>
    <s v="Red"/>
    <s v="Nikola"/>
    <s v="Denysenko"/>
    <x v="1"/>
    <n v="35"/>
    <x v="0"/>
    <n v="1"/>
    <n v="1550"/>
    <n v="1050"/>
    <n v="1550"/>
    <n v="500"/>
    <x v="23"/>
    <x v="4"/>
    <s v="Ukraine"/>
    <s v="Business"/>
    <s v="No"/>
    <x v="2"/>
    <x v="3"/>
    <d v="2023-02-25T00:00:00"/>
    <x v="1"/>
  </r>
  <r>
    <n v="774"/>
    <s v="65x16"/>
    <x v="1"/>
    <s v="legenda"/>
    <s v="Rose"/>
    <s v="Ihnat"/>
    <s v="Ivanenko"/>
    <x v="1"/>
    <n v="40"/>
    <x v="1"/>
    <n v="5"/>
    <n v="2440"/>
    <n v="1090"/>
    <n v="12200"/>
    <n v="6750"/>
    <x v="44"/>
    <x v="1"/>
    <s v="Ukraine"/>
    <s v="Business"/>
    <s v="No"/>
    <x v="2"/>
    <x v="1"/>
    <d v="2023-03-20T00:00:00"/>
    <x v="0"/>
  </r>
  <r>
    <n v="775"/>
    <s v="70х50"/>
    <x v="1"/>
    <s v="Sun shine like"/>
    <s v="Red"/>
    <s v="Slava"/>
    <s v="Oliynyk"/>
    <x v="0"/>
    <n v="21"/>
    <x v="0"/>
    <n v="2"/>
    <n v="5020"/>
    <n v="2100"/>
    <n v="10040"/>
    <n v="5840"/>
    <x v="35"/>
    <x v="0"/>
    <s v="Ukraine"/>
    <s v="Business"/>
    <s v="No"/>
    <x v="4"/>
    <x v="2"/>
    <d v="2023-07-23T00:00:00"/>
    <x v="8"/>
  </r>
  <r>
    <n v="776"/>
    <s v="100x23"/>
    <x v="1"/>
    <s v="flowers"/>
    <s v="Rose"/>
    <s v="Galyna"/>
    <s v="Shevchenko"/>
    <x v="0"/>
    <n v="36"/>
    <x v="1"/>
    <n v="3"/>
    <n v="3880"/>
    <n v="1880"/>
    <n v="11640"/>
    <n v="6000"/>
    <x v="11"/>
    <x v="2"/>
    <s v="Ukraine"/>
    <s v="Business"/>
    <s v="No"/>
    <x v="0"/>
    <x v="0"/>
    <d v="2023-11-09T00:00:00"/>
    <x v="5"/>
  </r>
  <r>
    <n v="777"/>
    <s v="60х60"/>
    <x v="1"/>
    <s v="Robot V"/>
    <s v="Rose"/>
    <s v="Volodymyr"/>
    <s v="Kovalenko"/>
    <x v="1"/>
    <n v="28"/>
    <x v="0"/>
    <n v="4"/>
    <n v="3060"/>
    <n v="1760"/>
    <n v="12240"/>
    <n v="5200"/>
    <x v="11"/>
    <x v="2"/>
    <s v="Ukraine"/>
    <s v="Business"/>
    <s v="No"/>
    <x v="6"/>
    <x v="3"/>
    <d v="2023-03-25T00:00:00"/>
    <x v="0"/>
  </r>
  <r>
    <n v="778"/>
    <s v="220x40"/>
    <x v="1"/>
    <s v="Cosmos flowers"/>
    <s v="Red"/>
    <s v="Vitaliaa"/>
    <s v="Bondarenko"/>
    <x v="0"/>
    <n v="50"/>
    <x v="2"/>
    <n v="1"/>
    <n v="7260"/>
    <n v="4100"/>
    <n v="7260"/>
    <n v="3160"/>
    <x v="13"/>
    <x v="1"/>
    <s v="Ukraine"/>
    <s v="Business"/>
    <s v="No"/>
    <x v="1"/>
    <x v="1"/>
    <d v="2023-05-10T00:00:00"/>
    <x v="11"/>
  </r>
  <r>
    <n v="779"/>
    <s v="74x30"/>
    <x v="1"/>
    <s v="U Home"/>
    <s v="Rose"/>
    <s v="Vitalia"/>
    <s v="Tkachenko"/>
    <x v="0"/>
    <n v="39"/>
    <x v="1"/>
    <n v="5"/>
    <n v="1710"/>
    <n v="850"/>
    <n v="8550"/>
    <n v="4300"/>
    <x v="36"/>
    <x v="0"/>
    <s v="Ukraine"/>
    <s v="Business"/>
    <s v="No"/>
    <x v="1"/>
    <x v="0"/>
    <d v="2023-12-16T00:00:00"/>
    <x v="10"/>
  </r>
  <r>
    <n v="780"/>
    <s v="60x20"/>
    <x v="1"/>
    <s v="open"/>
    <s v="Red"/>
    <s v="Kateryna"/>
    <s v="Kravchenko"/>
    <x v="0"/>
    <n v="31"/>
    <x v="0"/>
    <n v="3"/>
    <n v="2130"/>
    <n v="930"/>
    <n v="6390"/>
    <n v="3600"/>
    <x v="35"/>
    <x v="0"/>
    <s v="Ukraine"/>
    <s v="Business"/>
    <s v="No"/>
    <x v="0"/>
    <x v="2"/>
    <d v="2023-10-12T00:00:00"/>
    <x v="9"/>
  </r>
  <r>
    <n v="781"/>
    <s v="23x23"/>
    <x v="1"/>
    <s v="PS"/>
    <s v="White"/>
    <s v="Segey"/>
    <s v="Boyko"/>
    <x v="1"/>
    <n v="44"/>
    <x v="1"/>
    <n v="2"/>
    <n v="1350"/>
    <n v="650"/>
    <n v="2700"/>
    <n v="1400"/>
    <x v="23"/>
    <x v="4"/>
    <s v="Ukraine"/>
    <s v="Business"/>
    <s v="No"/>
    <x v="2"/>
    <x v="3"/>
    <d v="2023-01-02T00:00:00"/>
    <x v="4"/>
  </r>
  <r>
    <n v="782"/>
    <s v="27x23"/>
    <x v="1"/>
    <s v="VR"/>
    <s v="Red"/>
    <s v="Artem"/>
    <s v="Kovalchuk"/>
    <x v="1"/>
    <n v="26"/>
    <x v="0"/>
    <n v="4"/>
    <n v="1400"/>
    <n v="650"/>
    <n v="5600"/>
    <n v="3000"/>
    <x v="35"/>
    <x v="0"/>
    <s v="Ukraine"/>
    <s v="Business"/>
    <s v="No"/>
    <x v="0"/>
    <x v="1"/>
    <d v="2023-11-10T00:00:00"/>
    <x v="5"/>
  </r>
  <r>
    <n v="783"/>
    <s v="30x23"/>
    <x v="1"/>
    <s v="VIP"/>
    <s v="Rose"/>
    <s v="Nazar"/>
    <s v="Melnyk"/>
    <x v="1"/>
    <n v="48"/>
    <x v="1"/>
    <n v="1"/>
    <n v="1450"/>
    <n v="700"/>
    <n v="1450"/>
    <n v="750"/>
    <x v="26"/>
    <x v="3"/>
    <s v="Ukraine"/>
    <s v="Business"/>
    <s v="No"/>
    <x v="3"/>
    <x v="2"/>
    <d v="2023-11-20T00:00:00"/>
    <x v="5"/>
  </r>
  <r>
    <n v="784"/>
    <s v="64x23"/>
    <x v="1"/>
    <s v="Tennis"/>
    <s v="White"/>
    <s v="Inessa"/>
    <s v="Marchenko"/>
    <x v="0"/>
    <n v="53"/>
    <x v="2"/>
    <n v="5"/>
    <n v="2400"/>
    <n v="1200"/>
    <n v="12000"/>
    <n v="6000"/>
    <x v="19"/>
    <x v="3"/>
    <s v="Ukraine"/>
    <s v="Business"/>
    <s v="No"/>
    <x v="0"/>
    <x v="0"/>
    <d v="2023-12-02T00:00:00"/>
    <x v="10"/>
  </r>
  <r>
    <n v="785"/>
    <s v="63x23"/>
    <x v="1"/>
    <s v="Racing"/>
    <s v="Green"/>
    <s v="Inna"/>
    <s v="Lysenko"/>
    <x v="0"/>
    <n v="30"/>
    <x v="0"/>
    <n v="2"/>
    <n v="2400"/>
    <n v="1200"/>
    <n v="4800"/>
    <n v="2400"/>
    <x v="10"/>
    <x v="0"/>
    <s v="Ukraine"/>
    <s v="Business"/>
    <s v="No"/>
    <x v="6"/>
    <x v="3"/>
    <d v="2023-12-21T00:00:00"/>
    <x v="10"/>
  </r>
  <r>
    <n v="786"/>
    <s v="100x23"/>
    <x v="1"/>
    <s v="Comfort"/>
    <s v="Green"/>
    <s v="Anya"/>
    <s v="Rudenko"/>
    <x v="0"/>
    <n v="37"/>
    <x v="1"/>
    <n v="3"/>
    <n v="2800"/>
    <n v="1400"/>
    <n v="8400"/>
    <n v="4200"/>
    <x v="31"/>
    <x v="3"/>
    <s v="Ukraine"/>
    <s v="Business"/>
    <s v="No"/>
    <x v="0"/>
    <x v="1"/>
    <d v="2023-07-20T00:00:00"/>
    <x v="8"/>
  </r>
  <r>
    <n v="787"/>
    <s v="110х45"/>
    <x v="1"/>
    <s v="anomali sushi контур"/>
    <s v="Rose"/>
    <s v="Igor"/>
    <s v="Savchenko"/>
    <x v="1"/>
    <n v="42"/>
    <x v="1"/>
    <n v="4"/>
    <n v="3700"/>
    <n v="2480"/>
    <n v="14800"/>
    <n v="4880"/>
    <x v="30"/>
    <x v="0"/>
    <s v="Ukraine"/>
    <s v="Business"/>
    <s v="No"/>
    <x v="6"/>
    <x v="0"/>
    <d v="2023-01-31T00:00:00"/>
    <x v="4"/>
  </r>
  <r>
    <n v="788"/>
    <s v="80x20"/>
    <x v="1"/>
    <s v="Girls Space"/>
    <s v="Red"/>
    <s v="Alina"/>
    <s v="Hrytsenko"/>
    <x v="0"/>
    <n v="24"/>
    <x v="0"/>
    <n v="1"/>
    <n v="2790"/>
    <n v="1190"/>
    <n v="2790"/>
    <n v="1600"/>
    <x v="18"/>
    <x v="3"/>
    <s v="Ukraine"/>
    <s v="Business"/>
    <s v="No"/>
    <x v="6"/>
    <x v="2"/>
    <d v="2023-10-05T00:00:00"/>
    <x v="9"/>
  </r>
  <r>
    <n v="789"/>
    <s v="62x31"/>
    <x v="1"/>
    <s v="slim project"/>
    <s v="Rose"/>
    <s v="Volodya"/>
    <s v="Polishchuk"/>
    <x v="1"/>
    <n v="57"/>
    <x v="2"/>
    <n v="5"/>
    <n v="3640"/>
    <n v="1540"/>
    <n v="18200"/>
    <n v="10500"/>
    <x v="5"/>
    <x v="3"/>
    <s v="Ukraine"/>
    <s v="Business"/>
    <s v="No"/>
    <x v="6"/>
    <x v="3"/>
    <d v="2023-08-24T00:00:00"/>
    <x v="3"/>
  </r>
  <r>
    <n v="780"/>
    <s v="50х50"/>
    <x v="1"/>
    <s v="PS"/>
    <s v="Red"/>
    <s v="Dmytro"/>
    <s v="Tymoshenko"/>
    <x v="1"/>
    <n v="35"/>
    <x v="0"/>
    <n v="3"/>
    <n v="6000"/>
    <n v="4000"/>
    <n v="18000"/>
    <n v="6000"/>
    <x v="19"/>
    <x v="3"/>
    <s v="Ukraine"/>
    <s v="Business"/>
    <s v="No"/>
    <x v="5"/>
    <x v="1"/>
    <d v="2023-11-11T00:00:00"/>
    <x v="5"/>
  </r>
  <r>
    <n v="781"/>
    <s v="180х64"/>
    <x v="1"/>
    <s v="Smereka Karpat"/>
    <s v="Yellow"/>
    <s v="Katerina"/>
    <s v="Kostenko"/>
    <x v="0"/>
    <n v="40"/>
    <x v="1"/>
    <n v="2"/>
    <n v="8700"/>
    <n v="5460"/>
    <n v="17400"/>
    <n v="6480"/>
    <x v="4"/>
    <x v="3"/>
    <s v="Ukraine"/>
    <s v="Business"/>
    <s v="No"/>
    <x v="3"/>
    <x v="2"/>
    <d v="2023-03-09T00:00:00"/>
    <x v="0"/>
  </r>
  <r>
    <n v="782"/>
    <s v="70х19"/>
    <x v="1"/>
    <s v="You unforgedable"/>
    <s v="Rose"/>
    <s v="Volodya"/>
    <s v="Zakharchenko"/>
    <x v="1"/>
    <n v="21"/>
    <x v="0"/>
    <n v="4"/>
    <n v="2920"/>
    <n v="920"/>
    <n v="11680"/>
    <n v="8000"/>
    <x v="11"/>
    <x v="2"/>
    <s v="Ukraine"/>
    <s v="Business"/>
    <s v="No"/>
    <x v="5"/>
    <x v="0"/>
    <d v="2023-04-24T00:00:00"/>
    <x v="7"/>
  </r>
  <r>
    <n v="783"/>
    <s v="21,8х100"/>
    <x v="1"/>
    <s v="Flowers"/>
    <s v="White"/>
    <s v="Nazar"/>
    <s v="Denysenko"/>
    <x v="1"/>
    <n v="59"/>
    <x v="2"/>
    <n v="1"/>
    <n v="2750"/>
    <n v="1450"/>
    <n v="2750"/>
    <n v="1300"/>
    <x v="41"/>
    <x v="0"/>
    <s v="Ukraine"/>
    <s v="Business"/>
    <s v="No"/>
    <x v="5"/>
    <x v="3"/>
    <d v="2023-02-10T00:00:00"/>
    <x v="1"/>
  </r>
  <r>
    <n v="784"/>
    <s v="54x60"/>
    <x v="1"/>
    <s v="the teatr"/>
    <s v="Red"/>
    <s v="Alina"/>
    <s v="Ivanenko"/>
    <x v="0"/>
    <n v="34"/>
    <x v="0"/>
    <n v="5"/>
    <n v="3780"/>
    <n v="1780"/>
    <n v="18900"/>
    <n v="10000"/>
    <x v="19"/>
    <x v="3"/>
    <s v="Ukraine"/>
    <s v="Business"/>
    <s v="No"/>
    <x v="1"/>
    <x v="1"/>
    <d v="2023-11-13T00:00:00"/>
    <x v="5"/>
  </r>
  <r>
    <n v="785"/>
    <s v="70x40"/>
    <x v="1"/>
    <s v="merezh nails"/>
    <s v="Green"/>
    <s v="Nazar"/>
    <s v="Oliynyk"/>
    <x v="1"/>
    <n v="27"/>
    <x v="0"/>
    <n v="2"/>
    <n v="3550"/>
    <n v="1570"/>
    <n v="7100"/>
    <n v="3960"/>
    <x v="20"/>
    <x v="0"/>
    <s v="Ukraine"/>
    <s v="Business"/>
    <s v="No"/>
    <x v="6"/>
    <x v="0"/>
    <d v="2023-10-31T00:00:00"/>
    <x v="9"/>
  </r>
  <r>
    <n v="786"/>
    <s v="60x20"/>
    <x v="1"/>
    <s v="gas life"/>
    <s v="Red"/>
    <s v="Inessa"/>
    <s v="Shevchenko"/>
    <x v="0"/>
    <n v="45"/>
    <x v="1"/>
    <n v="3"/>
    <n v="2320"/>
    <n v="1220"/>
    <n v="6960"/>
    <n v="3300"/>
    <x v="12"/>
    <x v="2"/>
    <s v="Ukraine"/>
    <s v="Business"/>
    <s v="No"/>
    <x v="3"/>
    <x v="2"/>
    <d v="2023-08-20T00:00:00"/>
    <x v="3"/>
  </r>
  <r>
    <n v="787"/>
    <s v="50x25"/>
    <x v="1"/>
    <s v="Kevo"/>
    <s v="White"/>
    <s v="Inna"/>
    <s v="Kovalenko"/>
    <x v="0"/>
    <n v="52"/>
    <x v="2"/>
    <n v="4"/>
    <n v="1890"/>
    <n v="890"/>
    <n v="7560"/>
    <n v="4000"/>
    <x v="17"/>
    <x v="1"/>
    <s v="Ukraine"/>
    <s v="Business"/>
    <s v="No"/>
    <x v="0"/>
    <x v="3"/>
    <d v="2023-04-13T00:00:00"/>
    <x v="7"/>
  </r>
  <r>
    <n v="788"/>
    <s v="80x80"/>
    <x v="1"/>
    <s v="dobra kava"/>
    <s v="Rose"/>
    <s v="Anya"/>
    <s v="Bondarenko"/>
    <x v="0"/>
    <n v="23"/>
    <x v="0"/>
    <n v="1"/>
    <n v="3350"/>
    <n v="1850"/>
    <n v="3350"/>
    <n v="1500"/>
    <x v="33"/>
    <x v="1"/>
    <s v="Ukraine"/>
    <s v="Business"/>
    <s v="No"/>
    <x v="4"/>
    <x v="1"/>
    <d v="2023-06-22T00:00:00"/>
    <x v="6"/>
  </r>
  <r>
    <n v="789"/>
    <s v="19x25"/>
    <x v="1"/>
    <s v="My heart"/>
    <s v="White"/>
    <s v="Igor"/>
    <s v="Tkachenko"/>
    <x v="1"/>
    <n v="38"/>
    <x v="1"/>
    <n v="5"/>
    <n v="1900"/>
    <n v="770"/>
    <n v="9500"/>
    <n v="5650"/>
    <x v="44"/>
    <x v="1"/>
    <s v="Ukraine"/>
    <s v="Business"/>
    <s v="No"/>
    <x v="4"/>
    <x v="2"/>
    <d v="2023-09-24T00:00:00"/>
    <x v="2"/>
  </r>
  <r>
    <n v="790"/>
    <s v="45x28"/>
    <x v="1"/>
    <s v="one"/>
    <s v="Red"/>
    <s v="Alina"/>
    <s v="Kravchenko"/>
    <x v="0"/>
    <n v="41"/>
    <x v="1"/>
    <n v="5"/>
    <n v="1760"/>
    <n v="800"/>
    <n v="8800"/>
    <n v="4800"/>
    <x v="34"/>
    <x v="1"/>
    <s v="Ukraine"/>
    <s v="Business"/>
    <s v="No"/>
    <x v="2"/>
    <x v="0"/>
    <d v="2023-10-04T00:00:00"/>
    <x v="9"/>
  </r>
  <r>
    <n v="791"/>
    <s v="40x40"/>
    <x v="1"/>
    <s v="grl pwr"/>
    <s v="Green"/>
    <s v="Lybov"/>
    <s v="Boyko"/>
    <x v="0"/>
    <n v="29"/>
    <x v="0"/>
    <n v="3"/>
    <n v="2400"/>
    <n v="1400"/>
    <n v="7200"/>
    <n v="3000"/>
    <x v="35"/>
    <x v="0"/>
    <s v="Ukraine"/>
    <s v="Business"/>
    <s v="No"/>
    <x v="5"/>
    <x v="3"/>
    <d v="2023-03-16T00:00:00"/>
    <x v="0"/>
  </r>
  <r>
    <n v="792"/>
    <s v="100x35"/>
    <x v="1"/>
    <s v="moroz lingerie"/>
    <s v="Yellow"/>
    <s v="Hanna"/>
    <s v="Kovalchuk"/>
    <x v="0"/>
    <n v="60"/>
    <x v="2"/>
    <n v="2"/>
    <n v="3790"/>
    <n v="1690"/>
    <n v="7580"/>
    <n v="4200"/>
    <x v="26"/>
    <x v="3"/>
    <s v="Ukraine"/>
    <s v="Business"/>
    <s v="No"/>
    <x v="3"/>
    <x v="1"/>
    <d v="2023-10-26T00:00:00"/>
    <x v="9"/>
  </r>
  <r>
    <n v="793"/>
    <s v="72x85"/>
    <x v="1"/>
    <s v="infinity lounge"/>
    <s v="Red"/>
    <s v="Nikola"/>
    <s v="Melnyk"/>
    <x v="1"/>
    <n v="33"/>
    <x v="0"/>
    <n v="4"/>
    <n v="5530"/>
    <n v="2530"/>
    <n v="22120"/>
    <n v="12000"/>
    <x v="29"/>
    <x v="0"/>
    <s v="Ukraine"/>
    <s v="Business"/>
    <s v="No"/>
    <x v="3"/>
    <x v="0"/>
    <d v="2023-11-16T00:00:00"/>
    <x v="5"/>
  </r>
  <r>
    <n v="794"/>
    <s v="45х68"/>
    <x v="1"/>
    <s v="Music room"/>
    <s v="Yellow"/>
    <s v="Ihnat"/>
    <s v="Marchenko"/>
    <x v="1"/>
    <n v="22"/>
    <x v="0"/>
    <n v="1"/>
    <n v="5150"/>
    <n v="2050"/>
    <n v="5150"/>
    <n v="3100"/>
    <x v="38"/>
    <x v="2"/>
    <s v="Ukraine"/>
    <s v="Business"/>
    <s v="No"/>
    <x v="7"/>
    <x v="2"/>
    <d v="2023-10-04T00:00:00"/>
    <x v="9"/>
  </r>
  <r>
    <n v="795"/>
    <s v="40x15"/>
    <x v="1"/>
    <s v="Sasha"/>
    <s v="Green"/>
    <s v="Lybov"/>
    <s v="Lysenko"/>
    <x v="0"/>
    <n v="47"/>
    <x v="1"/>
    <n v="5"/>
    <n v="3500"/>
    <n v="1880"/>
    <n v="17500"/>
    <n v="8100"/>
    <x v="24"/>
    <x v="3"/>
    <s v="Ukraine"/>
    <s v="Business"/>
    <s v="No"/>
    <x v="0"/>
    <x v="3"/>
    <d v="2023-08-12T00:00:00"/>
    <x v="3"/>
  </r>
  <r>
    <n v="796"/>
    <s v="60x25"/>
    <x v="1"/>
    <s v="Laptopchik"/>
    <s v="Green"/>
    <s v="Hanna"/>
    <s v="Rudenko"/>
    <x v="0"/>
    <n v="55"/>
    <x v="2"/>
    <n v="2"/>
    <n v="3950"/>
    <n v="1950"/>
    <n v="7900"/>
    <n v="4000"/>
    <x v="10"/>
    <x v="0"/>
    <s v="Ukraine"/>
    <s v="Business"/>
    <s v="No"/>
    <x v="5"/>
    <x v="1"/>
    <d v="2023-01-15T00:00:00"/>
    <x v="4"/>
  </r>
  <r>
    <n v="797"/>
    <s v="80х73"/>
    <x v="1"/>
    <s v="Its so sexy"/>
    <s v="Yellow"/>
    <s v="Nikola"/>
    <s v="Savchenko"/>
    <x v="1"/>
    <n v="36"/>
    <x v="1"/>
    <n v="3"/>
    <n v="6530"/>
    <n v="2740"/>
    <n v="19590"/>
    <n v="11370"/>
    <x v="11"/>
    <x v="2"/>
    <s v="Ukraine"/>
    <s v="Business"/>
    <s v="No"/>
    <x v="6"/>
    <x v="2"/>
    <d v="2023-02-04T00:00:00"/>
    <x v="1"/>
  </r>
  <r>
    <n v="798"/>
    <s v="100x15"/>
    <x v="1"/>
    <s v="Face"/>
    <s v="Red"/>
    <s v="Ihnat"/>
    <s v="Hrytsenko"/>
    <x v="1"/>
    <n v="28"/>
    <x v="0"/>
    <n v="4"/>
    <n v="4290"/>
    <n v="2290"/>
    <n v="17160"/>
    <n v="8000"/>
    <x v="12"/>
    <x v="2"/>
    <s v="Ukraine"/>
    <s v="Business"/>
    <s v="No"/>
    <x v="2"/>
    <x v="0"/>
    <d v="2023-05-28T00:00:00"/>
    <x v="11"/>
  </r>
  <r>
    <n v="799"/>
    <s v="48х80"/>
    <x v="1"/>
    <s v="Girls body"/>
    <s v="Black"/>
    <s v="Slava"/>
    <s v="Polishchuk"/>
    <x v="0"/>
    <n v="50"/>
    <x v="2"/>
    <n v="1"/>
    <n v="2900"/>
    <n v="1900"/>
    <n v="2900"/>
    <n v="1000"/>
    <x v="5"/>
    <x v="3"/>
    <s v="Ukraine"/>
    <s v="Business"/>
    <s v="No"/>
    <x v="1"/>
    <x v="3"/>
    <d v="2023-01-30T00:00:00"/>
    <x v="4"/>
  </r>
  <r>
    <n v="800"/>
    <s v="75x76"/>
    <x v="1"/>
    <s v="AM PM"/>
    <s v="Green"/>
    <s v="Galyna"/>
    <s v="Tymoshenko"/>
    <x v="0"/>
    <n v="39"/>
    <x v="1"/>
    <n v="5"/>
    <n v="5050"/>
    <n v="2740"/>
    <n v="25250"/>
    <n v="11550"/>
    <x v="24"/>
    <x v="3"/>
    <s v="Ukraine"/>
    <s v="Business"/>
    <s v="No"/>
    <x v="6"/>
    <x v="1"/>
    <d v="2023-01-10T00:00:00"/>
    <x v="4"/>
  </r>
  <r>
    <n v="801"/>
    <s v="90х18"/>
    <x v="1"/>
    <s v="Dance and dream"/>
    <s v="Green"/>
    <s v="Volodymyr"/>
    <s v="Kostenko"/>
    <x v="1"/>
    <n v="31"/>
    <x v="0"/>
    <n v="3"/>
    <n v="3940"/>
    <n v="1470"/>
    <n v="11820"/>
    <n v="7410"/>
    <x v="13"/>
    <x v="1"/>
    <s v="Ukraine"/>
    <s v="Business"/>
    <s v="No"/>
    <x v="6"/>
    <x v="0"/>
    <d v="2023-06-08T00:00:00"/>
    <x v="6"/>
  </r>
  <r>
    <n v="802"/>
    <s v="60x20"/>
    <x v="1"/>
    <s v="Drink and dream"/>
    <s v="Yellow"/>
    <s v="Vitaliaa"/>
    <s v="Zakharchenko"/>
    <x v="0"/>
    <n v="44"/>
    <x v="1"/>
    <n v="2"/>
    <n v="1280"/>
    <n v="625"/>
    <n v="2560"/>
    <n v="1310"/>
    <x v="35"/>
    <x v="0"/>
    <s v="Ukraine"/>
    <s v="Business"/>
    <s v="No"/>
    <x v="5"/>
    <x v="2"/>
    <d v="2023-11-05T00:00:00"/>
    <x v="5"/>
  </r>
  <r>
    <n v="803"/>
    <s v="20x20"/>
    <x v="1"/>
    <s v="Repair store"/>
    <s v="Red"/>
    <s v="Vitalia"/>
    <s v="Denysenko"/>
    <x v="0"/>
    <n v="26"/>
    <x v="0"/>
    <n v="4"/>
    <n v="300"/>
    <n v="110"/>
    <n v="1200"/>
    <n v="760"/>
    <x v="24"/>
    <x v="3"/>
    <s v="Ukraine"/>
    <s v="Business"/>
    <s v="No"/>
    <x v="0"/>
    <x v="3"/>
    <d v="2023-08-27T00:00:00"/>
    <x v="3"/>
  </r>
  <r>
    <n v="804"/>
    <s v="100x15"/>
    <x v="1"/>
    <s v="Moon coffee"/>
    <s v="Red"/>
    <s v="Kateryna"/>
    <s v="Ivanenko"/>
    <x v="0"/>
    <n v="48"/>
    <x v="1"/>
    <n v="1"/>
    <n v="400"/>
    <n v="240"/>
    <n v="400"/>
    <n v="160"/>
    <x v="2"/>
    <x v="2"/>
    <s v="Ukraine"/>
    <s v="Business"/>
    <s v="No"/>
    <x v="5"/>
    <x v="1"/>
    <d v="2023-04-18T00:00:00"/>
    <x v="7"/>
  </r>
  <r>
    <n v="805"/>
    <s v="30х30"/>
    <x v="1"/>
    <s v="paw"/>
    <s v="Rose"/>
    <s v="Segey"/>
    <s v="Oliynyk"/>
    <x v="1"/>
    <n v="53"/>
    <x v="2"/>
    <n v="5"/>
    <n v="2500"/>
    <n v="1230"/>
    <n v="12500"/>
    <n v="6350"/>
    <x v="6"/>
    <x v="1"/>
    <s v="Ukraine"/>
    <s v="Business"/>
    <s v="No"/>
    <x v="7"/>
    <x v="2"/>
    <d v="2023-05-05T00:00:00"/>
    <x v="11"/>
  </r>
  <r>
    <n v="806"/>
    <s v="80x25"/>
    <x v="1"/>
    <s v="sharm"/>
    <s v="White"/>
    <s v="Artem"/>
    <s v="Shevchenko"/>
    <x v="1"/>
    <n v="30"/>
    <x v="0"/>
    <n v="2"/>
    <n v="2600"/>
    <n v="1230"/>
    <n v="5200"/>
    <n v="2740"/>
    <x v="27"/>
    <x v="0"/>
    <s v="Ukraine"/>
    <s v="Business"/>
    <s v="No"/>
    <x v="2"/>
    <x v="0"/>
    <d v="2023-07-31T00:00:00"/>
    <x v="8"/>
  </r>
  <r>
    <n v="807"/>
    <s v="65x35"/>
    <x v="1"/>
    <s v="soft english"/>
    <s v="Green"/>
    <s v="Slava"/>
    <s v="Kovalenko"/>
    <x v="0"/>
    <n v="37"/>
    <x v="1"/>
    <n v="3"/>
    <n v="3730"/>
    <n v="1730"/>
    <n v="11190"/>
    <n v="6000"/>
    <x v="18"/>
    <x v="3"/>
    <s v="Ukraine"/>
    <s v="Business"/>
    <s v="No"/>
    <x v="4"/>
    <x v="3"/>
    <d v="2023-12-14T00:00:00"/>
    <x v="10"/>
  </r>
  <r>
    <n v="808"/>
    <s v="100x45"/>
    <x v="1"/>
    <s v="shalena shop"/>
    <s v="Green"/>
    <s v="Galyna"/>
    <s v="Bondarenko"/>
    <x v="0"/>
    <n v="42"/>
    <x v="1"/>
    <n v="4"/>
    <n v="4300"/>
    <n v="2050"/>
    <n v="17200"/>
    <n v="9000"/>
    <x v="30"/>
    <x v="0"/>
    <s v="Ukraine"/>
    <s v="Business"/>
    <s v="No"/>
    <x v="2"/>
    <x v="1"/>
    <d v="2023-04-06T00:00:00"/>
    <x v="7"/>
  </r>
  <r>
    <n v="809"/>
    <s v="79х174"/>
    <x v="1"/>
    <s v="You are my soul"/>
    <s v="Rose"/>
    <s v="Volodymyr"/>
    <s v="Tkachenko"/>
    <x v="1"/>
    <n v="24"/>
    <x v="0"/>
    <n v="1"/>
    <n v="6900"/>
    <n v="4000"/>
    <n v="6900"/>
    <n v="2900"/>
    <x v="31"/>
    <x v="3"/>
    <s v="Ukraine"/>
    <s v="Business"/>
    <s v="No"/>
    <x v="1"/>
    <x v="0"/>
    <d v="2023-12-01T00:00:00"/>
    <x v="10"/>
  </r>
  <r>
    <n v="810"/>
    <s v="30x37"/>
    <x v="1"/>
    <s v="qr code "/>
    <s v="Red"/>
    <s v="Vitaliaa"/>
    <s v="Kravchenko"/>
    <x v="0"/>
    <n v="57"/>
    <x v="2"/>
    <n v="5"/>
    <n v="1200"/>
    <n v="700"/>
    <n v="6000"/>
    <n v="2500"/>
    <x v="0"/>
    <x v="0"/>
    <s v="Ukraine"/>
    <s v="Business"/>
    <s v="No"/>
    <x v="4"/>
    <x v="2"/>
    <d v="2023-01-10T00:00:00"/>
    <x v="4"/>
  </r>
  <r>
    <n v="811"/>
    <s v="100x70"/>
    <x v="1"/>
    <s v="vape hub"/>
    <s v="White"/>
    <s v="Vitalia"/>
    <s v="Boyko"/>
    <x v="0"/>
    <n v="35"/>
    <x v="0"/>
    <n v="3"/>
    <n v="6430"/>
    <n v="4130"/>
    <n v="19290"/>
    <n v="6900"/>
    <x v="17"/>
    <x v="1"/>
    <s v="Ukraine"/>
    <s v="Business"/>
    <s v="No"/>
    <x v="3"/>
    <x v="3"/>
    <d v="2023-01-11T00:00:00"/>
    <x v="4"/>
  </r>
  <r>
    <n v="812"/>
    <s v="60x20"/>
    <x v="1"/>
    <s v="Polish "/>
    <s v="Rose"/>
    <s v="Kateryna"/>
    <s v="Kovalchuk"/>
    <x v="0"/>
    <n v="40"/>
    <x v="1"/>
    <n v="2"/>
    <n v="500"/>
    <n v="220"/>
    <n v="1000"/>
    <n v="560"/>
    <x v="13"/>
    <x v="1"/>
    <s v="Ukraine"/>
    <s v="Business"/>
    <s v="No"/>
    <x v="1"/>
    <x v="1"/>
    <d v="2023-07-06T00:00:00"/>
    <x v="8"/>
  </r>
  <r>
    <n v="813"/>
    <s v="50x10"/>
    <x v="1"/>
    <s v="vape hub"/>
    <s v="White"/>
    <s v="Segey"/>
    <s v="Melnyk"/>
    <x v="1"/>
    <n v="21"/>
    <x v="0"/>
    <n v="4"/>
    <n v="5650"/>
    <n v="3350"/>
    <n v="22600"/>
    <n v="9200"/>
    <x v="40"/>
    <x v="3"/>
    <s v="Ukraine"/>
    <s v="Business"/>
    <s v="No"/>
    <x v="6"/>
    <x v="2"/>
    <d v="2023-04-28T00:00:00"/>
    <x v="7"/>
  </r>
  <r>
    <n v="814"/>
    <s v="60x20"/>
    <x v="1"/>
    <s v="English"/>
    <s v="Red"/>
    <s v="Artem"/>
    <s v="Marchenko"/>
    <x v="1"/>
    <n v="59"/>
    <x v="2"/>
    <n v="1"/>
    <n v="900"/>
    <n v="380"/>
    <n v="900"/>
    <n v="520"/>
    <x v="43"/>
    <x v="4"/>
    <s v="Ukraine"/>
    <s v="Business"/>
    <s v="No"/>
    <x v="3"/>
    <x v="0"/>
    <d v="2023-02-01T00:00:00"/>
    <x v="1"/>
  </r>
  <r>
    <n v="814"/>
    <s v="60x15"/>
    <x v="1"/>
    <s v="this is the sign"/>
    <s v="Rose"/>
    <s v="Bogdan"/>
    <s v="Lysenko"/>
    <x v="1"/>
    <n v="32"/>
    <x v="0"/>
    <n v="5"/>
    <n v="5880"/>
    <n v="1820"/>
    <n v="29400"/>
    <n v="20300"/>
    <x v="10"/>
    <x v="0"/>
    <s v="Ukraine"/>
    <s v="Business"/>
    <s v="No"/>
    <x v="0"/>
    <x v="3"/>
    <d v="2023-11-04T00:00:00"/>
    <x v="5"/>
  </r>
  <r>
    <n v="815"/>
    <s v="30х22"/>
    <x v="1"/>
    <s v="Heart"/>
    <s v="White"/>
    <s v="Lazar"/>
    <s v="Rudenko"/>
    <x v="1"/>
    <n v="46"/>
    <x v="1"/>
    <n v="2"/>
    <n v="1350"/>
    <n v="610"/>
    <n v="2700"/>
    <n v="1480"/>
    <x v="29"/>
    <x v="0"/>
    <s v="Ukraine"/>
    <s v="Business"/>
    <s v="No"/>
    <x v="6"/>
    <x v="1"/>
    <d v="2023-10-08T00:00:00"/>
    <x v="9"/>
  </r>
  <r>
    <n v="816"/>
    <s v="48х50"/>
    <x v="1"/>
    <s v="Coffee fo me"/>
    <s v="Red"/>
    <s v="Viola"/>
    <s v="Savchenko"/>
    <x v="0"/>
    <n v="54"/>
    <x v="2"/>
    <n v="3"/>
    <n v="5630"/>
    <n v="2300"/>
    <n v="16890"/>
    <n v="9990"/>
    <x v="17"/>
    <x v="1"/>
    <s v="Ukraine"/>
    <s v="Business"/>
    <s v="No"/>
    <x v="1"/>
    <x v="0"/>
    <d v="2023-11-12T00:00:00"/>
    <x v="5"/>
  </r>
  <r>
    <n v="817"/>
    <s v="20х25"/>
    <x v="1"/>
    <s v="Qr code"/>
    <s v="Green"/>
    <s v="Nazar"/>
    <s v="Hrytsenko"/>
    <x v="1"/>
    <n v="25"/>
    <x v="0"/>
    <n v="4"/>
    <n v="1190"/>
    <n v="480"/>
    <n v="4760"/>
    <n v="2840"/>
    <x v="28"/>
    <x v="2"/>
    <s v="Ukraine"/>
    <s v="Business"/>
    <s v="No"/>
    <x v="7"/>
    <x v="2"/>
    <d v="2023-04-25T00:00:00"/>
    <x v="7"/>
  </r>
  <r>
    <n v="818"/>
    <s v="60x37"/>
    <x v="1"/>
    <s v="aesthetic room"/>
    <s v="Red"/>
    <s v="Alina"/>
    <s v="Polishchuk"/>
    <x v="0"/>
    <n v="43"/>
    <x v="1"/>
    <n v="3"/>
    <n v="3890"/>
    <n v="1480"/>
    <n v="11670"/>
    <n v="7230"/>
    <x v="5"/>
    <x v="3"/>
    <s v="Ukraine"/>
    <s v="Business"/>
    <s v="No"/>
    <x v="1"/>
    <x v="3"/>
    <d v="2023-11-10T00:00:00"/>
    <x v="5"/>
  </r>
  <r>
    <n v="819"/>
    <s v="50x17"/>
    <x v="1"/>
    <s v="m family"/>
    <s v="Black"/>
    <s v="Nazar"/>
    <s v="Tymoshenko"/>
    <x v="1"/>
    <n v="58"/>
    <x v="2"/>
    <n v="1"/>
    <n v="5520"/>
    <n v="3130"/>
    <n v="5520"/>
    <n v="2390"/>
    <x v="13"/>
    <x v="1"/>
    <s v="Ukraine"/>
    <s v="Business"/>
    <s v="No"/>
    <x v="4"/>
    <x v="2"/>
    <d v="2023-12-11T00:00:00"/>
    <x v="10"/>
  </r>
  <r>
    <n v="820"/>
    <s v="60x20"/>
    <x v="1"/>
    <s v="Dance pls"/>
    <s v="Rose"/>
    <s v="Inessa"/>
    <s v="Kostenko"/>
    <x v="0"/>
    <n v="20"/>
    <x v="0"/>
    <n v="4"/>
    <n v="2680"/>
    <n v="1180"/>
    <n v="10720"/>
    <n v="6000"/>
    <x v="32"/>
    <x v="0"/>
    <s v="Ukraine"/>
    <s v="Business"/>
    <s v="No"/>
    <x v="0"/>
    <x v="0"/>
    <d v="2023-05-19T00:00:00"/>
    <x v="11"/>
  </r>
  <r>
    <n v="821"/>
    <s v="100x20"/>
    <x v="1"/>
    <s v="mars coffee"/>
    <s v="White"/>
    <s v="Inna"/>
    <s v="Zakharchenko"/>
    <x v="0"/>
    <n v="49"/>
    <x v="1"/>
    <n v="5"/>
    <n v="400"/>
    <n v="160"/>
    <n v="2000"/>
    <n v="1200"/>
    <x v="37"/>
    <x v="4"/>
    <s v="Ukraine"/>
    <s v="Business"/>
    <s v="No"/>
    <x v="2"/>
    <x v="3"/>
    <d v="2023-05-18T00:00:00"/>
    <x v="11"/>
  </r>
  <r>
    <n v="822"/>
    <s v="80x20"/>
    <x v="1"/>
    <s v="david&amp;kristina"/>
    <s v="Red"/>
    <s v="Lenok"/>
    <s v="Denysenko"/>
    <x v="0"/>
    <n v="34"/>
    <x v="0"/>
    <n v="3"/>
    <n v="3780"/>
    <n v="1500"/>
    <n v="11340"/>
    <n v="6840"/>
    <x v="18"/>
    <x v="3"/>
    <s v="Ukraine"/>
    <s v="Business"/>
    <s v="No"/>
    <x v="4"/>
    <x v="1"/>
    <d v="2023-06-25T00:00:00"/>
    <x v="6"/>
  </r>
  <r>
    <n v="823"/>
    <s v="150х65"/>
    <x v="1"/>
    <s v="Small box"/>
    <s v="Green"/>
    <s v="Mia"/>
    <s v="Ivanenko"/>
    <x v="0"/>
    <n v="27"/>
    <x v="0"/>
    <n v="2"/>
    <n v="4900"/>
    <n v="3250"/>
    <n v="9800"/>
    <n v="3300"/>
    <x v="40"/>
    <x v="3"/>
    <s v="Ukraine"/>
    <s v="Business"/>
    <s v="No"/>
    <x v="6"/>
    <x v="0"/>
    <d v="2023-10-21T00:00:00"/>
    <x v="9"/>
  </r>
  <r>
    <n v="824"/>
    <s v="120x47"/>
    <x v="1"/>
    <s v="nexus"/>
    <s v="Yellow"/>
    <s v="Mila"/>
    <s v="Oliynyk"/>
    <x v="0"/>
    <n v="45"/>
    <x v="1"/>
    <n v="4"/>
    <n v="6200"/>
    <n v="3400"/>
    <n v="24800"/>
    <n v="11200"/>
    <x v="31"/>
    <x v="3"/>
    <s v="Ukraine"/>
    <s v="Business"/>
    <s v="No"/>
    <x v="7"/>
    <x v="2"/>
    <d v="2023-10-22T00:00:00"/>
    <x v="9"/>
  </r>
  <r>
    <n v="825"/>
    <s v="70x45"/>
    <x v="1"/>
    <s v="game zone"/>
    <s v="Red"/>
    <s v="Maria"/>
    <s v="Shevchenko"/>
    <x v="0"/>
    <n v="52"/>
    <x v="2"/>
    <n v="1"/>
    <n v="3330"/>
    <n v="2200"/>
    <n v="3330"/>
    <n v="1130"/>
    <x v="34"/>
    <x v="1"/>
    <s v="Ukraine"/>
    <s v="Business"/>
    <s v="No"/>
    <x v="7"/>
    <x v="3"/>
    <d v="2023-08-22T00:00:00"/>
    <x v="3"/>
  </r>
  <r>
    <n v="826"/>
    <s v="80х45"/>
    <x v="1"/>
    <s v="Lets dance"/>
    <s v="Black"/>
    <s v="Mary"/>
    <s v="Kovalenko"/>
    <x v="0"/>
    <n v="23"/>
    <x v="0"/>
    <n v="5"/>
    <n v="5000"/>
    <n v="2900"/>
    <n v="25000"/>
    <n v="10500"/>
    <x v="14"/>
    <x v="3"/>
    <s v="Ukraine"/>
    <s v="Business"/>
    <s v="No"/>
    <x v="5"/>
    <x v="1"/>
    <d v="2023-06-02T00:00:00"/>
    <x v="6"/>
  </r>
  <r>
    <n v="827"/>
    <s v="50x17"/>
    <x v="1"/>
    <s v="barberry"/>
    <s v="Green"/>
    <s v="Ihgor"/>
    <s v="Bondarenko"/>
    <x v="1"/>
    <n v="38"/>
    <x v="1"/>
    <n v="2"/>
    <n v="2150"/>
    <n v="840"/>
    <n v="4300"/>
    <n v="2620"/>
    <x v="14"/>
    <x v="3"/>
    <s v="Ukraine"/>
    <s v="Business"/>
    <s v="No"/>
    <x v="1"/>
    <x v="2"/>
    <d v="2023-03-02T00:00:00"/>
    <x v="0"/>
  </r>
  <r>
    <n v="828"/>
    <s v="125x30"/>
    <x v="1"/>
    <s v="coffee lab"/>
    <s v="Green"/>
    <s v="Vlad"/>
    <s v="Tkachenko"/>
    <x v="1"/>
    <n v="41"/>
    <x v="1"/>
    <n v="3"/>
    <n v="5150"/>
    <n v="2350"/>
    <n v="15450"/>
    <n v="8400"/>
    <x v="13"/>
    <x v="1"/>
    <s v="Ukraine"/>
    <s v="Business"/>
    <s v="No"/>
    <x v="0"/>
    <x v="0"/>
    <d v="2023-08-11T00:00:00"/>
    <x v="3"/>
  </r>
  <r>
    <n v="829"/>
    <s v="15х15"/>
    <x v="1"/>
    <s v="Qr code"/>
    <s v="Yellow"/>
    <s v="Saha"/>
    <s v="Kravchenko"/>
    <x v="1"/>
    <n v="29"/>
    <x v="0"/>
    <n v="4"/>
    <n v="1000"/>
    <n v="550"/>
    <n v="4000"/>
    <n v="1800"/>
    <x v="32"/>
    <x v="0"/>
    <s v="Ukraine"/>
    <s v="Business"/>
    <s v="No"/>
    <x v="7"/>
    <x v="3"/>
    <d v="2023-09-24T00:00:00"/>
    <x v="2"/>
  </r>
  <r>
    <n v="830"/>
    <s v="120х120"/>
    <x v="1"/>
    <s v="Blue and yellow"/>
    <s v="Red"/>
    <s v="Dasha"/>
    <s v="Boyko"/>
    <x v="0"/>
    <n v="60"/>
    <x v="2"/>
    <n v="1"/>
    <n v="9800"/>
    <n v="5700"/>
    <n v="9800"/>
    <n v="4100"/>
    <x v="34"/>
    <x v="1"/>
    <s v="Ukraine"/>
    <s v="Business"/>
    <s v="No"/>
    <x v="5"/>
    <x v="1"/>
    <d v="2023-04-30T00:00:00"/>
    <x v="7"/>
  </r>
  <r>
    <n v="831"/>
    <s v="80x20"/>
    <x v="1"/>
    <s v="Flowers"/>
    <s v="Red"/>
    <s v="Daria"/>
    <s v="Kovalchuk"/>
    <x v="0"/>
    <n v="33"/>
    <x v="0"/>
    <n v="5"/>
    <n v="4000"/>
    <n v="2000"/>
    <n v="20000"/>
    <n v="10000"/>
    <x v="17"/>
    <x v="1"/>
    <s v="Ukraine"/>
    <s v="Business"/>
    <s v="No"/>
    <x v="0"/>
    <x v="0"/>
    <d v="2023-06-27T00:00:00"/>
    <x v="6"/>
  </r>
  <r>
    <n v="832"/>
    <s v="60x20"/>
    <x v="1"/>
    <s v="Baloons"/>
    <s v="Rose"/>
    <s v="Petro"/>
    <s v="Melnyk"/>
    <x v="1"/>
    <n v="22"/>
    <x v="0"/>
    <n v="3"/>
    <n v="4200"/>
    <n v="2200"/>
    <n v="12600"/>
    <n v="6000"/>
    <x v="26"/>
    <x v="3"/>
    <s v="Ukraine"/>
    <s v="Business"/>
    <s v="No"/>
    <x v="0"/>
    <x v="2"/>
    <d v="2023-12-26T00:00:00"/>
    <x v="10"/>
  </r>
  <r>
    <n v="833"/>
    <s v="80x20"/>
    <x v="1"/>
    <s v="impro_kr"/>
    <s v="White"/>
    <s v="Vasyl"/>
    <s v="Marchenko"/>
    <x v="1"/>
    <n v="47"/>
    <x v="1"/>
    <n v="2"/>
    <n v="2450"/>
    <n v="1150"/>
    <n v="4900"/>
    <n v="2600"/>
    <x v="35"/>
    <x v="0"/>
    <s v="Ukraine"/>
    <s v="Business"/>
    <s v="No"/>
    <x v="2"/>
    <x v="3"/>
    <d v="2023-04-11T00:00:00"/>
    <x v="7"/>
  </r>
  <r>
    <n v="834"/>
    <s v="100х40"/>
    <x v="1"/>
    <s v="Sugar"/>
    <s v="Green"/>
    <s v="Alina"/>
    <s v="Lysenko"/>
    <x v="0"/>
    <n v="55"/>
    <x v="2"/>
    <n v="4"/>
    <n v="3550"/>
    <n v="2050"/>
    <n v="14200"/>
    <n v="6000"/>
    <x v="10"/>
    <x v="0"/>
    <s v="Ukraine"/>
    <s v="Business"/>
    <s v="No"/>
    <x v="6"/>
    <x v="1"/>
    <d v="2023-03-26T00:00:00"/>
    <x v="0"/>
  </r>
  <r>
    <n v="835"/>
    <s v="50x40"/>
    <x v="1"/>
    <s v="ukrainian travel"/>
    <s v="Green"/>
    <s v="Pablo"/>
    <s v="Rudenko"/>
    <x v="1"/>
    <n v="36"/>
    <x v="1"/>
    <n v="5"/>
    <n v="4040"/>
    <n v="1820"/>
    <n v="20200"/>
    <n v="11100"/>
    <x v="34"/>
    <x v="1"/>
    <s v="Ukraine"/>
    <s v="Business"/>
    <s v="No"/>
    <x v="0"/>
    <x v="2"/>
    <d v="2023-03-10T00:00:00"/>
    <x v="0"/>
  </r>
  <r>
    <n v="836"/>
    <s v="85x39"/>
    <x v="1"/>
    <s v="Happy birthday"/>
    <s v="Rose"/>
    <s v="Gustavo"/>
    <s v="Savchenko"/>
    <x v="1"/>
    <n v="28"/>
    <x v="0"/>
    <n v="3"/>
    <n v="3890"/>
    <n v="1890"/>
    <n v="11670"/>
    <n v="6000"/>
    <x v="29"/>
    <x v="0"/>
    <s v="Ukraine"/>
    <s v="Business"/>
    <s v="No"/>
    <x v="5"/>
    <x v="0"/>
    <d v="2023-07-16T00:00:00"/>
    <x v="8"/>
  </r>
  <r>
    <n v="837"/>
    <s v="200x45"/>
    <x v="1"/>
    <s v="dobro"/>
    <s v="Red"/>
    <s v="Muron"/>
    <s v="Hrytsenko"/>
    <x v="1"/>
    <n v="50"/>
    <x v="2"/>
    <n v="2"/>
    <n v="9200"/>
    <n v="5200"/>
    <n v="18400"/>
    <n v="8000"/>
    <x v="28"/>
    <x v="2"/>
    <s v="Ukraine"/>
    <s v="Business"/>
    <s v="No"/>
    <x v="1"/>
    <x v="3"/>
    <d v="2023-07-13T00:00:00"/>
    <x v="8"/>
  </r>
  <r>
    <n v="838"/>
    <s v="25x25"/>
    <x v="1"/>
    <s v="A man"/>
    <s v="White"/>
    <s v="Olya"/>
    <s v="Polishchuk"/>
    <x v="0"/>
    <n v="39"/>
    <x v="1"/>
    <n v="4"/>
    <n v="2400"/>
    <n v="1100"/>
    <n v="9600"/>
    <n v="5200"/>
    <x v="43"/>
    <x v="4"/>
    <s v="Ukraine"/>
    <s v="Business"/>
    <s v="No"/>
    <x v="3"/>
    <x v="1"/>
    <d v="2023-10-12T00:00:00"/>
    <x v="9"/>
  </r>
  <r>
    <n v="839"/>
    <s v="70х120"/>
    <x v="1"/>
    <s v="Go and eat"/>
    <s v="Rose"/>
    <s v="Mark"/>
    <s v="Tymoshenko"/>
    <x v="1"/>
    <n v="31"/>
    <x v="0"/>
    <n v="1"/>
    <n v="4850"/>
    <n v="2630"/>
    <n v="4850"/>
    <n v="2220"/>
    <x v="10"/>
    <x v="0"/>
    <s v="Ukraine"/>
    <s v="Business"/>
    <s v="No"/>
    <x v="5"/>
    <x v="0"/>
    <d v="2023-05-01T00:00:00"/>
    <x v="11"/>
  </r>
  <r>
    <n v="840"/>
    <s v="120х80"/>
    <x v="1"/>
    <s v="black jack"/>
    <s v="White"/>
    <s v="Mirella"/>
    <s v="Kostenko"/>
    <x v="0"/>
    <n v="44"/>
    <x v="1"/>
    <n v="5"/>
    <n v="6950"/>
    <n v="4330"/>
    <n v="34750"/>
    <n v="13100"/>
    <x v="40"/>
    <x v="3"/>
    <s v="Ukraine"/>
    <s v="Business"/>
    <s v="No"/>
    <x v="2"/>
    <x v="2"/>
    <d v="2023-06-19T00:00:00"/>
    <x v="6"/>
  </r>
  <r>
    <n v="841"/>
    <s v="40x15"/>
    <x v="1"/>
    <s v="lashes"/>
    <s v="Red"/>
    <s v="Joanna"/>
    <s v="Zakharchenko"/>
    <x v="0"/>
    <n v="26"/>
    <x v="0"/>
    <n v="2"/>
    <n v="1670"/>
    <n v="670"/>
    <n v="3340"/>
    <n v="2000"/>
    <x v="30"/>
    <x v="0"/>
    <s v="Ukraine"/>
    <s v="Business"/>
    <s v="No"/>
    <x v="6"/>
    <x v="3"/>
    <d v="2023-10-16T00:00:00"/>
    <x v="9"/>
  </r>
  <r>
    <n v="842"/>
    <s v="90x39"/>
    <x v="1"/>
    <s v="m music studio"/>
    <s v="Rose"/>
    <s v="Jolanta"/>
    <s v="Denysenko"/>
    <x v="0"/>
    <n v="48"/>
    <x v="1"/>
    <n v="3"/>
    <n v="4420"/>
    <n v="1840"/>
    <n v="13260"/>
    <n v="7740"/>
    <x v="41"/>
    <x v="0"/>
    <s v="Ukraine"/>
    <s v="Business"/>
    <s v="No"/>
    <x v="5"/>
    <x v="1"/>
    <d v="2023-12-26T00:00:00"/>
    <x v="10"/>
  </r>
  <r>
    <n v="843"/>
    <s v="100x20"/>
    <x v="1"/>
    <s v="dada dance"/>
    <s v="White"/>
    <s v="Mira"/>
    <s v="Ivanenko"/>
    <x v="0"/>
    <n v="53"/>
    <x v="2"/>
    <n v="4"/>
    <n v="3800"/>
    <n v="1790"/>
    <n v="15200"/>
    <n v="8040"/>
    <x v="41"/>
    <x v="0"/>
    <s v="Ukraine"/>
    <s v="Business"/>
    <s v="No"/>
    <x v="2"/>
    <x v="2"/>
    <d v="2023-08-05T00:00:00"/>
    <x v="3"/>
  </r>
  <r>
    <n v="844"/>
    <s v="80х80"/>
    <x v="1"/>
    <s v="Wild roll"/>
    <s v="Red"/>
    <s v="Milka"/>
    <s v="Oliynyk"/>
    <x v="0"/>
    <n v="30"/>
    <x v="0"/>
    <n v="1"/>
    <n v="7950"/>
    <n v="3770"/>
    <n v="7950"/>
    <n v="4180"/>
    <x v="34"/>
    <x v="1"/>
    <s v="Ukraine"/>
    <s v="Business"/>
    <s v="No"/>
    <x v="5"/>
    <x v="0"/>
    <d v="2023-11-04T00:00:00"/>
    <x v="5"/>
  </r>
  <r>
    <n v="845"/>
    <s v="50х25"/>
    <x v="1"/>
    <s v="Coffee open"/>
    <s v="Green"/>
    <s v="Yana"/>
    <s v="Shevchenko"/>
    <x v="0"/>
    <n v="37"/>
    <x v="1"/>
    <n v="5"/>
    <n v="3480"/>
    <n v="1240"/>
    <n v="17400"/>
    <n v="11200"/>
    <x v="5"/>
    <x v="3"/>
    <s v="Ukraine"/>
    <s v="Business"/>
    <s v="No"/>
    <x v="1"/>
    <x v="3"/>
    <d v="2023-08-18T00:00:00"/>
    <x v="3"/>
  </r>
  <r>
    <n v="846"/>
    <s v="80х23"/>
    <x v="1"/>
    <s v="Fashine woman"/>
    <s v="Red"/>
    <s v="Diana"/>
    <s v="Kovalenko"/>
    <x v="0"/>
    <n v="42"/>
    <x v="1"/>
    <n v="3"/>
    <n v="4200"/>
    <n v="1450"/>
    <n v="12600"/>
    <n v="8250"/>
    <x v="21"/>
    <x v="3"/>
    <s v="Ukraine"/>
    <s v="Business"/>
    <s v="No"/>
    <x v="2"/>
    <x v="3"/>
    <d v="2023-07-18T00:00:00"/>
    <x v="8"/>
  </r>
  <r>
    <n v="847"/>
    <s v="60x18"/>
    <x v="1"/>
    <s v="malvy"/>
    <s v="Yellow"/>
    <s v="Alyona"/>
    <s v="Bondarenko"/>
    <x v="0"/>
    <n v="24"/>
    <x v="0"/>
    <n v="5"/>
    <n v="4000"/>
    <n v="1950"/>
    <n v="20000"/>
    <n v="10250"/>
    <x v="12"/>
    <x v="2"/>
    <s v="Ukraine"/>
    <s v="Business"/>
    <s v="No"/>
    <x v="6"/>
    <x v="2"/>
    <d v="2023-02-09T00:00:00"/>
    <x v="1"/>
  </r>
  <r>
    <n v="848"/>
    <s v="21,8х100"/>
    <x v="1"/>
    <s v="floweers"/>
    <s v="Rose"/>
    <s v="Sasha"/>
    <s v="Tkachenko"/>
    <x v="1"/>
    <n v="57"/>
    <x v="2"/>
    <n v="2"/>
    <n v="2990"/>
    <n v="1470"/>
    <n v="5980"/>
    <n v="3040"/>
    <x v="2"/>
    <x v="2"/>
    <s v="Ukraine"/>
    <s v="Business"/>
    <s v="No"/>
    <x v="4"/>
    <x v="0"/>
    <d v="2023-10-13T00:00:00"/>
    <x v="9"/>
  </r>
  <r>
    <n v="849"/>
    <s v="120x30"/>
    <x v="1"/>
    <s v="techstore"/>
    <s v="Yellow"/>
    <s v="Dasha"/>
    <s v="Kravchenko"/>
    <x v="0"/>
    <n v="35"/>
    <x v="0"/>
    <n v="1"/>
    <n v="4790"/>
    <n v="2820"/>
    <n v="4790"/>
    <n v="1970"/>
    <x v="42"/>
    <x v="0"/>
    <s v="Ukraine"/>
    <s v="Business"/>
    <s v="No"/>
    <x v="5"/>
    <x v="3"/>
    <d v="2023-07-16T00:00:00"/>
    <x v="8"/>
  </r>
  <r>
    <n v="850"/>
    <s v="50x43"/>
    <x v="1"/>
    <s v="poplavskiy shoes"/>
    <s v="Red"/>
    <s v="Evgenia"/>
    <s v="Boyko"/>
    <x v="0"/>
    <n v="40"/>
    <x v="1"/>
    <n v="3"/>
    <n v="4765"/>
    <n v="1930"/>
    <n v="14295"/>
    <n v="8505"/>
    <x v="1"/>
    <x v="1"/>
    <s v="Ukraine"/>
    <s v="Business"/>
    <s v="No"/>
    <x v="6"/>
    <x v="1"/>
    <d v="2023-01-06T00:00:00"/>
    <x v="4"/>
  </r>
  <r>
    <n v="851"/>
    <s v="55x38"/>
    <x v="1"/>
    <s v="snkrs"/>
    <s v="Red"/>
    <s v="Nika"/>
    <s v="Kovalchuk"/>
    <x v="0"/>
    <n v="21"/>
    <x v="0"/>
    <n v="4"/>
    <n v="3210"/>
    <n v="1060"/>
    <n v="12840"/>
    <n v="8600"/>
    <x v="36"/>
    <x v="0"/>
    <s v="Ukraine"/>
    <s v="Business"/>
    <s v="No"/>
    <x v="5"/>
    <x v="0"/>
    <d v="2023-09-30T00:00:00"/>
    <x v="2"/>
  </r>
  <r>
    <n v="852"/>
    <s v="20x20"/>
    <x v="1"/>
    <s v="qr code"/>
    <s v="Rose"/>
    <s v="Nikol"/>
    <s v="Melnyk"/>
    <x v="0"/>
    <n v="59"/>
    <x v="2"/>
    <n v="5"/>
    <n v="1090"/>
    <n v="550"/>
    <n v="5450"/>
    <n v="2700"/>
    <x v="12"/>
    <x v="2"/>
    <s v="Ukraine"/>
    <s v="Business"/>
    <s v="No"/>
    <x v="4"/>
    <x v="2"/>
    <d v="2023-05-28T00:00:00"/>
    <x v="11"/>
  </r>
  <r>
    <n v="853"/>
    <s v="60x45"/>
    <x v="1"/>
    <s v="the vibe"/>
    <s v="White"/>
    <s v="Nikolas"/>
    <s v="Marchenko"/>
    <x v="1"/>
    <n v="32"/>
    <x v="0"/>
    <n v="2"/>
    <n v="2770"/>
    <n v="1490"/>
    <n v="5540"/>
    <n v="2560"/>
    <x v="27"/>
    <x v="0"/>
    <s v="Ukraine"/>
    <s v="Business"/>
    <s v="No"/>
    <x v="7"/>
    <x v="3"/>
    <d v="2023-01-16T00:00:00"/>
    <x v="4"/>
  </r>
  <r>
    <n v="854"/>
    <s v="119x14"/>
    <x v="1"/>
    <s v="keratin space"/>
    <s v="Green"/>
    <s v="Maria"/>
    <s v="Lysenko"/>
    <x v="0"/>
    <n v="46"/>
    <x v="1"/>
    <n v="3"/>
    <n v="3000"/>
    <n v="850"/>
    <n v="9000"/>
    <n v="6450"/>
    <x v="20"/>
    <x v="0"/>
    <s v="Ukraine"/>
    <s v="Business"/>
    <s v="No"/>
    <x v="5"/>
    <x v="1"/>
    <d v="2023-06-27T00:00:00"/>
    <x v="6"/>
  </r>
  <r>
    <n v="855"/>
    <s v="100x20"/>
    <x v="1"/>
    <s v="sunrise"/>
    <s v="Green"/>
    <s v="Vasyl"/>
    <s v="Rudenko"/>
    <x v="1"/>
    <n v="54"/>
    <x v="2"/>
    <n v="1"/>
    <n v="3380"/>
    <n v="1480"/>
    <n v="3380"/>
    <n v="1900"/>
    <x v="30"/>
    <x v="0"/>
    <s v="Ukraine"/>
    <s v="Business"/>
    <s v="No"/>
    <x v="2"/>
    <x v="2"/>
    <d v="2023-09-26T00:00:00"/>
    <x v="2"/>
  </r>
  <r>
    <n v="856"/>
    <s v="33x175"/>
    <x v="1"/>
    <s v="Vandal Vape"/>
    <s v="Rose"/>
    <s v="Alex"/>
    <s v="Savchenko"/>
    <x v="1"/>
    <n v="25"/>
    <x v="0"/>
    <n v="2"/>
    <n v="8180"/>
    <n v="5080"/>
    <n v="16360"/>
    <n v="6200"/>
    <x v="14"/>
    <x v="3"/>
    <s v="Ukraine"/>
    <s v="Business"/>
    <s v="No"/>
    <x v="4"/>
    <x v="0"/>
    <d v="2023-12-06T00:00:00"/>
    <x v="10"/>
  </r>
  <r>
    <n v="857"/>
    <s v="60x20"/>
    <x v="1"/>
    <s v="Rose"/>
    <s v="Red"/>
    <s v="Sasha"/>
    <s v="Hrytsenko"/>
    <x v="1"/>
    <n v="43"/>
    <x v="1"/>
    <n v="4"/>
    <n v="1000"/>
    <n v="470"/>
    <n v="4000"/>
    <n v="2120"/>
    <x v="14"/>
    <x v="3"/>
    <s v="Ukraine"/>
    <s v="Business"/>
    <s v="No"/>
    <x v="4"/>
    <x v="3"/>
    <d v="2023-09-25T00:00:00"/>
    <x v="2"/>
  </r>
  <r>
    <n v="858"/>
    <s v="54х60"/>
    <x v="1"/>
    <s v="Potato"/>
    <s v="White"/>
    <s v="Alina"/>
    <s v="Polishchuk"/>
    <x v="0"/>
    <n v="58"/>
    <x v="2"/>
    <n v="5"/>
    <n v="3850"/>
    <n v="2250"/>
    <n v="19250"/>
    <n v="8000"/>
    <x v="13"/>
    <x v="1"/>
    <s v="Ukraine"/>
    <s v="Business"/>
    <s v="No"/>
    <x v="5"/>
    <x v="1"/>
    <d v="2023-08-19T00:00:00"/>
    <x v="3"/>
  </r>
  <r>
    <n v="859"/>
    <s v="50x36"/>
    <x v="1"/>
    <s v="beautiful"/>
    <s v="Rose"/>
    <s v="Tatiana"/>
    <s v="Tymoshenko"/>
    <x v="0"/>
    <n v="20"/>
    <x v="0"/>
    <n v="2"/>
    <n v="2780"/>
    <n v="1180"/>
    <n v="5560"/>
    <n v="3200"/>
    <x v="4"/>
    <x v="3"/>
    <s v="Ukraine"/>
    <s v="Business"/>
    <s v="No"/>
    <x v="7"/>
    <x v="0"/>
    <d v="2023-10-09T00:00:00"/>
    <x v="9"/>
  </r>
  <r>
    <n v="860"/>
    <s v="120х51"/>
    <x v="1"/>
    <s v="Sale sale"/>
    <s v="White"/>
    <s v="Tanya"/>
    <s v="Kostenko"/>
    <x v="0"/>
    <n v="49"/>
    <x v="1"/>
    <n v="3"/>
    <n v="6090"/>
    <n v="2790"/>
    <n v="18270"/>
    <n v="9900"/>
    <x v="8"/>
    <x v="0"/>
    <s v="Ukraine"/>
    <s v="Business"/>
    <s v="No"/>
    <x v="4"/>
    <x v="2"/>
    <d v="2023-01-15T00:00:00"/>
    <x v="4"/>
  </r>
  <r>
    <n v="865"/>
    <s v="100x45"/>
    <x v="1"/>
    <s v="east side tattoo"/>
    <s v="Red"/>
    <s v="Viktoria"/>
    <s v="Zakharchenko"/>
    <x v="0"/>
    <n v="25"/>
    <x v="0"/>
    <n v="1"/>
    <n v="6220"/>
    <n v="2890"/>
    <n v="6220"/>
    <n v="3330"/>
    <x v="30"/>
    <x v="0"/>
    <s v="Ukraine"/>
    <s v="Business"/>
    <s v="No"/>
    <x v="5"/>
    <x v="3"/>
    <d v="2023-12-17T00:00:00"/>
    <x v="10"/>
  </r>
  <r>
    <n v="861"/>
    <s v="60х25"/>
    <x v="1"/>
    <s v="Be quite"/>
    <s v="Rose"/>
    <s v="Nadia"/>
    <s v="Denysenko"/>
    <x v="0"/>
    <n v="31"/>
    <x v="0"/>
    <n v="4"/>
    <n v="3060"/>
    <n v="1080"/>
    <n v="12240"/>
    <n v="7920"/>
    <x v="43"/>
    <x v="4"/>
    <s v="Ukraine"/>
    <s v="Business"/>
    <s v="No"/>
    <x v="0"/>
    <x v="1"/>
    <d v="2023-07-28T00:00:00"/>
    <x v="8"/>
  </r>
  <r>
    <n v="862"/>
    <s v="60x28"/>
    <x v="1"/>
    <s v="Paradise room"/>
    <s v="White"/>
    <s v="Tatiana"/>
    <s v="Ivanenko"/>
    <x v="0"/>
    <n v="56"/>
    <x v="2"/>
    <n v="5"/>
    <n v="2960"/>
    <n v="1100"/>
    <n v="14800"/>
    <n v="9300"/>
    <x v="0"/>
    <x v="0"/>
    <s v="Ukraine"/>
    <s v="Business"/>
    <s v="No"/>
    <x v="3"/>
    <x v="2"/>
    <d v="2023-10-08T00:00:00"/>
    <x v="9"/>
  </r>
  <r>
    <n v="863"/>
    <s v="75х40"/>
    <x v="1"/>
    <s v="Flowers for ya"/>
    <s v="Red"/>
    <s v="Miroslava"/>
    <s v="Oliynyk"/>
    <x v="0"/>
    <n v="42"/>
    <x v="1"/>
    <n v="3"/>
    <n v="3780"/>
    <n v="1980"/>
    <n v="11340"/>
    <n v="5400"/>
    <x v="11"/>
    <x v="2"/>
    <s v="Ukraine"/>
    <s v="Business"/>
    <s v="No"/>
    <x v="7"/>
    <x v="3"/>
    <d v="2023-07-22T00:00:00"/>
    <x v="8"/>
  </r>
  <r>
    <n v="864"/>
    <s v="45х50"/>
    <x v="1"/>
    <s v="Puppi"/>
    <s v="Rose"/>
    <s v="Oleg"/>
    <s v="Shevchenko"/>
    <x v="1"/>
    <n v="34"/>
    <x v="0"/>
    <n v="2"/>
    <n v="3080"/>
    <n v="1480"/>
    <n v="6160"/>
    <n v="3200"/>
    <x v="26"/>
    <x v="3"/>
    <s v="Ukraine"/>
    <s v="Business"/>
    <s v="No"/>
    <x v="5"/>
    <x v="1"/>
    <d v="2023-10-06T00:00:00"/>
    <x v="9"/>
  </r>
  <r>
    <n v="867"/>
    <s v="110х120"/>
    <x v="1"/>
    <s v="Pure"/>
    <s v="White"/>
    <s v="Oleg"/>
    <s v="Kovalenko"/>
    <x v="1"/>
    <n v="23"/>
    <x v="0"/>
    <n v="4"/>
    <n v="12250"/>
    <n v="6650"/>
    <n v="49000"/>
    <n v="22400"/>
    <x v="26"/>
    <x v="3"/>
    <s v="Ukraine"/>
    <s v="Business"/>
    <s v="No"/>
    <x v="4"/>
    <x v="2"/>
    <d v="2023-01-22T00:00:00"/>
    <x v="4"/>
  </r>
  <r>
    <n v="868"/>
    <s v="170х85"/>
    <x v="1"/>
    <s v="Welcome"/>
    <s v="Red"/>
    <s v="Daria"/>
    <s v="Bondarenko"/>
    <x v="0"/>
    <n v="56"/>
    <x v="2"/>
    <n v="1"/>
    <n v="7600"/>
    <n v="3550"/>
    <n v="7600"/>
    <n v="4050"/>
    <x v="8"/>
    <x v="0"/>
    <s v="Ukraine"/>
    <s v="Business"/>
    <s v="No"/>
    <x v="0"/>
    <x v="0"/>
    <d v="2023-01-17T00:00:00"/>
    <x v="4"/>
  </r>
  <r>
    <n v="869"/>
    <s v="65х67"/>
    <x v="1"/>
    <s v="Coffee with love"/>
    <s v="Rose"/>
    <s v="Oleg"/>
    <s v="Tkachenko"/>
    <x v="1"/>
    <n v="24"/>
    <x v="0"/>
    <n v="5"/>
    <n v="3460"/>
    <n v="2120"/>
    <n v="17300"/>
    <n v="6700"/>
    <x v="31"/>
    <x v="3"/>
    <s v="Ukraine"/>
    <s v="Business"/>
    <s v="No"/>
    <x v="0"/>
    <x v="3"/>
    <d v="2023-03-09T00:00:00"/>
    <x v="0"/>
  </r>
  <r>
    <n v="870"/>
    <s v="55x70"/>
    <x v="1"/>
    <s v="vandal vape"/>
    <s v="Red"/>
    <s v="Vasyl"/>
    <s v="Kravchenko"/>
    <x v="1"/>
    <n v="64"/>
    <x v="2"/>
    <n v="2"/>
    <n v="6500"/>
    <n v="3430"/>
    <n v="13000"/>
    <n v="6140"/>
    <x v="26"/>
    <x v="3"/>
    <s v="Ukraine"/>
    <s v="Business"/>
    <s v="No"/>
    <x v="3"/>
    <x v="1"/>
    <d v="2023-09-21T00:00:00"/>
    <x v="2"/>
  </r>
  <r>
    <n v="871"/>
    <s v="60x20"/>
    <x v="1"/>
    <s v="Tomato"/>
    <s v="Rose"/>
    <s v="Petro"/>
    <s v="Boyko"/>
    <x v="1"/>
    <n v="64"/>
    <x v="2"/>
    <n v="3"/>
    <n v="500"/>
    <n v="250"/>
    <n v="1500"/>
    <n v="750"/>
    <x v="22"/>
    <x v="4"/>
    <s v="Ukraine"/>
    <s v="Business"/>
    <s v="No"/>
    <x v="7"/>
    <x v="0"/>
    <d v="2023-01-09T00:00:00"/>
    <x v="4"/>
  </r>
  <r>
    <n v="872"/>
    <s v="100x15"/>
    <x v="1"/>
    <s v="Flowers for you"/>
    <s v="White"/>
    <s v="Michael"/>
    <s v="Kovalchuk"/>
    <x v="1"/>
    <n v="23"/>
    <x v="0"/>
    <n v="4"/>
    <n v="6360"/>
    <n v="3280"/>
    <n v="25440"/>
    <n v="12320"/>
    <x v="41"/>
    <x v="0"/>
    <s v="Ukraine"/>
    <s v="Business"/>
    <s v="No"/>
    <x v="7"/>
    <x v="2"/>
    <d v="2023-01-30T00:00:00"/>
    <x v="4"/>
  </r>
  <r>
    <n v="873"/>
    <s v="28х155"/>
    <x v="1"/>
    <s v="flowers"/>
    <s v="Green"/>
    <s v="Svitlana"/>
    <s v="Melnyk"/>
    <x v="0"/>
    <n v="19"/>
    <x v="0"/>
    <n v="1"/>
    <n v="3730"/>
    <n v="2170"/>
    <n v="3730"/>
    <n v="1560"/>
    <x v="33"/>
    <x v="1"/>
    <s v="Ukraine"/>
    <s v="Business"/>
    <s v="No"/>
    <x v="7"/>
    <x v="3"/>
    <d v="2023-06-28T00:00:00"/>
    <x v="6"/>
  </r>
  <r>
    <n v="874"/>
    <s v="28х155"/>
    <x v="1"/>
    <s v="Baloons"/>
    <s v="Green"/>
    <s v="Alina"/>
    <s v="Marchenko"/>
    <x v="0"/>
    <n v="21"/>
    <x v="0"/>
    <n v="5"/>
    <n v="3730"/>
    <n v="2170"/>
    <n v="18650"/>
    <n v="7800"/>
    <x v="32"/>
    <x v="0"/>
    <s v="Ukraine"/>
    <s v="Business"/>
    <s v="No"/>
    <x v="6"/>
    <x v="1"/>
    <d v="2023-10-19T00:00:00"/>
    <x v="9"/>
  </r>
  <r>
    <n v="875"/>
    <s v="150х30"/>
    <x v="1"/>
    <s v="pro kava"/>
    <s v="Green"/>
    <s v="Vitalia"/>
    <s v="Lysenko"/>
    <x v="0"/>
    <n v="56"/>
    <x v="2"/>
    <n v="3"/>
    <n v="5950"/>
    <n v="3150"/>
    <n v="17850"/>
    <n v="8400"/>
    <x v="1"/>
    <x v="1"/>
    <s v="Ukraine"/>
    <s v="Business"/>
    <s v="No"/>
    <x v="7"/>
    <x v="2"/>
    <d v="2023-05-14T00:00:00"/>
    <x v="11"/>
  </r>
  <r>
    <n v="876"/>
    <s v="30x37"/>
    <x v="0"/>
    <s v="Qr code"/>
    <s v="Silver"/>
    <s v="Vita"/>
    <s v="Rudenko"/>
    <x v="0"/>
    <n v="34"/>
    <x v="0"/>
    <n v="2"/>
    <n v="2450"/>
    <n v="1600"/>
    <n v="4900"/>
    <n v="1700"/>
    <x v="23"/>
    <x v="4"/>
    <s v="Ukraine"/>
    <s v="Business"/>
    <s v="No"/>
    <x v="0"/>
    <x v="0"/>
    <d v="2023-04-21T00:00:00"/>
    <x v="7"/>
  </r>
  <r>
    <n v="877"/>
    <s v="100x45"/>
    <x v="1"/>
    <s v="frisson tattoo"/>
    <s v="Rose"/>
    <s v="Olya"/>
    <s v="Savchenko"/>
    <x v="0"/>
    <n v="64"/>
    <x v="2"/>
    <n v="4"/>
    <n v="3900"/>
    <n v="2000"/>
    <n v="15600"/>
    <n v="7600"/>
    <x v="21"/>
    <x v="3"/>
    <s v="Ukraine"/>
    <s v="Business"/>
    <s v="No"/>
    <x v="2"/>
    <x v="3"/>
    <d v="2023-10-28T00:00:00"/>
    <x v="9"/>
  </r>
  <r>
    <n v="878"/>
    <s v="50x44"/>
    <x v="1"/>
    <s v="coffee waffle"/>
    <s v="White"/>
    <s v="Kristina"/>
    <s v="Hrytsenko"/>
    <x v="0"/>
    <n v="78"/>
    <x v="2"/>
    <n v="1"/>
    <n v="3640"/>
    <n v="1570"/>
    <n v="3640"/>
    <n v="2070"/>
    <x v="42"/>
    <x v="0"/>
    <s v="Ukraine"/>
    <s v="Business"/>
    <s v="No"/>
    <x v="4"/>
    <x v="1"/>
    <d v="2023-12-15T00:00:00"/>
    <x v="10"/>
  </r>
  <r>
    <n v="879"/>
    <s v="56x60"/>
    <x v="1"/>
    <s v="svoi coffee"/>
    <s v="Red"/>
    <s v="Mirella"/>
    <s v="Polishchuk"/>
    <x v="0"/>
    <n v="54"/>
    <x v="2"/>
    <n v="5"/>
    <n v="2980"/>
    <n v="1680"/>
    <n v="14900"/>
    <n v="6500"/>
    <x v="13"/>
    <x v="1"/>
    <s v="Ukraine"/>
    <s v="Business"/>
    <s v="No"/>
    <x v="1"/>
    <x v="0"/>
    <d v="2023-12-06T00:00:00"/>
    <x v="10"/>
  </r>
  <r>
    <n v="880"/>
    <s v="100x25"/>
    <x v="1"/>
    <s v="enjoy yourself"/>
    <s v="Green"/>
    <s v="Joanna"/>
    <s v="Tymoshenko"/>
    <x v="0"/>
    <n v="32"/>
    <x v="0"/>
    <n v="2"/>
    <n v="3650"/>
    <n v="1650"/>
    <n v="7300"/>
    <n v="4000"/>
    <x v="17"/>
    <x v="1"/>
    <s v="Ukraine"/>
    <s v="Business"/>
    <s v="No"/>
    <x v="3"/>
    <x v="2"/>
    <d v="2023-04-13T00:00:00"/>
    <x v="7"/>
  </r>
  <r>
    <n v="881"/>
    <s v="50x43"/>
    <x v="1"/>
    <s v="21st gold"/>
    <s v="Red"/>
    <s v="Jolanta"/>
    <s v="Kostenko"/>
    <x v="0"/>
    <n v="24"/>
    <x v="0"/>
    <n v="3"/>
    <n v="3450"/>
    <n v="1790"/>
    <n v="10350"/>
    <n v="4980"/>
    <x v="11"/>
    <x v="2"/>
    <s v="Ukraine"/>
    <s v="Business"/>
    <s v="No"/>
    <x v="7"/>
    <x v="3"/>
    <d v="2023-03-08T00:00:00"/>
    <x v="0"/>
  </r>
  <r>
    <n v="882"/>
    <s v="165x30"/>
    <x v="1"/>
    <s v="legendary shawarma"/>
    <s v="Yellow"/>
    <s v="Mira"/>
    <s v="Zakharchenko"/>
    <x v="0"/>
    <n v="57"/>
    <x v="2"/>
    <n v="4"/>
    <n v="5700"/>
    <n v="2700"/>
    <n v="22800"/>
    <n v="12000"/>
    <x v="10"/>
    <x v="0"/>
    <s v="Ukraine"/>
    <s v="Business"/>
    <s v="No"/>
    <x v="5"/>
    <x v="1"/>
    <d v="2023-12-15T00:00:00"/>
    <x v="10"/>
  </r>
  <r>
    <n v="883"/>
    <s v="55x25"/>
    <x v="1"/>
    <s v="VS studio"/>
    <s v="Rose"/>
    <s v="Milka"/>
    <s v="Denysenko"/>
    <x v="0"/>
    <n v="35"/>
    <x v="0"/>
    <n v="1"/>
    <n v="2850"/>
    <n v="1150"/>
    <n v="2850"/>
    <n v="1700"/>
    <x v="13"/>
    <x v="1"/>
    <s v="Ukraine"/>
    <s v="Business"/>
    <s v="No"/>
    <x v="5"/>
    <x v="2"/>
    <d v="2023-03-25T00:00:00"/>
    <x v="0"/>
  </r>
  <r>
    <n v="884"/>
    <s v="60x25"/>
    <x v="1"/>
    <s v="California"/>
    <s v="Yellow"/>
    <s v="Yana"/>
    <s v="Ivanenko"/>
    <x v="0"/>
    <n v="40"/>
    <x v="1"/>
    <n v="5"/>
    <n v="1500"/>
    <n v="750"/>
    <n v="7500"/>
    <n v="3750"/>
    <x v="0"/>
    <x v="0"/>
    <s v="Ukraine"/>
    <s v="Business"/>
    <s v="No"/>
    <x v="3"/>
    <x v="0"/>
    <d v="2023-04-08T00:00:00"/>
    <x v="7"/>
  </r>
  <r>
    <n v="885"/>
    <s v="70x20"/>
    <x v="1"/>
    <s v="nike"/>
    <s v="Red"/>
    <s v="Diana"/>
    <s v="Oliynyk"/>
    <x v="0"/>
    <n v="21"/>
    <x v="0"/>
    <n v="3"/>
    <n v="2140"/>
    <n v="920"/>
    <n v="6420"/>
    <n v="3660"/>
    <x v="38"/>
    <x v="2"/>
    <s v="Ukraine"/>
    <s v="Business"/>
    <s v="No"/>
    <x v="6"/>
    <x v="3"/>
    <d v="2023-05-22T00:00:00"/>
    <x v="11"/>
  </r>
  <r>
    <n v="886"/>
    <s v="150x110"/>
    <x v="1"/>
    <s v="kava"/>
    <s v="Red"/>
    <s v="Alyona"/>
    <s v="Shevchenko"/>
    <x v="0"/>
    <n v="59"/>
    <x v="2"/>
    <n v="2"/>
    <n v="11700"/>
    <n v="6400"/>
    <n v="23400"/>
    <n v="10600"/>
    <x v="13"/>
    <x v="1"/>
    <s v="Ukraine"/>
    <s v="Business"/>
    <s v="No"/>
    <x v="3"/>
    <x v="1"/>
    <d v="2023-06-09T00:00:00"/>
    <x v="6"/>
  </r>
  <r>
    <n v="887"/>
    <s v="80х20"/>
    <x v="1"/>
    <s v="I am the best"/>
    <s v="Rose"/>
    <s v="Kristina"/>
    <s v="Kovalenko"/>
    <x v="0"/>
    <n v="32"/>
    <x v="0"/>
    <n v="4"/>
    <n v="3370"/>
    <n v="1270"/>
    <n v="13480"/>
    <n v="8400"/>
    <x v="18"/>
    <x v="3"/>
    <s v="Ukraine"/>
    <s v="Business"/>
    <s v="No"/>
    <x v="7"/>
    <x v="0"/>
    <d v="2023-01-29T00:00:00"/>
    <x v="4"/>
  </r>
  <r>
    <n v="888"/>
    <s v="85х20"/>
    <x v="1"/>
    <s v="Its all for me"/>
    <s v="White"/>
    <s v="Dasha"/>
    <s v="Bondarenko"/>
    <x v="0"/>
    <n v="46"/>
    <x v="1"/>
    <n v="1"/>
    <n v="3520"/>
    <n v="1320"/>
    <n v="3520"/>
    <n v="2200"/>
    <x v="43"/>
    <x v="4"/>
    <s v="Ukraine"/>
    <s v="Business"/>
    <s v="No"/>
    <x v="4"/>
    <x v="2"/>
    <d v="2023-06-13T00:00:00"/>
    <x v="6"/>
  </r>
  <r>
    <n v="889"/>
    <s v="80x16"/>
    <x v="1"/>
    <s v="relax zone"/>
    <s v="Green"/>
    <s v="Evgenia"/>
    <s v="Tkachenko"/>
    <x v="0"/>
    <n v="54"/>
    <x v="2"/>
    <n v="5"/>
    <n v="2830"/>
    <n v="1230"/>
    <n v="14150"/>
    <n v="8000"/>
    <x v="4"/>
    <x v="3"/>
    <s v="Ukraine"/>
    <s v="Business"/>
    <s v="No"/>
    <x v="4"/>
    <x v="3"/>
    <d v="2023-12-19T00:00:00"/>
    <x v="10"/>
  </r>
  <r>
    <n v="890"/>
    <s v="40x25"/>
    <x v="1"/>
    <s v="lia"/>
    <s v="Green"/>
    <s v="Nika"/>
    <s v="Kravchenko"/>
    <x v="0"/>
    <n v="25"/>
    <x v="0"/>
    <n v="2"/>
    <n v="2150"/>
    <n v="960"/>
    <n v="4300"/>
    <n v="2380"/>
    <x v="1"/>
    <x v="1"/>
    <s v="Ukraine"/>
    <s v="Business"/>
    <s v="No"/>
    <x v="6"/>
    <x v="1"/>
    <d v="2023-08-29T00:00:00"/>
    <x v="3"/>
  </r>
  <r>
    <n v="891"/>
    <s v="100x23"/>
    <x v="1"/>
    <s v="TD_kava"/>
    <s v="Rose"/>
    <s v="Nikol"/>
    <s v="Boyko"/>
    <x v="0"/>
    <n v="43"/>
    <x v="1"/>
    <n v="3"/>
    <n v="3500"/>
    <n v="1900"/>
    <n v="10500"/>
    <n v="4800"/>
    <x v="35"/>
    <x v="0"/>
    <s v="Ukraine"/>
    <s v="Business"/>
    <s v="No"/>
    <x v="6"/>
    <x v="2"/>
    <d v="2023-04-17T00:00:00"/>
    <x v="7"/>
  </r>
  <r>
    <n v="892"/>
    <s v="180х40"/>
    <x v="1"/>
    <s v="Vladmark"/>
    <s v="Red"/>
    <s v="Nikolas"/>
    <s v="Kovalchuk"/>
    <x v="1"/>
    <n v="58"/>
    <x v="2"/>
    <n v="4"/>
    <n v="6400"/>
    <n v="3600"/>
    <n v="25600"/>
    <n v="11200"/>
    <x v="33"/>
    <x v="1"/>
    <s v="Ukraine"/>
    <s v="Business"/>
    <s v="No"/>
    <x v="2"/>
    <x v="0"/>
    <d v="2023-06-06T00:00:00"/>
    <x v="6"/>
  </r>
  <r>
    <n v="893"/>
    <s v="60x25"/>
    <x v="1"/>
    <s v="Ramen"/>
    <s v="White"/>
    <s v="Maria"/>
    <s v="Melnyk"/>
    <x v="0"/>
    <n v="20"/>
    <x v="0"/>
    <n v="1"/>
    <n v="750"/>
    <n v="300"/>
    <n v="750"/>
    <n v="450"/>
    <x v="37"/>
    <x v="4"/>
    <s v="Ukraine"/>
    <s v="Business"/>
    <s v="No"/>
    <x v="0"/>
    <x v="3"/>
    <d v="2023-04-15T00:00:00"/>
    <x v="7"/>
  </r>
  <r>
    <n v="894"/>
    <s v="90x20"/>
    <x v="1"/>
    <s v="Grossery"/>
    <s v="Rose"/>
    <s v="Oliver"/>
    <s v="Marchenko"/>
    <x v="1"/>
    <n v="49"/>
    <x v="1"/>
    <n v="5"/>
    <n v="2880"/>
    <n v="1260"/>
    <n v="14400"/>
    <n v="8100"/>
    <x v="41"/>
    <x v="0"/>
    <s v="Ukraine"/>
    <s v="Business"/>
    <s v="No"/>
    <x v="5"/>
    <x v="1"/>
    <d v="2023-01-23T00:00:00"/>
    <x v="4"/>
  </r>
  <r>
    <n v="895"/>
    <s v="100x41"/>
    <x v="1"/>
    <s v="think"/>
    <s v="White"/>
    <s v="Segey"/>
    <s v="Lysenko"/>
    <x v="1"/>
    <n v="25"/>
    <x v="0"/>
    <n v="3"/>
    <n v="5990"/>
    <n v="2900"/>
    <n v="17970"/>
    <n v="9270"/>
    <x v="6"/>
    <x v="1"/>
    <s v="Ukraine"/>
    <s v="Business"/>
    <s v="No"/>
    <x v="3"/>
    <x v="0"/>
    <d v="2023-10-04T00:00:00"/>
    <x v="9"/>
  </r>
  <r>
    <n v="896"/>
    <s v="33x23"/>
    <x v="1"/>
    <s v="hello"/>
    <s v="Red"/>
    <s v="Artem"/>
    <s v="Rudenko"/>
    <x v="1"/>
    <n v="31"/>
    <x v="0"/>
    <n v="2"/>
    <n v="1880"/>
    <n v="880"/>
    <n v="3760"/>
    <n v="2000"/>
    <x v="7"/>
    <x v="0"/>
    <s v="Ukraine"/>
    <s v="Business"/>
    <s v="No"/>
    <x v="7"/>
    <x v="2"/>
    <d v="2023-05-04T00:00:00"/>
    <x v="11"/>
  </r>
  <r>
    <n v="897"/>
    <s v="50x30"/>
    <x v="1"/>
    <s v="happy new year"/>
    <s v="Rose"/>
    <s v="Nazar"/>
    <s v="Savchenko"/>
    <x v="1"/>
    <n v="56"/>
    <x v="2"/>
    <n v="4"/>
    <n v="3630"/>
    <n v="1230"/>
    <n v="14520"/>
    <n v="9600"/>
    <x v="7"/>
    <x v="0"/>
    <s v="Ukraine"/>
    <s v="Business"/>
    <s v="No"/>
    <x v="1"/>
    <x v="3"/>
    <d v="2023-08-23T00:00:00"/>
    <x v="3"/>
  </r>
  <r>
    <n v="898"/>
    <s v="125x20"/>
    <x v="1"/>
    <s v="wape shop"/>
    <s v="White"/>
    <s v="Inessa"/>
    <s v="Hrytsenko"/>
    <x v="0"/>
    <n v="42"/>
    <x v="1"/>
    <n v="4"/>
    <n v="3860"/>
    <n v="2350"/>
    <n v="15440"/>
    <n v="6040"/>
    <x v="21"/>
    <x v="3"/>
    <s v="Ukraine"/>
    <s v="Business"/>
    <s v="No"/>
    <x v="0"/>
    <x v="0"/>
    <d v="2023-02-12T00:00:00"/>
    <x v="1"/>
  </r>
  <r>
    <n v="899"/>
    <s v="70x20"/>
    <x v="1"/>
    <s v="House of flower"/>
    <s v="Red"/>
    <s v="Inna"/>
    <s v="Polishchuk"/>
    <x v="0"/>
    <n v="34"/>
    <x v="0"/>
    <n v="5"/>
    <n v="2920"/>
    <n v="1220"/>
    <n v="14600"/>
    <n v="8500"/>
    <x v="38"/>
    <x v="2"/>
    <s v="Ukraine"/>
    <s v="Business"/>
    <s v="No"/>
    <x v="3"/>
    <x v="2"/>
    <d v="2023-10-04T00:00:00"/>
    <x v="9"/>
  </r>
  <r>
    <n v="900"/>
    <s v="50x35"/>
    <x v="1"/>
    <s v="Yoda"/>
    <s v="Rose"/>
    <s v="Anya"/>
    <s v="Tymoshenko"/>
    <x v="0"/>
    <n v="23"/>
    <x v="0"/>
    <n v="3"/>
    <n v="3290"/>
    <n v="1250"/>
    <n v="9870"/>
    <n v="6120"/>
    <x v="9"/>
    <x v="3"/>
    <s v="Ukraine"/>
    <s v="Business"/>
    <s v="No"/>
    <x v="2"/>
    <x v="3"/>
    <d v="2023-03-27T00:00:00"/>
    <x v="0"/>
  </r>
  <r>
    <n v="901"/>
    <s v="50x20"/>
    <x v="1"/>
    <s v="li tactil"/>
    <s v="White"/>
    <s v="Igor"/>
    <s v="Kostenko"/>
    <x v="1"/>
    <n v="56"/>
    <x v="2"/>
    <n v="2"/>
    <n v="2300"/>
    <n v="900"/>
    <n v="4600"/>
    <n v="2800"/>
    <x v="9"/>
    <x v="3"/>
    <s v="Ukraine"/>
    <s v="Business"/>
    <s v="No"/>
    <x v="4"/>
    <x v="1"/>
    <d v="2023-06-02T00:00:00"/>
    <x v="6"/>
  </r>
  <r>
    <n v="902"/>
    <s v="45x11"/>
    <x v="1"/>
    <s v="cognitie"/>
    <s v="Red"/>
    <s v="Alina"/>
    <s v="Zakharchenko"/>
    <x v="0"/>
    <n v="24"/>
    <x v="0"/>
    <n v="4"/>
    <n v="2050"/>
    <n v="850"/>
    <n v="8200"/>
    <n v="4800"/>
    <x v="44"/>
    <x v="1"/>
    <s v="Ukraine"/>
    <s v="Business"/>
    <s v="No"/>
    <x v="3"/>
    <x v="0"/>
    <d v="2023-03-17T00:00:00"/>
    <x v="0"/>
  </r>
  <r>
    <n v="903"/>
    <s v="87х100"/>
    <x v="1"/>
    <s v="Fox"/>
    <s v="Rose"/>
    <s v="Volodya"/>
    <s v="Denysenko"/>
    <x v="1"/>
    <n v="64"/>
    <x v="2"/>
    <n v="1"/>
    <n v="6070"/>
    <n v="3570"/>
    <n v="6070"/>
    <n v="2500"/>
    <x v="30"/>
    <x v="0"/>
    <s v="Ukraine"/>
    <s v="Business"/>
    <s v="No"/>
    <x v="2"/>
    <x v="2"/>
    <d v="2023-11-05T00:00:00"/>
    <x v="5"/>
  </r>
  <r>
    <n v="904"/>
    <s v="100x40"/>
    <x v="1"/>
    <s v="lexus bar"/>
    <s v="Red"/>
    <s v="Dmytro"/>
    <s v="Ivanenko"/>
    <x v="1"/>
    <n v="64"/>
    <x v="2"/>
    <n v="5"/>
    <n v="5860"/>
    <n v="3000"/>
    <n v="29300"/>
    <n v="14300"/>
    <x v="35"/>
    <x v="0"/>
    <s v="Ukraine"/>
    <s v="Business"/>
    <s v="No"/>
    <x v="2"/>
    <x v="3"/>
    <d v="2023-02-05T00:00:00"/>
    <x v="1"/>
  </r>
  <r>
    <n v="905"/>
    <s v="38x45"/>
    <x v="1"/>
    <s v="sushi"/>
    <s v="Rose"/>
    <s v="Katerina"/>
    <s v="Oliynyk"/>
    <x v="0"/>
    <n v="23"/>
    <x v="0"/>
    <n v="2"/>
    <n v="3750"/>
    <n v="2050"/>
    <n v="7500"/>
    <n v="3400"/>
    <x v="17"/>
    <x v="1"/>
    <s v="Ukraine"/>
    <s v="Business"/>
    <s v="No"/>
    <x v="3"/>
    <x v="1"/>
    <d v="2023-10-29T00:00:00"/>
    <x v="9"/>
  </r>
  <r>
    <n v="906"/>
    <s v="16х23"/>
    <x v="1"/>
    <s v="Triangle"/>
    <s v="White"/>
    <s v="Volodya"/>
    <s v="Shevchenko"/>
    <x v="1"/>
    <n v="19"/>
    <x v="0"/>
    <n v="3"/>
    <n v="1790"/>
    <n v="700"/>
    <n v="5370"/>
    <n v="3270"/>
    <x v="31"/>
    <x v="3"/>
    <s v="Ukraine"/>
    <s v="Business"/>
    <s v="No"/>
    <x v="6"/>
    <x v="2"/>
    <d v="2023-07-18T00:00:00"/>
    <x v="8"/>
  </r>
  <r>
    <n v="907"/>
    <s v="50x55"/>
    <x v="1"/>
    <s v="open"/>
    <s v="Green"/>
    <s v="Nazar"/>
    <s v="Kovalenko"/>
    <x v="1"/>
    <n v="21"/>
    <x v="0"/>
    <n v="4"/>
    <n v="3330"/>
    <n v="1830"/>
    <n v="13320"/>
    <n v="6000"/>
    <x v="11"/>
    <x v="2"/>
    <s v="Ukraine"/>
    <s v="Business"/>
    <s v="No"/>
    <x v="2"/>
    <x v="0"/>
    <d v="2023-10-18T00:00:00"/>
    <x v="9"/>
  </r>
  <r>
    <n v="908"/>
    <s v="97x27"/>
    <x v="1"/>
    <s v="COTTEE"/>
    <s v="White"/>
    <s v="Alina"/>
    <s v="Bondarenko"/>
    <x v="0"/>
    <n v="56"/>
    <x v="2"/>
    <n v="1"/>
    <n v="3780"/>
    <n v="1880"/>
    <n v="3780"/>
    <n v="1900"/>
    <x v="5"/>
    <x v="3"/>
    <s v="Ukraine"/>
    <s v="Business"/>
    <s v="No"/>
    <x v="4"/>
    <x v="3"/>
    <d v="2023-09-15T00:00:00"/>
    <x v="2"/>
  </r>
  <r>
    <n v="910"/>
    <s v="20x20"/>
    <x v="1"/>
    <s v="qr code"/>
    <s v="Red"/>
    <s v="Nazar"/>
    <s v="Tkachenko"/>
    <x v="1"/>
    <n v="34"/>
    <x v="0"/>
    <n v="5"/>
    <n v="890"/>
    <n v="500"/>
    <n v="4450"/>
    <n v="1950"/>
    <x v="24"/>
    <x v="3"/>
    <s v="Ukraine"/>
    <s v="Business"/>
    <s v="No"/>
    <x v="7"/>
    <x v="1"/>
    <d v="2023-06-13T00:00:00"/>
    <x v="6"/>
  </r>
  <r>
    <n v="911"/>
    <s v="20x20"/>
    <x v="1"/>
    <s v="Crocs"/>
    <s v="Rose"/>
    <s v="Inessa"/>
    <s v="Kravchenko"/>
    <x v="0"/>
    <n v="52"/>
    <x v="2"/>
    <n v="3"/>
    <n v="330"/>
    <n v="170"/>
    <n v="990"/>
    <n v="480"/>
    <x v="39"/>
    <x v="4"/>
    <s v="Ukraine"/>
    <s v="Business"/>
    <s v="No"/>
    <x v="3"/>
    <x v="0"/>
    <d v="2023-07-14T00:00:00"/>
    <x v="8"/>
  </r>
  <r>
    <n v="912"/>
    <s v="20x27"/>
    <x v="0"/>
    <s v="Qr code"/>
    <s v="Gold"/>
    <s v="Inna"/>
    <s v="Boyko"/>
    <x v="0"/>
    <n v="23"/>
    <x v="0"/>
    <n v="2"/>
    <n v="1190"/>
    <n v="650"/>
    <n v="2380"/>
    <n v="1080"/>
    <x v="36"/>
    <x v="0"/>
    <s v="Ukraine"/>
    <s v="Business"/>
    <s v="No"/>
    <x v="6"/>
    <x v="2"/>
    <d v="2023-12-20T00:00:00"/>
    <x v="10"/>
  </r>
  <r>
    <n v="913"/>
    <s v="70x48"/>
    <x v="1"/>
    <s v="twoje pazurki"/>
    <s v="Red"/>
    <s v="Anya"/>
    <s v="Kovalchuk"/>
    <x v="0"/>
    <n v="38"/>
    <x v="1"/>
    <n v="4"/>
    <n v="8180"/>
    <n v="3330"/>
    <n v="32720"/>
    <n v="19400"/>
    <x v="5"/>
    <x v="3"/>
    <s v="Ukraine"/>
    <s v="Business"/>
    <s v="No"/>
    <x v="7"/>
    <x v="3"/>
    <d v="2023-09-06T00:00:00"/>
    <x v="2"/>
  </r>
  <r>
    <n v="914"/>
    <s v="80x38"/>
    <x v="1"/>
    <s v="kiss me"/>
    <s v="Rose"/>
    <s v="Igor"/>
    <s v="Melnyk"/>
    <x v="1"/>
    <n v="41"/>
    <x v="1"/>
    <n v="1"/>
    <n v="3280"/>
    <n v="1780"/>
    <n v="3280"/>
    <n v="1500"/>
    <x v="11"/>
    <x v="2"/>
    <s v="Ukraine"/>
    <s v="Business"/>
    <s v="No"/>
    <x v="4"/>
    <x v="1"/>
    <d v="2023-05-13T00:00:00"/>
    <x v="11"/>
  </r>
  <r>
    <n v="915"/>
    <s v="160x40"/>
    <x v="1"/>
    <s v="kombo pizza"/>
    <s v="White"/>
    <s v="Alina"/>
    <s v="Marchenko"/>
    <x v="0"/>
    <n v="29"/>
    <x v="0"/>
    <n v="5"/>
    <n v="5910"/>
    <n v="3250"/>
    <n v="29550"/>
    <n v="13300"/>
    <x v="1"/>
    <x v="1"/>
    <s v="Ukraine"/>
    <s v="Business"/>
    <s v="No"/>
    <x v="4"/>
    <x v="1"/>
    <d v="2023-09-01T00:00:00"/>
    <x v="2"/>
  </r>
  <r>
    <n v="916"/>
    <s v="60х52"/>
    <x v="1"/>
    <s v="Dyson"/>
    <s v="Red"/>
    <s v="Lybov"/>
    <s v="Lysenko"/>
    <x v="0"/>
    <n v="60"/>
    <x v="2"/>
    <n v="2"/>
    <n v="3770"/>
    <n v="1700"/>
    <n v="7540"/>
    <n v="4140"/>
    <x v="21"/>
    <x v="3"/>
    <s v="Ukraine"/>
    <s v="Business"/>
    <s v="No"/>
    <x v="3"/>
    <x v="2"/>
    <d v="2023-05-15T00:00:00"/>
    <x v="11"/>
  </r>
  <r>
    <n v="917"/>
    <s v="40х40"/>
    <x v="1"/>
    <s v="Faza"/>
    <s v="Rose"/>
    <s v="Hanna"/>
    <s v="Rudenko"/>
    <x v="0"/>
    <n v="33"/>
    <x v="0"/>
    <n v="3"/>
    <n v="3100"/>
    <n v="1550"/>
    <n v="9300"/>
    <n v="4650"/>
    <x v="18"/>
    <x v="3"/>
    <s v="Ukraine"/>
    <s v="Business"/>
    <s v="No"/>
    <x v="5"/>
    <x v="0"/>
    <d v="2023-09-27T00:00:00"/>
    <x v="2"/>
  </r>
  <r>
    <n v="918"/>
    <s v="58х120"/>
    <x v="1"/>
    <s v="Dragon"/>
    <s v="Red"/>
    <s v="Nikola"/>
    <s v="Savchenko"/>
    <x v="1"/>
    <n v="22"/>
    <x v="0"/>
    <n v="4"/>
    <n v="8150"/>
    <n v="4300"/>
    <n v="32600"/>
    <n v="15400"/>
    <x v="2"/>
    <x v="2"/>
    <s v="Ukraine"/>
    <s v="Business"/>
    <s v="No"/>
    <x v="0"/>
    <x v="3"/>
    <d v="2023-04-12T00:00:00"/>
    <x v="7"/>
  </r>
  <r>
    <n v="919"/>
    <s v="60x46"/>
    <x v="1"/>
    <s v="jesus"/>
    <s v="Rose"/>
    <s v="Ihnat"/>
    <s v="Hrytsenko"/>
    <x v="1"/>
    <n v="47"/>
    <x v="1"/>
    <n v="1"/>
    <n v="3000"/>
    <n v="1500"/>
    <n v="3000"/>
    <n v="1500"/>
    <x v="7"/>
    <x v="0"/>
    <s v="Ukraine"/>
    <s v="Business"/>
    <s v="No"/>
    <x v="5"/>
    <x v="1"/>
    <d v="2023-03-22T00:00:00"/>
    <x v="0"/>
  </r>
  <r>
    <n v="920"/>
    <s v="55х21"/>
    <x v="1"/>
    <s v="Whats up"/>
    <s v="White"/>
    <s v="Lybov"/>
    <s v="Polishchuk"/>
    <x v="0"/>
    <n v="55"/>
    <x v="2"/>
    <n v="5"/>
    <n v="3400"/>
    <n v="1100"/>
    <n v="17000"/>
    <n v="11500"/>
    <x v="38"/>
    <x v="2"/>
    <s v="Ukraine"/>
    <s v="Business"/>
    <s v="No"/>
    <x v="0"/>
    <x v="0"/>
    <d v="2023-04-18T00:00:00"/>
    <x v="7"/>
  </r>
  <r>
    <n v="921"/>
    <s v="127x40"/>
    <x v="1"/>
    <s v="amazing beauty"/>
    <s v="Red"/>
    <s v="Hanna"/>
    <s v="Tymoshenko"/>
    <x v="0"/>
    <n v="36"/>
    <x v="1"/>
    <n v="3"/>
    <n v="6500"/>
    <n v="3200"/>
    <n v="19500"/>
    <n v="9900"/>
    <x v="27"/>
    <x v="0"/>
    <s v="Ukraine"/>
    <s v="Business"/>
    <s v="No"/>
    <x v="4"/>
    <x v="2"/>
    <d v="2023-05-24T00:00:00"/>
    <x v="11"/>
  </r>
  <r>
    <n v="922"/>
    <s v="55x37"/>
    <x v="1"/>
    <s v="blackmanstream"/>
    <s v="Rose"/>
    <s v="Nikola"/>
    <s v="Kostenko"/>
    <x v="1"/>
    <n v="28"/>
    <x v="0"/>
    <n v="2"/>
    <n v="4330"/>
    <n v="1930"/>
    <n v="8660"/>
    <n v="4800"/>
    <x v="0"/>
    <x v="0"/>
    <s v="Ukraine"/>
    <s v="Business"/>
    <s v="No"/>
    <x v="1"/>
    <x v="3"/>
    <d v="2023-03-07T00:00:00"/>
    <x v="0"/>
  </r>
  <r>
    <n v="923"/>
    <s v="70x50"/>
    <x v="1"/>
    <s v="but first coffee"/>
    <s v="White"/>
    <s v="Ihnat"/>
    <s v="Zakharchenko"/>
    <x v="1"/>
    <n v="50"/>
    <x v="2"/>
    <n v="4"/>
    <n v="4850"/>
    <n v="2350"/>
    <n v="19400"/>
    <n v="10000"/>
    <x v="11"/>
    <x v="2"/>
    <s v="Ukraine"/>
    <s v="Business"/>
    <s v="No"/>
    <x v="0"/>
    <x v="1"/>
    <d v="2023-09-12T00:00:00"/>
    <x v="2"/>
  </r>
  <r>
    <n v="924"/>
    <s v="100х14"/>
    <x v="1"/>
    <s v="Polishing nail"/>
    <s v="Red"/>
    <s v="Slava"/>
    <s v="Denysenko"/>
    <x v="0"/>
    <n v="39"/>
    <x v="1"/>
    <n v="1"/>
    <n v="4010"/>
    <n v="1400"/>
    <n v="4010"/>
    <n v="2610"/>
    <x v="44"/>
    <x v="1"/>
    <s v="Ukraine"/>
    <s v="Business"/>
    <s v="No"/>
    <x v="3"/>
    <x v="2"/>
    <d v="2023-10-10T00:00:00"/>
    <x v="9"/>
  </r>
  <r>
    <n v="925"/>
    <s v="20х100"/>
    <x v="1"/>
    <s v="Flowers"/>
    <s v="Rose"/>
    <s v="Galyna"/>
    <s v="Ivanenko"/>
    <x v="0"/>
    <n v="31"/>
    <x v="0"/>
    <n v="5"/>
    <n v="3200"/>
    <n v="1400"/>
    <n v="16000"/>
    <n v="9000"/>
    <x v="15"/>
    <x v="0"/>
    <s v="Ukraine"/>
    <s v="Business"/>
    <s v="No"/>
    <x v="0"/>
    <x v="0"/>
    <d v="2023-11-01T00:00:00"/>
    <x v="5"/>
  </r>
  <r>
    <n v="926"/>
    <s v="130x55"/>
    <x v="1"/>
    <s v="vs studio"/>
    <s v="White"/>
    <s v="Volodymyr"/>
    <s v="Oliynyk"/>
    <x v="1"/>
    <n v="44"/>
    <x v="1"/>
    <n v="3"/>
    <n v="5930"/>
    <n v="3430"/>
    <n v="17790"/>
    <n v="7500"/>
    <x v="2"/>
    <x v="2"/>
    <s v="Ukraine"/>
    <s v="Business"/>
    <s v="No"/>
    <x v="0"/>
    <x v="3"/>
    <d v="2023-07-04T00:00:00"/>
    <x v="8"/>
  </r>
  <r>
    <n v="927"/>
    <s v="40x40"/>
    <x v="1"/>
    <s v="Lightbox"/>
    <s v="Red"/>
    <s v="Vitaliaa"/>
    <s v="Shevchenko"/>
    <x v="0"/>
    <n v="26"/>
    <x v="0"/>
    <n v="1"/>
    <n v="6060"/>
    <n v="4000"/>
    <n v="6060"/>
    <n v="2060"/>
    <x v="16"/>
    <x v="3"/>
    <s v="Ukraine"/>
    <s v="Business"/>
    <s v="No"/>
    <x v="0"/>
    <x v="1"/>
    <d v="2023-11-12T00:00:00"/>
    <x v="5"/>
  </r>
  <r>
    <n v="928"/>
    <s v="60х45"/>
    <x v="1"/>
    <s v="PPO"/>
    <s v="Rose"/>
    <s v="Vitalia"/>
    <s v="Kovalenko"/>
    <x v="0"/>
    <n v="48"/>
    <x v="1"/>
    <n v="2"/>
    <n v="4490"/>
    <n v="2490"/>
    <n v="8980"/>
    <n v="4000"/>
    <x v="8"/>
    <x v="0"/>
    <s v="Ukraine"/>
    <s v="Business"/>
    <s v="No"/>
    <x v="1"/>
    <x v="0"/>
    <d v="2023-01-09T00:00:00"/>
    <x v="4"/>
  </r>
  <r>
    <n v="928"/>
    <s v="100x30"/>
    <x v="1"/>
    <s v="flash"/>
    <s v="Red"/>
    <s v="Kateryna"/>
    <s v="Bondarenko"/>
    <x v="0"/>
    <n v="53"/>
    <x v="2"/>
    <n v="4"/>
    <n v="4250"/>
    <n v="2250"/>
    <n v="17000"/>
    <n v="8000"/>
    <x v="0"/>
    <x v="0"/>
    <s v="Ukraine"/>
    <s v="Business"/>
    <s v="No"/>
    <x v="4"/>
    <x v="2"/>
    <d v="2023-09-27T00:00:00"/>
    <x v="2"/>
  </r>
  <r>
    <n v="929"/>
    <s v="30x20"/>
    <x v="1"/>
    <s v="Pen"/>
    <s v="Rose"/>
    <s v="Segey"/>
    <s v="Tkachenko"/>
    <x v="1"/>
    <n v="30"/>
    <x v="0"/>
    <n v="5"/>
    <n v="950"/>
    <n v="300"/>
    <n v="4750"/>
    <n v="3250"/>
    <x v="14"/>
    <x v="3"/>
    <s v="Ukraine"/>
    <s v="Business"/>
    <s v="No"/>
    <x v="7"/>
    <x v="3"/>
    <d v="2023-05-12T00:00:00"/>
    <x v="11"/>
  </r>
  <r>
    <n v="930"/>
    <s v="100x87"/>
    <x v="1"/>
    <s v="beer speed"/>
    <s v="White"/>
    <s v="Nikolas"/>
    <s v="Kravchenko"/>
    <x v="1"/>
    <n v="37"/>
    <x v="1"/>
    <n v="2"/>
    <n v="5930"/>
    <n v="3050"/>
    <n v="11860"/>
    <n v="5760"/>
    <x v="33"/>
    <x v="1"/>
    <s v="Ukraine"/>
    <s v="Business"/>
    <s v="No"/>
    <x v="7"/>
    <x v="1"/>
    <d v="2023-05-06T00:00:00"/>
    <x v="11"/>
  </r>
  <r>
    <n v="931"/>
    <s v="30x40"/>
    <x v="1"/>
    <s v="Wall"/>
    <s v="Green"/>
    <s v="Maria"/>
    <s v="Boyko"/>
    <x v="0"/>
    <n v="42"/>
    <x v="1"/>
    <n v="3"/>
    <n v="1000"/>
    <n v="500"/>
    <n v="3000"/>
    <n v="1500"/>
    <x v="30"/>
    <x v="0"/>
    <s v="Ukraine"/>
    <s v="Business"/>
    <s v="No"/>
    <x v="4"/>
    <x v="2"/>
    <d v="2023-06-28T00:00:00"/>
    <x v="6"/>
  </r>
  <r>
    <n v="941"/>
    <s v="60х20"/>
    <x v="1"/>
    <s v="Craft"/>
    <s v="Green"/>
    <s v="Vasyl"/>
    <s v="Kovalchuk"/>
    <x v="0"/>
    <n v="24"/>
    <x v="0"/>
    <n v="1"/>
    <n v="4370"/>
    <n v="1330"/>
    <n v="4370"/>
    <n v="3040"/>
    <x v="21"/>
    <x v="3"/>
    <s v="Ukraine"/>
    <s v="Business"/>
    <s v="No"/>
    <x v="3"/>
    <x v="0"/>
    <d v="2023-02-18T00:00:00"/>
    <x v="1"/>
  </r>
  <r>
    <n v="942"/>
    <s v="50х55"/>
    <x v="1"/>
    <s v="You are my big love"/>
    <s v="Green"/>
    <s v="Alex"/>
    <s v="Melnyk"/>
    <x v="1"/>
    <n v="57"/>
    <x v="2"/>
    <n v="4"/>
    <n v="3800"/>
    <n v="1950"/>
    <n v="15200"/>
    <n v="7400"/>
    <x v="25"/>
    <x v="3"/>
    <s v="Ukraine"/>
    <s v="Business"/>
    <s v="No"/>
    <x v="0"/>
    <x v="3"/>
    <d v="2023-07-14T00:00:00"/>
    <x v="8"/>
  </r>
  <r>
    <n v="943"/>
    <s v="90x51"/>
    <x v="1"/>
    <s v="Copacabana"/>
    <s v="Rose"/>
    <s v="Sasha"/>
    <s v="Marchenko"/>
    <x v="1"/>
    <n v="35"/>
    <x v="0"/>
    <n v="5"/>
    <n v="7200"/>
    <n v="2690"/>
    <n v="36000"/>
    <n v="22550"/>
    <x v="9"/>
    <x v="3"/>
    <s v="Ukraine"/>
    <s v="Business"/>
    <s v="No"/>
    <x v="1"/>
    <x v="1"/>
    <d v="2023-04-29T00:00:00"/>
    <x v="7"/>
  </r>
  <r>
    <n v="944"/>
    <s v="80x57"/>
    <x v="1"/>
    <s v="magic begins here"/>
    <s v="Rose"/>
    <s v="Vlad"/>
    <s v="Lysenko"/>
    <x v="1"/>
    <n v="40"/>
    <x v="1"/>
    <n v="3"/>
    <n v="3820"/>
    <n v="2100"/>
    <n v="11460"/>
    <n v="5160"/>
    <x v="9"/>
    <x v="3"/>
    <s v="Ukraine"/>
    <s v="Business"/>
    <s v="No"/>
    <x v="5"/>
    <x v="0"/>
    <d v="2023-04-29T00:00:00"/>
    <x v="7"/>
  </r>
  <r>
    <n v="945"/>
    <s v="80x80"/>
    <x v="1"/>
    <s v="temari"/>
    <s v="White"/>
    <s v="Hanna"/>
    <s v="Rudenko"/>
    <x v="0"/>
    <n v="21"/>
    <x v="0"/>
    <n v="2"/>
    <n v="6300"/>
    <n v="3300"/>
    <n v="12600"/>
    <n v="6000"/>
    <x v="42"/>
    <x v="0"/>
    <s v="Ukraine"/>
    <s v="Business"/>
    <s v="No"/>
    <x v="3"/>
    <x v="2"/>
    <d v="2023-05-23T00:00:00"/>
    <x v="11"/>
  </r>
  <r>
    <n v="946"/>
    <s v="105х15"/>
    <x v="1"/>
    <s v="Feel it"/>
    <s v="Red"/>
    <s v="Nikola"/>
    <s v="Savchenko"/>
    <x v="1"/>
    <n v="45"/>
    <x v="1"/>
    <n v="4"/>
    <n v="5400"/>
    <n v="1500"/>
    <n v="21600"/>
    <n v="15600"/>
    <x v="37"/>
    <x v="4"/>
    <s v="Ukraine"/>
    <s v="Business"/>
    <s v="No"/>
    <x v="3"/>
    <x v="3"/>
    <d v="2023-06-14T00:00:00"/>
    <x v="6"/>
  </r>
  <r>
    <n v="947"/>
    <s v="50х25"/>
    <x v="1"/>
    <s v="Liitlebox"/>
    <s v="Green"/>
    <s v="Ihnat"/>
    <s v="Hrytsenko"/>
    <x v="1"/>
    <n v="52"/>
    <x v="2"/>
    <n v="1"/>
    <n v="5850"/>
    <n v="3150"/>
    <n v="5850"/>
    <n v="2700"/>
    <x v="24"/>
    <x v="3"/>
    <s v="Ukraine"/>
    <s v="Business"/>
    <s v="No"/>
    <x v="7"/>
    <x v="1"/>
    <d v="2023-09-30T00:00:00"/>
    <x v="2"/>
  </r>
  <r>
    <n v="948"/>
    <s v="98x80"/>
    <x v="1"/>
    <s v="life is not perfect"/>
    <s v="Red"/>
    <s v="Slava"/>
    <s v="Polishchuk"/>
    <x v="0"/>
    <n v="23"/>
    <x v="0"/>
    <n v="5"/>
    <n v="8550"/>
    <n v="4150"/>
    <n v="42750"/>
    <n v="22000"/>
    <x v="19"/>
    <x v="3"/>
    <s v="Ukraine"/>
    <s v="Business"/>
    <s v="No"/>
    <x v="1"/>
    <x v="2"/>
    <d v="2023-09-17T00:00:00"/>
    <x v="2"/>
  </r>
  <r>
    <n v="949"/>
    <s v="70х20"/>
    <x v="1"/>
    <s v="House of my flowers"/>
    <s v="Yellow"/>
    <s v="Galyna"/>
    <s v="Tymoshenko"/>
    <x v="0"/>
    <n v="38"/>
    <x v="1"/>
    <n v="2"/>
    <n v="2920"/>
    <n v="1220"/>
    <n v="5840"/>
    <n v="3400"/>
    <x v="18"/>
    <x v="3"/>
    <s v="Ukraine"/>
    <s v="Business"/>
    <s v="No"/>
    <x v="2"/>
    <x v="0"/>
    <d v="2023-08-31T00:00:00"/>
    <x v="3"/>
  </r>
  <r>
    <n v="950"/>
    <s v="24х110"/>
    <x v="1"/>
    <s v="Flow"/>
    <s v="Rose"/>
    <s v="Volodymyr"/>
    <s v="Kostenko"/>
    <x v="1"/>
    <n v="41"/>
    <x v="1"/>
    <n v="3"/>
    <n v="3420"/>
    <n v="1650"/>
    <n v="10260"/>
    <n v="5310"/>
    <x v="29"/>
    <x v="0"/>
    <s v="Ukraine"/>
    <s v="Business"/>
    <s v="No"/>
    <x v="1"/>
    <x v="3"/>
    <d v="2023-08-03T00:00:00"/>
    <x v="3"/>
  </r>
  <r>
    <n v="951"/>
    <s v="60х11"/>
    <x v="1"/>
    <s v="You can do all"/>
    <s v="Yellow"/>
    <s v="Vitaliaa"/>
    <s v="Zakharchenko"/>
    <x v="0"/>
    <n v="29"/>
    <x v="0"/>
    <n v="4"/>
    <n v="2900"/>
    <n v="920"/>
    <n v="11600"/>
    <n v="7920"/>
    <x v="25"/>
    <x v="3"/>
    <s v="Ukraine"/>
    <s v="Business"/>
    <s v="No"/>
    <x v="1"/>
    <x v="1"/>
    <d v="2023-07-10T00:00:00"/>
    <x v="8"/>
  </r>
  <r>
    <n v="952"/>
    <s v="60x24"/>
    <x v="1"/>
    <s v="Dimazoer"/>
    <s v="Red"/>
    <s v="Vitalia"/>
    <s v="Denysenko"/>
    <x v="0"/>
    <n v="60"/>
    <x v="2"/>
    <n v="1"/>
    <n v="4100"/>
    <n v="1800"/>
    <n v="4100"/>
    <n v="2300"/>
    <x v="25"/>
    <x v="3"/>
    <s v="Ukraine"/>
    <s v="Business"/>
    <s v="No"/>
    <x v="3"/>
    <x v="0"/>
    <d v="2023-03-17T00:00:00"/>
    <x v="0"/>
  </r>
  <r>
    <n v="953"/>
    <s v="105х45"/>
    <x v="1"/>
    <s v="For me"/>
    <s v="Red"/>
    <s v="Vitaliaa"/>
    <s v="Ivanenko"/>
    <x v="0"/>
    <n v="33"/>
    <x v="0"/>
    <n v="5"/>
    <n v="4480"/>
    <n v="2680"/>
    <n v="22400"/>
    <n v="9000"/>
    <x v="37"/>
    <x v="4"/>
    <s v="Ukraine"/>
    <s v="Business"/>
    <s v="No"/>
    <x v="0"/>
    <x v="2"/>
    <d v="2023-05-20T00:00:00"/>
    <x v="11"/>
  </r>
  <r>
    <n v="954"/>
    <s v="70х55"/>
    <x v="1"/>
    <s v="Lero"/>
    <s v="Rose"/>
    <s v="Vitalia"/>
    <s v="Oliynyk"/>
    <x v="0"/>
    <n v="22"/>
    <x v="0"/>
    <n v="3"/>
    <n v="5000"/>
    <n v="2850"/>
    <n v="15000"/>
    <n v="6450"/>
    <x v="27"/>
    <x v="0"/>
    <s v="Ukraine"/>
    <s v="Business"/>
    <s v="No"/>
    <x v="7"/>
    <x v="3"/>
    <d v="2023-05-14T00:00:00"/>
    <x v="11"/>
  </r>
  <r>
    <n v="955"/>
    <s v="120х39"/>
    <x v="1"/>
    <s v="This is my happy place"/>
    <s v="White"/>
    <s v="Kateryna"/>
    <s v="Shevchenko"/>
    <x v="0"/>
    <n v="47"/>
    <x v="1"/>
    <n v="2"/>
    <n v="5625"/>
    <n v="2550"/>
    <n v="11250"/>
    <n v="6150"/>
    <x v="6"/>
    <x v="1"/>
    <s v="Ukraine"/>
    <s v="Business"/>
    <s v="No"/>
    <x v="1"/>
    <x v="1"/>
    <d v="2023-06-25T00:00:00"/>
    <x v="6"/>
  </r>
  <r>
    <n v="956"/>
    <s v="120x70"/>
    <x v="1"/>
    <s v="le studio photostudio"/>
    <s v="Green"/>
    <s v="Segey"/>
    <s v="Kovalenko"/>
    <x v="1"/>
    <n v="55"/>
    <x v="2"/>
    <n v="1"/>
    <n v="7300"/>
    <n v="4000"/>
    <n v="7300"/>
    <n v="3300"/>
    <x v="14"/>
    <x v="3"/>
    <s v="Ukraine"/>
    <s v="Business"/>
    <s v="No"/>
    <x v="3"/>
    <x v="2"/>
    <d v="2023-11-03T00:00:00"/>
    <x v="5"/>
  </r>
  <r>
    <n v="957"/>
    <s v="160x30"/>
    <x v="1"/>
    <s v="soul dance"/>
    <s v="Green"/>
    <s v="Fedir"/>
    <s v="Bondarenko"/>
    <x v="1"/>
    <n v="36"/>
    <x v="1"/>
    <n v="4"/>
    <n v="4700"/>
    <n v="2200"/>
    <n v="18800"/>
    <n v="10000"/>
    <x v="10"/>
    <x v="0"/>
    <s v="Ukraine"/>
    <s v="Business"/>
    <s v="No"/>
    <x v="0"/>
    <x v="0"/>
    <d v="2023-07-21T00:00:00"/>
    <x v="8"/>
  </r>
  <r>
    <n v="958"/>
    <s v="69х50"/>
    <x v="1"/>
    <s v="I wanna sushi"/>
    <s v="Rose"/>
    <s v="Dmytro"/>
    <s v="Tkachenko"/>
    <x v="1"/>
    <n v="28"/>
    <x v="0"/>
    <n v="3"/>
    <n v="5185"/>
    <n v="2000"/>
    <n v="15555"/>
    <n v="9555"/>
    <x v="27"/>
    <x v="0"/>
    <s v="Ukraine"/>
    <s v="Business"/>
    <s v="No"/>
    <x v="4"/>
    <x v="3"/>
    <d v="2023-05-19T00:00:00"/>
    <x v="11"/>
  </r>
  <r>
    <n v="959"/>
    <s v="150x90"/>
    <x v="1"/>
    <s v="dialog dia-dance"/>
    <s v="Red"/>
    <s v="Katerina"/>
    <s v="Kravchenko"/>
    <x v="0"/>
    <n v="50"/>
    <x v="2"/>
    <n v="5"/>
    <n v="7380"/>
    <n v="4190"/>
    <n v="36900"/>
    <n v="15950"/>
    <x v="38"/>
    <x v="2"/>
    <s v="Ukraine"/>
    <s v="Business"/>
    <s v="No"/>
    <x v="2"/>
    <x v="1"/>
    <d v="2023-01-27T00:00:00"/>
    <x v="4"/>
  </r>
  <r>
    <n v="960"/>
    <s v="95x43"/>
    <x v="1"/>
    <s v="anna danilla"/>
    <s v="White"/>
    <s v="Volodya"/>
    <s v="Boyko"/>
    <x v="1"/>
    <n v="39"/>
    <x v="1"/>
    <n v="5"/>
    <n v="6410"/>
    <n v="2550"/>
    <n v="32050"/>
    <n v="19300"/>
    <x v="2"/>
    <x v="2"/>
    <s v="Ukraine"/>
    <s v="Business"/>
    <s v="No"/>
    <x v="6"/>
    <x v="0"/>
    <d v="2023-03-16T00:00:00"/>
    <x v="0"/>
  </r>
  <r>
    <n v="961"/>
    <s v="60x20"/>
    <x v="1"/>
    <s v="Happy birthday "/>
    <s v="Rose"/>
    <s v="Dmytro"/>
    <s v="Kovalchuk"/>
    <x v="1"/>
    <n v="31"/>
    <x v="0"/>
    <n v="3"/>
    <n v="4000"/>
    <n v="1950"/>
    <n v="12000"/>
    <n v="6150"/>
    <x v="14"/>
    <x v="3"/>
    <s v="Ukraine"/>
    <s v="Business"/>
    <s v="No"/>
    <x v="2"/>
    <x v="2"/>
    <d v="2023-05-22T00:00:00"/>
    <x v="11"/>
  </r>
  <r>
    <n v="962"/>
    <s v="80x30"/>
    <x v="1"/>
    <s v="Happy birthday подвійни"/>
    <s v="White"/>
    <s v="Katerina"/>
    <s v="Melnyk"/>
    <x v="0"/>
    <n v="44"/>
    <x v="1"/>
    <n v="2"/>
    <n v="3800"/>
    <n v="2000"/>
    <n v="7600"/>
    <n v="3600"/>
    <x v="27"/>
    <x v="0"/>
    <s v="Ukraine"/>
    <s v="Business"/>
    <s v="No"/>
    <x v="1"/>
    <x v="3"/>
    <d v="2023-03-05T00:00:00"/>
    <x v="0"/>
  </r>
  <r>
    <n v="963"/>
    <s v="100x30"/>
    <x v="1"/>
    <s v="Fast gym "/>
    <s v="Red"/>
    <s v="Volodya"/>
    <s v="Marchenko"/>
    <x v="1"/>
    <n v="26"/>
    <x v="0"/>
    <n v="4"/>
    <n v="3910"/>
    <n v="1930"/>
    <n v="15640"/>
    <n v="7920"/>
    <x v="30"/>
    <x v="0"/>
    <s v="Ukraine"/>
    <s v="Business"/>
    <s v="No"/>
    <x v="7"/>
    <x v="1"/>
    <d v="2023-04-25T00:00:00"/>
    <x v="7"/>
  </r>
  <r>
    <n v="964"/>
    <s v="65x60"/>
    <x v="1"/>
    <s v="PAB"/>
    <s v="Rose"/>
    <s v="Nazar"/>
    <s v="Lysenko"/>
    <x v="1"/>
    <n v="48"/>
    <x v="1"/>
    <n v="1"/>
    <n v="3150"/>
    <n v="1680"/>
    <n v="3150"/>
    <n v="1470"/>
    <x v="18"/>
    <x v="3"/>
    <s v="Ukraine"/>
    <s v="Business"/>
    <s v="No"/>
    <x v="5"/>
    <x v="2"/>
    <d v="2023-04-27T00:00:00"/>
    <x v="7"/>
  </r>
  <r>
    <n v="965"/>
    <s v="70x21"/>
    <x v="1"/>
    <s v="dance"/>
    <s v="White"/>
    <s v="Alina"/>
    <s v="Rudenko"/>
    <x v="0"/>
    <n v="53"/>
    <x v="2"/>
    <n v="5"/>
    <n v="2770"/>
    <n v="1370"/>
    <n v="13850"/>
    <n v="7000"/>
    <x v="41"/>
    <x v="0"/>
    <s v="Ukraine"/>
    <s v="Business"/>
    <s v="No"/>
    <x v="6"/>
    <x v="0"/>
    <d v="2023-11-29T00:00:00"/>
    <x v="5"/>
  </r>
  <r>
    <n v="966"/>
    <s v="50х25"/>
    <x v="1"/>
    <s v="That’s my boy"/>
    <s v="Red"/>
    <s v="Nazar"/>
    <s v="Savchenko"/>
    <x v="1"/>
    <n v="30"/>
    <x v="0"/>
    <n v="2"/>
    <n v="3480"/>
    <n v="1240"/>
    <n v="6960"/>
    <n v="4480"/>
    <x v="1"/>
    <x v="1"/>
    <s v="Ukraine"/>
    <s v="Business"/>
    <s v="No"/>
    <x v="0"/>
    <x v="3"/>
    <d v="2023-10-13T00:00:00"/>
    <x v="9"/>
  </r>
  <r>
    <n v="967"/>
    <s v="50х50"/>
    <x v="1"/>
    <s v="Pig"/>
    <s v="Rose"/>
    <s v="Inessa"/>
    <s v="Hrytsenko"/>
    <x v="0"/>
    <n v="37"/>
    <x v="1"/>
    <n v="3"/>
    <n v="6840"/>
    <n v="3700"/>
    <n v="20520"/>
    <n v="9420"/>
    <x v="26"/>
    <x v="3"/>
    <s v="Ukraine"/>
    <s v="Business"/>
    <s v="No"/>
    <x v="4"/>
    <x v="1"/>
    <d v="2023-12-21T00:00:00"/>
    <x v="10"/>
  </r>
  <r>
    <n v="968"/>
    <s v="55х11"/>
    <x v="1"/>
    <s v="What about photo"/>
    <s v="White"/>
    <s v="Inna"/>
    <s v="Polishchuk"/>
    <x v="0"/>
    <n v="42"/>
    <x v="1"/>
    <n v="4"/>
    <n v="2350"/>
    <n v="850"/>
    <n v="9400"/>
    <n v="6000"/>
    <x v="1"/>
    <x v="1"/>
    <s v="Ukraine"/>
    <s v="Business"/>
    <s v="No"/>
    <x v="7"/>
    <x v="0"/>
    <d v="2023-02-08T00:00:00"/>
    <x v="1"/>
  </r>
  <r>
    <n v="969"/>
    <s v="200x60"/>
    <x v="1"/>
    <s v="beer&amp; fish"/>
    <s v="Red"/>
    <s v="Anya"/>
    <s v="Tymoshenko"/>
    <x v="0"/>
    <n v="24"/>
    <x v="0"/>
    <n v="1"/>
    <n v="9470"/>
    <n v="5840"/>
    <n v="9470"/>
    <n v="3630"/>
    <x v="21"/>
    <x v="3"/>
    <s v="Ukraine"/>
    <s v="Business"/>
    <s v="No"/>
    <x v="6"/>
    <x v="2"/>
    <d v="2023-01-08T00:00:00"/>
    <x v="4"/>
  </r>
  <r>
    <n v="970"/>
    <s v="95x42"/>
    <x v="1"/>
    <s v="kosuli coffee"/>
    <s v="Rose"/>
    <s v="Luisa"/>
    <s v="Kostenko"/>
    <x v="0"/>
    <n v="57"/>
    <x v="2"/>
    <n v="5"/>
    <n v="5250"/>
    <n v="2300"/>
    <n v="26250"/>
    <n v="14750"/>
    <x v="24"/>
    <x v="3"/>
    <s v="Ukraine"/>
    <s v="Business"/>
    <s v="No"/>
    <x v="2"/>
    <x v="3"/>
    <d v="2023-03-27T00:00:00"/>
    <x v="0"/>
  </r>
  <r>
    <n v="971"/>
    <s v="75х27"/>
    <x v="1"/>
    <s v="Buy me"/>
    <s v="Red"/>
    <s v="Bred"/>
    <s v="Zakharchenko"/>
    <x v="1"/>
    <n v="35"/>
    <x v="0"/>
    <n v="3"/>
    <n v="2680"/>
    <n v="1520"/>
    <n v="8040"/>
    <n v="3480"/>
    <x v="35"/>
    <x v="0"/>
    <s v="Ukraine"/>
    <s v="Business"/>
    <s v="No"/>
    <x v="5"/>
    <x v="1"/>
    <d v="2023-10-20T00:00:00"/>
    <x v="9"/>
  </r>
  <r>
    <n v="972"/>
    <s v="230x50"/>
    <x v="1"/>
    <s v="Al marine"/>
    <s v="Rose"/>
    <s v="Maria"/>
    <s v="Denysenko"/>
    <x v="0"/>
    <n v="40"/>
    <x v="1"/>
    <n v="2"/>
    <n v="8320"/>
    <n v="4270"/>
    <n v="16640"/>
    <n v="8100"/>
    <x v="4"/>
    <x v="3"/>
    <s v="Ukraine"/>
    <s v="Business"/>
    <s v="No"/>
    <x v="4"/>
    <x v="2"/>
    <d v="2023-08-28T00:00:00"/>
    <x v="3"/>
  </r>
  <r>
    <n v="973"/>
    <s v="37х65"/>
    <x v="1"/>
    <s v="Byu me flowers"/>
    <s v="White"/>
    <s v="Vlad"/>
    <s v="Ivanenko"/>
    <x v="1"/>
    <n v="21"/>
    <x v="0"/>
    <n v="1"/>
    <n v="3610"/>
    <n v="1540"/>
    <n v="3610"/>
    <n v="2070"/>
    <x v="19"/>
    <x v="3"/>
    <s v="Ukraine"/>
    <s v="Business"/>
    <s v="No"/>
    <x v="3"/>
    <x v="0"/>
    <d v="2023-09-15T00:00:00"/>
    <x v="2"/>
  </r>
  <r>
    <n v="974"/>
    <s v="80х30"/>
    <x v="1"/>
    <s v="Wanna buy me"/>
    <s v="Green"/>
    <s v="Nazar"/>
    <s v="Oliynyk"/>
    <x v="1"/>
    <n v="59"/>
    <x v="2"/>
    <n v="4"/>
    <n v="2820"/>
    <n v="1320"/>
    <n v="11280"/>
    <n v="6000"/>
    <x v="22"/>
    <x v="4"/>
    <s v="Ukraine"/>
    <s v="Business"/>
    <s v="No"/>
    <x v="6"/>
    <x v="3"/>
    <d v="2023-01-16T00:00:00"/>
    <x v="4"/>
  </r>
  <r>
    <n v="975"/>
    <s v="65x32"/>
    <x v="1"/>
    <s v="maestro music"/>
    <s v="White"/>
    <s v="Kate"/>
    <s v="Shevchenko"/>
    <x v="0"/>
    <n v="32"/>
    <x v="0"/>
    <n v="3"/>
    <n v="3450"/>
    <n v="1500"/>
    <n v="10350"/>
    <n v="5850"/>
    <x v="8"/>
    <x v="0"/>
    <s v="Ukraine"/>
    <s v="Business"/>
    <s v="No"/>
    <x v="6"/>
    <x v="1"/>
    <d v="2023-11-20T00:00:00"/>
    <x v="5"/>
  </r>
  <r>
    <n v="976"/>
    <s v="50x37"/>
    <x v="1"/>
    <s v="maestro stage"/>
    <s v="Red"/>
    <s v="Ben"/>
    <s v="Kovalenko"/>
    <x v="1"/>
    <n v="46"/>
    <x v="1"/>
    <n v="2"/>
    <n v="3480"/>
    <n v="1580"/>
    <n v="6960"/>
    <n v="3800"/>
    <x v="27"/>
    <x v="0"/>
    <s v="Ukraine"/>
    <s v="Business"/>
    <s v="No"/>
    <x v="0"/>
    <x v="0"/>
    <d v="2023-01-13T00:00:00"/>
    <x v="4"/>
  </r>
  <r>
    <n v="977"/>
    <s v="70х46"/>
    <x v="1"/>
    <s v="notes"/>
    <s v="Rose"/>
    <s v="Rostik"/>
    <s v="Bondarenko"/>
    <x v="1"/>
    <n v="54"/>
    <x v="2"/>
    <n v="4"/>
    <n v="2800"/>
    <n v="1400"/>
    <n v="11200"/>
    <n v="5600"/>
    <x v="3"/>
    <x v="0"/>
    <s v="Ukraine"/>
    <s v="Business"/>
    <s v="No"/>
    <x v="2"/>
    <x v="2"/>
    <d v="2023-05-19T00:00:00"/>
    <x v="11"/>
  </r>
  <r>
    <n v="978"/>
    <s v="30x50"/>
    <x v="1"/>
    <s v="Frog"/>
    <s v="White"/>
    <s v="Karina"/>
    <s v="Tkachenko"/>
    <x v="0"/>
    <n v="25"/>
    <x v="0"/>
    <n v="1"/>
    <n v="3200"/>
    <n v="1200"/>
    <n v="3200"/>
    <n v="2000"/>
    <x v="9"/>
    <x v="3"/>
    <s v="Ukraine"/>
    <s v="Business"/>
    <s v="No"/>
    <x v="1"/>
    <x v="3"/>
    <d v="2023-11-22T00:00:00"/>
    <x v="5"/>
  </r>
  <r>
    <n v="979"/>
    <s v="35x28"/>
    <x v="1"/>
    <s v="brainity"/>
    <s v="Red"/>
    <s v="Taras"/>
    <s v="Kravchenko"/>
    <x v="1"/>
    <n v="43"/>
    <x v="1"/>
    <n v="5"/>
    <n v="3700"/>
    <n v="1750"/>
    <n v="18500"/>
    <n v="9750"/>
    <x v="0"/>
    <x v="0"/>
    <s v="Ukraine"/>
    <s v="Business"/>
    <s v="No"/>
    <x v="6"/>
    <x v="1"/>
    <d v="2023-01-05T00:00:00"/>
    <x v="4"/>
  </r>
  <r>
    <n v="980"/>
    <s v="100x21"/>
    <x v="1"/>
    <s v="lux cafe"/>
    <s v="Rose"/>
    <s v="Vika"/>
    <s v="Boyko"/>
    <x v="0"/>
    <n v="58"/>
    <x v="2"/>
    <n v="2"/>
    <n v="3800"/>
    <n v="2000"/>
    <n v="7600"/>
    <n v="3600"/>
    <x v="1"/>
    <x v="1"/>
    <s v="Ukraine"/>
    <s v="Business"/>
    <s v="No"/>
    <x v="4"/>
    <x v="2"/>
    <d v="2023-11-18T00:00:00"/>
    <x v="5"/>
  </r>
  <r>
    <n v="981"/>
    <s v="100х27"/>
    <x v="1"/>
    <s v="Do you wanna be my ?"/>
    <s v="White"/>
    <s v="Emilia"/>
    <s v="Kovalchuk"/>
    <x v="0"/>
    <n v="20"/>
    <x v="0"/>
    <n v="3"/>
    <n v="5140"/>
    <n v="2000"/>
    <n v="15420"/>
    <n v="9420"/>
    <x v="41"/>
    <x v="0"/>
    <s v="Ukraine"/>
    <s v="Business"/>
    <s v="No"/>
    <x v="7"/>
    <x v="3"/>
    <d v="2023-06-25T00:00:00"/>
    <x v="6"/>
  </r>
  <r>
    <n v="982"/>
    <s v="40x15"/>
    <x v="1"/>
    <s v="open"/>
    <s v="Red"/>
    <s v="Tamara"/>
    <s v="Melnyk"/>
    <x v="0"/>
    <n v="49"/>
    <x v="1"/>
    <n v="4"/>
    <n v="1620"/>
    <n v="650"/>
    <n v="6480"/>
    <n v="3880"/>
    <x v="13"/>
    <x v="1"/>
    <s v="Ukraine"/>
    <s v="Business"/>
    <s v="No"/>
    <x v="6"/>
    <x v="1"/>
    <d v="2023-02-18T00:00:00"/>
    <x v="1"/>
  </r>
  <r>
    <n v="983"/>
    <s v="295х63"/>
    <x v="1"/>
    <s v="Sandwich"/>
    <s v="Rose"/>
    <s v="Oleg"/>
    <s v="Marchenko"/>
    <x v="1"/>
    <n v="34"/>
    <x v="0"/>
    <n v="1"/>
    <n v="13200"/>
    <n v="6700"/>
    <n v="13200"/>
    <n v="6500"/>
    <x v="26"/>
    <x v="3"/>
    <s v="Ukraine"/>
    <s v="Business"/>
    <s v="No"/>
    <x v="2"/>
    <x v="0"/>
    <d v="2023-02-12T00:00:00"/>
    <x v="1"/>
  </r>
  <r>
    <n v="984"/>
    <s v="98x100"/>
    <x v="1"/>
    <s v="zbs barber"/>
    <s v="White"/>
    <s v="Yuri"/>
    <s v="Lysenko"/>
    <x v="1"/>
    <n v="27"/>
    <x v="0"/>
    <n v="5"/>
    <n v="13630"/>
    <n v="6870"/>
    <n v="68150"/>
    <n v="33800"/>
    <x v="9"/>
    <x v="3"/>
    <s v="Ukraine"/>
    <s v="Business"/>
    <s v="No"/>
    <x v="3"/>
    <x v="2"/>
    <d v="2023-07-06T00:00:00"/>
    <x v="8"/>
  </r>
  <r>
    <n v="985"/>
    <s v="70x27"/>
    <x v="1"/>
    <s v="b massage by"/>
    <s v="Red"/>
    <s v="Ben"/>
    <s v="Rudenko"/>
    <x v="1"/>
    <n v="45"/>
    <x v="1"/>
    <n v="3"/>
    <n v="3500"/>
    <n v="1400"/>
    <n v="10500"/>
    <n v="6300"/>
    <x v="6"/>
    <x v="1"/>
    <s v="Ukraine"/>
    <s v="Business"/>
    <s v="No"/>
    <x v="1"/>
    <x v="3"/>
    <d v="2023-09-01T00:00:00"/>
    <x v="2"/>
  </r>
  <r>
    <n v="986"/>
    <s v="65x60"/>
    <x v="1"/>
    <s v="coffee in hand"/>
    <s v="Rose"/>
    <s v="Amanda"/>
    <s v="Savchenko"/>
    <x v="0"/>
    <n v="52"/>
    <x v="2"/>
    <n v="2"/>
    <n v="3770"/>
    <n v="2070"/>
    <n v="7540"/>
    <n v="3400"/>
    <x v="12"/>
    <x v="2"/>
    <s v="Ukraine"/>
    <s v="Business"/>
    <s v="No"/>
    <x v="3"/>
    <x v="0"/>
    <d v="2023-12-06T00:00:00"/>
    <x v="10"/>
  </r>
  <r>
    <n v="987"/>
    <s v="74x90"/>
    <x v="1"/>
    <s v="i centr"/>
    <s v="White"/>
    <s v="Chris"/>
    <s v="Hrytsenko"/>
    <x v="1"/>
    <n v="23"/>
    <x v="0"/>
    <n v="4"/>
    <n v="5700"/>
    <n v="3000"/>
    <n v="22800"/>
    <n v="10800"/>
    <x v="38"/>
    <x v="2"/>
    <s v="Ukraine"/>
    <s v="Business"/>
    <s v="No"/>
    <x v="1"/>
    <x v="2"/>
    <d v="2023-07-03T00:00:00"/>
    <x v="8"/>
  </r>
  <r>
    <n v="988"/>
    <s v="90x33"/>
    <x v="1"/>
    <s v="figma hub"/>
    <s v="Red"/>
    <s v="Mark"/>
    <s v="Polishchuk"/>
    <x v="1"/>
    <n v="38"/>
    <x v="1"/>
    <n v="1"/>
    <n v="4250"/>
    <n v="2050"/>
    <n v="4250"/>
    <n v="2200"/>
    <x v="14"/>
    <x v="3"/>
    <s v="Ukraine"/>
    <s v="Business"/>
    <s v="No"/>
    <x v="4"/>
    <x v="3"/>
    <d v="2023-06-05T00:00:00"/>
    <x v="6"/>
  </r>
  <r>
    <n v="989"/>
    <s v="87x27"/>
    <x v="1"/>
    <s v="dropmode"/>
    <s v="Rose"/>
    <s v="Joanna"/>
    <s v="Tymoshenko"/>
    <x v="0"/>
    <n v="41"/>
    <x v="1"/>
    <n v="5"/>
    <n v="3440"/>
    <n v="1900"/>
    <n v="17200"/>
    <n v="7700"/>
    <x v="20"/>
    <x v="0"/>
    <s v="Ukraine"/>
    <s v="Business"/>
    <s v="No"/>
    <x v="7"/>
    <x v="1"/>
    <d v="2023-10-04T00:00:00"/>
    <x v="9"/>
  </r>
  <r>
    <n v="990"/>
    <s v="150x25"/>
    <x v="1"/>
    <s v="neo fitness"/>
    <s v="Red"/>
    <s v="Ben"/>
    <s v="Kostenko"/>
    <x v="1"/>
    <n v="29"/>
    <x v="0"/>
    <n v="3"/>
    <n v="4000"/>
    <n v="2100"/>
    <n v="12000"/>
    <n v="5700"/>
    <x v="39"/>
    <x v="4"/>
    <s v="Ukraine"/>
    <s v="Business"/>
    <s v="No"/>
    <x v="0"/>
    <x v="0"/>
    <d v="2023-07-26T00:00:00"/>
    <x v="8"/>
  </r>
  <r>
    <n v="991"/>
    <s v="80x55"/>
    <x v="1"/>
    <s v="kd"/>
    <s v="Rose"/>
    <s v="Lisa"/>
    <s v="Zakharchenko"/>
    <x v="0"/>
    <n v="60"/>
    <x v="2"/>
    <n v="1"/>
    <n v="3750"/>
    <n v="2000"/>
    <n v="3750"/>
    <n v="1750"/>
    <x v="24"/>
    <x v="3"/>
    <s v="Ukraine"/>
    <s v="Business"/>
    <s v="No"/>
    <x v="3"/>
    <x v="2"/>
    <d v="2023-03-14T00:00:00"/>
    <x v="0"/>
  </r>
  <r>
    <n v="992"/>
    <s v="80x45"/>
    <x v="1"/>
    <s v="My people"/>
    <s v="White"/>
    <s v="Nazar"/>
    <s v="Denysenko"/>
    <x v="1"/>
    <n v="33"/>
    <x v="0"/>
    <n v="2"/>
    <n v="3840"/>
    <n v="2040"/>
    <n v="7680"/>
    <n v="3600"/>
    <x v="12"/>
    <x v="2"/>
    <s v="Ukraine"/>
    <s v="Business"/>
    <s v="No"/>
    <x v="4"/>
    <x v="3"/>
    <d v="2023-10-23T00:00:00"/>
    <x v="9"/>
  </r>
  <r>
    <n v="993"/>
    <s v="80х80"/>
    <x v="1"/>
    <s v="pizza"/>
    <s v="Green"/>
    <s v="Alina"/>
    <s v="Ivanenko"/>
    <x v="0"/>
    <n v="22"/>
    <x v="0"/>
    <n v="4"/>
    <n v="5274"/>
    <n v="3300"/>
    <n v="21096"/>
    <n v="7896"/>
    <x v="42"/>
    <x v="0"/>
    <s v="Ukraine"/>
    <s v="Business"/>
    <s v="No"/>
    <x v="5"/>
    <x v="1"/>
    <d v="2023-03-23T00:00:00"/>
    <x v="0"/>
  </r>
  <r>
    <n v="994"/>
    <s v="80х80"/>
    <x v="1"/>
    <s v="sushi "/>
    <s v="White"/>
    <s v="Nazar"/>
    <s v="Oliynyk"/>
    <x v="1"/>
    <n v="47"/>
    <x v="1"/>
    <n v="5"/>
    <n v="5841"/>
    <n v="3450"/>
    <n v="29205"/>
    <n v="11955"/>
    <x v="14"/>
    <x v="3"/>
    <s v="Ukraine"/>
    <s v="Business"/>
    <s v="No"/>
    <x v="6"/>
    <x v="2"/>
    <d v="2023-05-14T00:00:00"/>
    <x v="11"/>
  </r>
  <r>
    <n v="995"/>
    <s v="37x20"/>
    <x v="1"/>
    <s v="pro duck"/>
    <s v="Red"/>
    <s v="Inessa"/>
    <s v="Myrovana"/>
    <x v="0"/>
    <n v="55"/>
    <x v="2"/>
    <n v="2"/>
    <n v="2700"/>
    <n v="1050"/>
    <n v="5400"/>
    <n v="3300"/>
    <x v="7"/>
    <x v="0"/>
    <s v="Ukraine"/>
    <s v="Business"/>
    <s v="No"/>
    <x v="3"/>
    <x v="0"/>
    <d v="2023-03-17T00:00:00"/>
    <x v="0"/>
  </r>
  <r>
    <n v="996"/>
    <s v="180х33"/>
    <x v="1"/>
    <s v="Firework"/>
    <s v="Rose"/>
    <s v="Inna"/>
    <s v="Trubin"/>
    <x v="0"/>
    <n v="36"/>
    <x v="1"/>
    <n v="3"/>
    <n v="5700"/>
    <n v="2500"/>
    <n v="17100"/>
    <n v="9600"/>
    <x v="8"/>
    <x v="0"/>
    <s v="Ukraine"/>
    <s v="Business"/>
    <s v="No"/>
    <x v="4"/>
    <x v="3"/>
    <d v="2023-05-20T00:00:00"/>
    <x v="11"/>
  </r>
  <r>
    <n v="997"/>
    <s v="180х34"/>
    <x v="1"/>
    <s v="Jym"/>
    <s v="White"/>
    <s v="Anya"/>
    <s v="Tetiuk"/>
    <x v="0"/>
    <n v="28"/>
    <x v="0"/>
    <n v="2"/>
    <n v="5700"/>
    <n v="2500"/>
    <n v="11400"/>
    <n v="6400"/>
    <x v="9"/>
    <x v="3"/>
    <s v="Ukraine"/>
    <s v="Business"/>
    <s v="No"/>
    <x v="1"/>
    <x v="1"/>
    <d v="2023-05-14T00:00:00"/>
    <x v="11"/>
  </r>
  <r>
    <n v="998"/>
    <s v="150х39"/>
    <x v="1"/>
    <s v="Royal Space"/>
    <s v="Red"/>
    <s v="Luisa"/>
    <s v="Moroz"/>
    <x v="0"/>
    <n v="50"/>
    <x v="2"/>
    <n v="3"/>
    <n v="4900"/>
    <n v="2350"/>
    <n v="14700"/>
    <n v="7650"/>
    <x v="5"/>
    <x v="3"/>
    <s v="Ukraine"/>
    <s v="Business"/>
    <s v="No"/>
    <x v="5"/>
    <x v="0"/>
    <d v="2023-06-25T00:00:00"/>
    <x v="6"/>
  </r>
  <r>
    <n v="999"/>
    <s v="150x72"/>
    <x v="1"/>
    <s v="craftroom"/>
    <s v="Rose"/>
    <s v="Bred"/>
    <s v="Petrenko"/>
    <x v="1"/>
    <n v="39"/>
    <x v="1"/>
    <n v="1"/>
    <n v="12950"/>
    <n v="7950"/>
    <n v="12950"/>
    <n v="5000"/>
    <x v="10"/>
    <x v="0"/>
    <s v="Ukraine"/>
    <s v="Business"/>
    <s v="No"/>
    <x v="4"/>
    <x v="2"/>
    <d v="2023-11-03T00:00:00"/>
    <x v="5"/>
  </r>
  <r>
    <n v="1000"/>
    <s v="100x40"/>
    <x v="1"/>
    <s v="Buddy cloud"/>
    <s v="Rose"/>
    <s v="Maria"/>
    <s v="Mazepa"/>
    <x v="0"/>
    <n v="31"/>
    <x v="0"/>
    <n v="2"/>
    <n v="4650"/>
    <n v="2650"/>
    <n v="9300"/>
    <n v="4000"/>
    <x v="11"/>
    <x v="2"/>
    <s v="Ukraine"/>
    <s v="Business"/>
    <s v="No"/>
    <x v="4"/>
    <x v="3"/>
    <d v="2023-07-21T00:00:00"/>
    <x v="8"/>
  </r>
  <r>
    <n v="1001"/>
    <s v="82х39"/>
    <x v="1"/>
    <s v="Bo fresh"/>
    <s v="Red"/>
    <s v="Vlad"/>
    <s v="Moloko"/>
    <x v="1"/>
    <n v="44"/>
    <x v="1"/>
    <n v="4"/>
    <n v="4340"/>
    <n v="2340"/>
    <n v="17360"/>
    <n v="8000"/>
    <x v="12"/>
    <x v="2"/>
    <s v="Ukraine"/>
    <s v="Business"/>
    <s v="No"/>
    <x v="3"/>
    <x v="1"/>
    <d v="2023-05-19T00:00:00"/>
    <x v="11"/>
  </r>
  <r>
    <n v="1002"/>
    <s v="63x26"/>
    <x v="1"/>
    <s v="darling, you are beautiful"/>
    <s v="Rose"/>
    <s v="Nazar"/>
    <s v="Gruzko"/>
    <x v="1"/>
    <n v="26"/>
    <x v="0"/>
    <n v="5"/>
    <n v="5170"/>
    <n v="2000"/>
    <n v="25850"/>
    <n v="15850"/>
    <x v="13"/>
    <x v="1"/>
    <s v="Ukraine"/>
    <s v="Business"/>
    <s v="No"/>
    <x v="1"/>
    <x v="1"/>
    <d v="2023-01-27T00:00:00"/>
    <x v="4"/>
  </r>
  <r>
    <n v="1003"/>
    <s v="70x65"/>
    <x v="1"/>
    <s v="cosmos"/>
    <s v="White"/>
    <s v="Kate"/>
    <s v="Buzko"/>
    <x v="0"/>
    <n v="48"/>
    <x v="1"/>
    <n v="2"/>
    <n v="4700"/>
    <n v="2700"/>
    <n v="9400"/>
    <n v="4000"/>
    <x v="14"/>
    <x v="3"/>
    <s v="Ukraine"/>
    <s v="Business"/>
    <s v="No"/>
    <x v="2"/>
    <x v="2"/>
    <d v="2023-03-16T00:00:00"/>
    <x v="0"/>
  </r>
  <r>
    <n v="1004"/>
    <s v="50x50"/>
    <x v="1"/>
    <s v="NVNT"/>
    <s v="Green"/>
    <s v="Ben"/>
    <s v="Korduban"/>
    <x v="1"/>
    <n v="53"/>
    <x v="2"/>
    <n v="3"/>
    <n v="2790"/>
    <n v="1700"/>
    <n v="8370"/>
    <n v="3270"/>
    <x v="15"/>
    <x v="0"/>
    <s v="Ukraine"/>
    <s v="Business"/>
    <s v="No"/>
    <x v="7"/>
    <x v="0"/>
    <d v="2023-05-22T00:00:00"/>
    <x v="11"/>
  </r>
  <r>
    <n v="1005"/>
    <s v="50x20"/>
    <x v="1"/>
    <s v="by hairdressers"/>
    <s v="White"/>
    <s v="Rostik"/>
    <s v="Pirus"/>
    <x v="1"/>
    <n v="30"/>
    <x v="0"/>
    <n v="1"/>
    <n v="5540"/>
    <n v="1460"/>
    <n v="5540"/>
    <n v="4080"/>
    <x v="16"/>
    <x v="3"/>
    <s v="Ukraine"/>
    <s v="Business"/>
    <s v="No"/>
    <x v="2"/>
    <x v="3"/>
    <d v="2023-03-05T00:00:00"/>
    <x v="0"/>
  </r>
  <r>
    <n v="1006"/>
    <s v="50x20"/>
    <x v="1"/>
    <s v="your hair"/>
    <s v="Red"/>
    <s v="Karina"/>
    <s v="Prius"/>
    <x v="0"/>
    <n v="37"/>
    <x v="1"/>
    <n v="4"/>
    <n v="2230"/>
    <n v="980"/>
    <n v="8920"/>
    <n v="5000"/>
    <x v="17"/>
    <x v="1"/>
    <s v="Ukraine"/>
    <s v="Business"/>
    <s v="No"/>
    <x v="3"/>
    <x v="1"/>
    <d v="2023-04-25T00:00:00"/>
    <x v="7"/>
  </r>
  <r>
    <n v="1007"/>
    <s v="59x20"/>
    <x v="1"/>
    <s v="your way"/>
    <s v="Rose"/>
    <s v="Taras"/>
    <s v="Biomot"/>
    <x v="1"/>
    <n v="42"/>
    <x v="1"/>
    <n v="5"/>
    <n v="2250"/>
    <n v="1000"/>
    <n v="11250"/>
    <n v="6250"/>
    <x v="18"/>
    <x v="3"/>
    <s v="Ukraine"/>
    <s v="Business"/>
    <s v="No"/>
    <x v="3"/>
    <x v="0"/>
    <d v="2023-04-27T00:00:00"/>
    <x v="7"/>
  </r>
  <r>
    <n v="1008"/>
    <s v="90x60"/>
    <x v="1"/>
    <s v="vape shop"/>
    <s v="White"/>
    <s v="Vika"/>
    <s v="Veres"/>
    <x v="0"/>
    <n v="24"/>
    <x v="0"/>
    <n v="3"/>
    <n v="4850"/>
    <n v="2850"/>
    <n v="14550"/>
    <n v="6000"/>
    <x v="19"/>
    <x v="3"/>
    <s v="Ukraine"/>
    <s v="Business"/>
    <s v="No"/>
    <x v="0"/>
    <x v="2"/>
    <d v="2023-11-29T00:00:00"/>
    <x v="5"/>
  </r>
  <r>
    <n v="1009"/>
    <s v="90x25"/>
    <x v="1"/>
    <s v="pudra"/>
    <s v="Red"/>
    <s v="Gragory"/>
    <s v="Batumko"/>
    <x v="1"/>
    <n v="57"/>
    <x v="2"/>
    <n v="2"/>
    <n v="3150"/>
    <n v="1350"/>
    <n v="6300"/>
    <n v="3600"/>
    <x v="20"/>
    <x v="0"/>
    <s v="Ukraine"/>
    <s v="Business"/>
    <s v="No"/>
    <x v="6"/>
    <x v="3"/>
    <d v="2023-10-13T00:00:00"/>
    <x v="9"/>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r>
    <m/>
    <m/>
    <x v="2"/>
    <m/>
    <m/>
    <m/>
    <m/>
    <x v="2"/>
    <m/>
    <x v="3"/>
    <m/>
    <m/>
    <m/>
    <m/>
    <m/>
    <x v="45"/>
    <x v="5"/>
    <m/>
    <m/>
    <m/>
    <x v="8"/>
    <x v="4"/>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A9D936-0226-E640-80C2-4ABBF7D2FAF6}" name="PivotTable5"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7:B37" firstHeaderRow="1" firstDataRow="1" firstDataCol="1"/>
  <pivotFields count="24">
    <pivotField showAll="0"/>
    <pivotField showAll="0"/>
    <pivotField showAll="0">
      <items count="4">
        <item x="0"/>
        <item x="1"/>
        <item x="2"/>
        <item t="default"/>
      </items>
    </pivotField>
    <pivotField showAll="0"/>
    <pivotField showAll="0"/>
    <pivotField showAll="0"/>
    <pivotField showAll="0"/>
    <pivotField axis="axisRow" showAll="0" sortType="ascending">
      <items count="4">
        <item x="0"/>
        <item x="1"/>
        <item x="2"/>
        <item t="default"/>
      </items>
    </pivotField>
    <pivotField showAll="0"/>
    <pivotField axis="axisRow" showAll="0">
      <items count="5">
        <item x="0"/>
        <item x="2"/>
        <item x="1"/>
        <item h="1" x="3"/>
        <item t="default"/>
      </items>
    </pivotField>
    <pivotField showAll="0"/>
    <pivotField showAll="0"/>
    <pivotField showAll="0"/>
    <pivotField showAll="0"/>
    <pivotField dataField="1" showAll="0"/>
    <pivotField showAll="0">
      <items count="47">
        <item x="6"/>
        <item x="33"/>
        <item x="42"/>
        <item x="12"/>
        <item x="23"/>
        <item x="28"/>
        <item x="39"/>
        <item x="40"/>
        <item x="7"/>
        <item x="26"/>
        <item x="27"/>
        <item x="25"/>
        <item x="18"/>
        <item x="10"/>
        <item x="44"/>
        <item x="29"/>
        <item x="5"/>
        <item x="14"/>
        <item x="17"/>
        <item x="9"/>
        <item x="30"/>
        <item x="11"/>
        <item x="1"/>
        <item x="16"/>
        <item x="19"/>
        <item x="36"/>
        <item x="8"/>
        <item x="4"/>
        <item x="41"/>
        <item x="22"/>
        <item x="20"/>
        <item x="13"/>
        <item x="3"/>
        <item x="24"/>
        <item x="15"/>
        <item x="32"/>
        <item x="34"/>
        <item x="43"/>
        <item x="21"/>
        <item x="38"/>
        <item x="31"/>
        <item x="2"/>
        <item x="0"/>
        <item x="35"/>
        <item x="37"/>
        <item x="45"/>
        <item t="default"/>
      </items>
    </pivotField>
    <pivotField showAll="0">
      <items count="7">
        <item x="2"/>
        <item x="1"/>
        <item x="4"/>
        <item x="0"/>
        <item x="3"/>
        <item x="5"/>
        <item t="default"/>
      </items>
    </pivotField>
    <pivotField showAll="0"/>
    <pivotField showAll="0"/>
    <pivotField showAll="0"/>
    <pivotField showAll="0">
      <items count="10">
        <item x="5"/>
        <item x="0"/>
        <item x="4"/>
        <item x="3"/>
        <item x="7"/>
        <item x="1"/>
        <item x="2"/>
        <item x="6"/>
        <item x="8"/>
        <item t="default"/>
      </items>
    </pivotField>
    <pivotField showAll="0">
      <items count="6">
        <item x="0"/>
        <item x="3"/>
        <item x="1"/>
        <item x="2"/>
        <item x="4"/>
        <item t="default"/>
      </items>
    </pivotField>
    <pivotField showAll="0"/>
    <pivotField showAll="0">
      <items count="14">
        <item x="4"/>
        <item x="1"/>
        <item x="0"/>
        <item x="7"/>
        <item x="11"/>
        <item x="6"/>
        <item x="8"/>
        <item x="3"/>
        <item x="2"/>
        <item x="9"/>
        <item x="5"/>
        <item x="10"/>
        <item h="1" x="12"/>
        <item t="default"/>
      </items>
    </pivotField>
  </pivotFields>
  <rowFields count="2">
    <field x="9"/>
    <field x="7"/>
  </rowFields>
  <rowItems count="10">
    <i>
      <x/>
    </i>
    <i r="1">
      <x/>
    </i>
    <i r="1">
      <x v="1"/>
    </i>
    <i>
      <x v="1"/>
    </i>
    <i r="1">
      <x/>
    </i>
    <i r="1">
      <x v="1"/>
    </i>
    <i>
      <x v="2"/>
    </i>
    <i r="1">
      <x/>
    </i>
    <i r="1">
      <x v="1"/>
    </i>
    <i t="grand">
      <x/>
    </i>
  </rowItems>
  <colItems count="1">
    <i/>
  </colItems>
  <dataFields count="1">
    <dataField name="Sum of Profit" fld="14" baseField="0" baseItem="0"/>
  </dataFields>
  <formats count="1">
    <format dxfId="184">
      <pivotArea outline="0" collapsedLevelsAreSubtotals="1" fieldPosition="0"/>
    </format>
  </formats>
  <chartFormats count="21">
    <chartFormat chart="0" format="15" series="1">
      <pivotArea type="data" outline="0" fieldPosition="0">
        <references count="1">
          <reference field="4294967294" count="1" selected="0">
            <x v="0"/>
          </reference>
        </references>
      </pivotArea>
    </chartFormat>
    <chartFormat chart="0" format="16">
      <pivotArea type="data" outline="0" fieldPosition="0">
        <references count="3">
          <reference field="4294967294" count="1" selected="0">
            <x v="0"/>
          </reference>
          <reference field="7" count="1" selected="0">
            <x v="0"/>
          </reference>
          <reference field="9" count="1" selected="0">
            <x v="0"/>
          </reference>
        </references>
      </pivotArea>
    </chartFormat>
    <chartFormat chart="0" format="17">
      <pivotArea type="data" outline="0" fieldPosition="0">
        <references count="3">
          <reference field="4294967294" count="1" selected="0">
            <x v="0"/>
          </reference>
          <reference field="7" count="1" selected="0">
            <x v="1"/>
          </reference>
          <reference field="9" count="1" selected="0">
            <x v="0"/>
          </reference>
        </references>
      </pivotArea>
    </chartFormat>
    <chartFormat chart="0" format="18">
      <pivotArea type="data" outline="0" fieldPosition="0">
        <references count="3">
          <reference field="4294967294" count="1" selected="0">
            <x v="0"/>
          </reference>
          <reference field="7" count="1" selected="0">
            <x v="0"/>
          </reference>
          <reference field="9" count="1" selected="0">
            <x v="1"/>
          </reference>
        </references>
      </pivotArea>
    </chartFormat>
    <chartFormat chart="0" format="19">
      <pivotArea type="data" outline="0" fieldPosition="0">
        <references count="3">
          <reference field="4294967294" count="1" selected="0">
            <x v="0"/>
          </reference>
          <reference field="7" count="1" selected="0">
            <x v="1"/>
          </reference>
          <reference field="9" count="1" selected="0">
            <x v="1"/>
          </reference>
        </references>
      </pivotArea>
    </chartFormat>
    <chartFormat chart="0" format="20">
      <pivotArea type="data" outline="0" fieldPosition="0">
        <references count="3">
          <reference field="4294967294" count="1" selected="0">
            <x v="0"/>
          </reference>
          <reference field="7" count="1" selected="0">
            <x v="1"/>
          </reference>
          <reference field="9" count="1" selected="0">
            <x v="2"/>
          </reference>
        </references>
      </pivotArea>
    </chartFormat>
    <chartFormat chart="0" format="21">
      <pivotArea type="data" outline="0" fieldPosition="0">
        <references count="3">
          <reference field="4294967294" count="1" selected="0">
            <x v="0"/>
          </reference>
          <reference field="7" count="1" selected="0">
            <x v="0"/>
          </reference>
          <reference field="9" count="1" selected="0">
            <x v="2"/>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3">
          <reference field="4294967294" count="1" selected="0">
            <x v="0"/>
          </reference>
          <reference field="7" count="1" selected="0">
            <x v="0"/>
          </reference>
          <reference field="9" count="1" selected="0">
            <x v="0"/>
          </reference>
        </references>
      </pivotArea>
    </chartFormat>
    <chartFormat chart="3" format="24">
      <pivotArea type="data" outline="0" fieldPosition="0">
        <references count="3">
          <reference field="4294967294" count="1" selected="0">
            <x v="0"/>
          </reference>
          <reference field="7" count="1" selected="0">
            <x v="1"/>
          </reference>
          <reference field="9" count="1" selected="0">
            <x v="0"/>
          </reference>
        </references>
      </pivotArea>
    </chartFormat>
    <chartFormat chart="3" format="25">
      <pivotArea type="data" outline="0" fieldPosition="0">
        <references count="3">
          <reference field="4294967294" count="1" selected="0">
            <x v="0"/>
          </reference>
          <reference field="7" count="1" selected="0">
            <x v="0"/>
          </reference>
          <reference field="9" count="1" selected="0">
            <x v="1"/>
          </reference>
        </references>
      </pivotArea>
    </chartFormat>
    <chartFormat chart="3" format="26">
      <pivotArea type="data" outline="0" fieldPosition="0">
        <references count="3">
          <reference field="4294967294" count="1" selected="0">
            <x v="0"/>
          </reference>
          <reference field="7" count="1" selected="0">
            <x v="1"/>
          </reference>
          <reference field="9" count="1" selected="0">
            <x v="1"/>
          </reference>
        </references>
      </pivotArea>
    </chartFormat>
    <chartFormat chart="3" format="27">
      <pivotArea type="data" outline="0" fieldPosition="0">
        <references count="3">
          <reference field="4294967294" count="1" selected="0">
            <x v="0"/>
          </reference>
          <reference field="7" count="1" selected="0">
            <x v="0"/>
          </reference>
          <reference field="9" count="1" selected="0">
            <x v="2"/>
          </reference>
        </references>
      </pivotArea>
    </chartFormat>
    <chartFormat chart="3" format="28">
      <pivotArea type="data" outline="0" fieldPosition="0">
        <references count="3">
          <reference field="4294967294" count="1" selected="0">
            <x v="0"/>
          </reference>
          <reference field="7" count="1" selected="0">
            <x v="1"/>
          </reference>
          <reference field="9" count="1" selected="0">
            <x v="2"/>
          </reference>
        </references>
      </pivotArea>
    </chartFormat>
    <chartFormat chart="4" format="29" series="1">
      <pivotArea type="data" outline="0" fieldPosition="0">
        <references count="1">
          <reference field="4294967294" count="1" selected="0">
            <x v="0"/>
          </reference>
        </references>
      </pivotArea>
    </chartFormat>
    <chartFormat chart="4" format="30">
      <pivotArea type="data" outline="0" fieldPosition="0">
        <references count="3">
          <reference field="4294967294" count="1" selected="0">
            <x v="0"/>
          </reference>
          <reference field="7" count="1" selected="0">
            <x v="0"/>
          </reference>
          <reference field="9" count="1" selected="0">
            <x v="0"/>
          </reference>
        </references>
      </pivotArea>
    </chartFormat>
    <chartFormat chart="4" format="31">
      <pivotArea type="data" outline="0" fieldPosition="0">
        <references count="3">
          <reference field="4294967294" count="1" selected="0">
            <x v="0"/>
          </reference>
          <reference field="7" count="1" selected="0">
            <x v="1"/>
          </reference>
          <reference field="9" count="1" selected="0">
            <x v="0"/>
          </reference>
        </references>
      </pivotArea>
    </chartFormat>
    <chartFormat chart="4" format="32">
      <pivotArea type="data" outline="0" fieldPosition="0">
        <references count="3">
          <reference field="4294967294" count="1" selected="0">
            <x v="0"/>
          </reference>
          <reference field="7" count="1" selected="0">
            <x v="0"/>
          </reference>
          <reference field="9" count="1" selected="0">
            <x v="1"/>
          </reference>
        </references>
      </pivotArea>
    </chartFormat>
    <chartFormat chart="4" format="33">
      <pivotArea type="data" outline="0" fieldPosition="0">
        <references count="3">
          <reference field="4294967294" count="1" selected="0">
            <x v="0"/>
          </reference>
          <reference field="7" count="1" selected="0">
            <x v="1"/>
          </reference>
          <reference field="9" count="1" selected="0">
            <x v="1"/>
          </reference>
        </references>
      </pivotArea>
    </chartFormat>
    <chartFormat chart="4" format="34">
      <pivotArea type="data" outline="0" fieldPosition="0">
        <references count="3">
          <reference field="4294967294" count="1" selected="0">
            <x v="0"/>
          </reference>
          <reference field="7" count="1" selected="0">
            <x v="0"/>
          </reference>
          <reference field="9" count="1" selected="0">
            <x v="2"/>
          </reference>
        </references>
      </pivotArea>
    </chartFormat>
    <chartFormat chart="4" format="35">
      <pivotArea type="data" outline="0" fieldPosition="0">
        <references count="3">
          <reference field="4294967294" count="1" selected="0">
            <x v="0"/>
          </reference>
          <reference field="7"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C5FB04-6141-1C46-879F-6A501C274F7F}" name="PivotTable2"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24">
    <pivotField showAll="0"/>
    <pivotField showAll="0"/>
    <pivotField showAll="0">
      <items count="4">
        <item x="0"/>
        <item x="1"/>
        <item x="2"/>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dataField="1" showAll="0"/>
    <pivotField axis="axisRow" showAll="0">
      <items count="47">
        <item sd="0" x="6"/>
        <item sd="0" x="33"/>
        <item x="42"/>
        <item sd="0" x="12"/>
        <item x="23"/>
        <item x="28"/>
        <item x="39"/>
        <item x="40"/>
        <item x="7"/>
        <item x="26"/>
        <item x="27"/>
        <item x="25"/>
        <item x="18"/>
        <item x="10"/>
        <item x="44"/>
        <item x="29"/>
        <item x="5"/>
        <item x="14"/>
        <item x="17"/>
        <item x="9"/>
        <item x="30"/>
        <item x="11"/>
        <item x="1"/>
        <item x="16"/>
        <item x="19"/>
        <item x="36"/>
        <item x="8"/>
        <item x="4"/>
        <item x="41"/>
        <item x="22"/>
        <item x="20"/>
        <item x="13"/>
        <item x="3"/>
        <item x="24"/>
        <item x="15"/>
        <item x="32"/>
        <item x="34"/>
        <item x="43"/>
        <item x="21"/>
        <item x="38"/>
        <item x="31"/>
        <item x="2"/>
        <item x="0"/>
        <item x="35"/>
        <item x="37"/>
        <item x="45"/>
        <item t="default"/>
      </items>
    </pivotField>
    <pivotField axis="axisRow" showAll="0">
      <items count="7">
        <item sd="0" x="1"/>
        <item sd="0" x="4"/>
        <item sd="0" x="0"/>
        <item sd="0" x="3"/>
        <item x="5"/>
        <item sd="0" x="2"/>
        <item t="default"/>
      </items>
    </pivotField>
    <pivotField showAll="0"/>
    <pivotField showAll="0"/>
    <pivotField showAll="0"/>
    <pivotField showAll="0">
      <items count="10">
        <item x="5"/>
        <item x="0"/>
        <item x="4"/>
        <item x="3"/>
        <item x="7"/>
        <item x="1"/>
        <item x="2"/>
        <item x="6"/>
        <item x="8"/>
        <item t="default"/>
      </items>
    </pivotField>
    <pivotField showAll="0">
      <items count="6">
        <item x="0"/>
        <item x="3"/>
        <item x="1"/>
        <item x="2"/>
        <item x="4"/>
        <item t="default"/>
      </items>
    </pivotField>
    <pivotField showAll="0"/>
    <pivotField showAll="0">
      <items count="14">
        <item x="4"/>
        <item x="1"/>
        <item x="0"/>
        <item x="7"/>
        <item x="11"/>
        <item x="6"/>
        <item x="8"/>
        <item x="3"/>
        <item x="2"/>
        <item x="9"/>
        <item x="5"/>
        <item x="10"/>
        <item h="1" x="12"/>
        <item t="default"/>
      </items>
    </pivotField>
  </pivotFields>
  <rowFields count="2">
    <field x="16"/>
    <field x="15"/>
  </rowFields>
  <rowItems count="6">
    <i>
      <x/>
    </i>
    <i>
      <x v="1"/>
    </i>
    <i>
      <x v="2"/>
    </i>
    <i>
      <x v="3"/>
    </i>
    <i>
      <x v="5"/>
    </i>
    <i t="grand">
      <x/>
    </i>
  </rowItems>
  <colItems count="1">
    <i/>
  </colItems>
  <dataFields count="1">
    <dataField name="Sum of Profit" fld="14" baseField="0" baseItem="0" numFmtId="166"/>
  </dataFields>
  <formats count="1">
    <format dxfId="185">
      <pivotArea outline="0" collapsedLevelsAreSubtotals="1" fieldPosition="0"/>
    </format>
  </formats>
  <chartFormats count="21">
    <chartFormat chart="0" format="12"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16" count="1" selected="0">
            <x v="0"/>
          </reference>
        </references>
      </pivotArea>
    </chartFormat>
    <chartFormat chart="0" format="14">
      <pivotArea type="data" outline="0" fieldPosition="0">
        <references count="2">
          <reference field="4294967294" count="1" selected="0">
            <x v="0"/>
          </reference>
          <reference field="16" count="1" selected="0">
            <x v="1"/>
          </reference>
        </references>
      </pivotArea>
    </chartFormat>
    <chartFormat chart="0" format="15">
      <pivotArea type="data" outline="0" fieldPosition="0">
        <references count="2">
          <reference field="4294967294" count="1" selected="0">
            <x v="0"/>
          </reference>
          <reference field="16" count="1" selected="0">
            <x v="2"/>
          </reference>
        </references>
      </pivotArea>
    </chartFormat>
    <chartFormat chart="0" format="16">
      <pivotArea type="data" outline="0" fieldPosition="0">
        <references count="2">
          <reference field="4294967294" count="1" selected="0">
            <x v="0"/>
          </reference>
          <reference field="16" count="1" selected="0">
            <x v="3"/>
          </reference>
        </references>
      </pivotArea>
    </chartFormat>
    <chartFormat chart="0" format="17" series="1">
      <pivotArea type="data" outline="0" fieldPosition="0">
        <references count="2">
          <reference field="4294967294" count="1" selected="0">
            <x v="0"/>
          </reference>
          <reference field="16" count="1" selected="0">
            <x v="1"/>
          </reference>
        </references>
      </pivotArea>
    </chartFormat>
    <chartFormat chart="0" format="18" series="1">
      <pivotArea type="data" outline="0" fieldPosition="0">
        <references count="2">
          <reference field="4294967294" count="1" selected="0">
            <x v="0"/>
          </reference>
          <reference field="16" count="1" selected="0">
            <x v="2"/>
          </reference>
        </references>
      </pivotArea>
    </chartFormat>
    <chartFormat chart="0" format="19" series="1">
      <pivotArea type="data" outline="0" fieldPosition="0">
        <references count="2">
          <reference field="4294967294" count="1" selected="0">
            <x v="0"/>
          </reference>
          <reference field="16" count="1" selected="0">
            <x v="3"/>
          </reference>
        </references>
      </pivotArea>
    </chartFormat>
    <chartFormat chart="0" format="20" series="1">
      <pivotArea type="data" outline="0" fieldPosition="0">
        <references count="2">
          <reference field="4294967294" count="1" selected="0">
            <x v="0"/>
          </reference>
          <reference field="16" count="1" selected="0">
            <x v="0"/>
          </reference>
        </references>
      </pivotArea>
    </chartFormat>
    <chartFormat chart="10" format="21" series="1">
      <pivotArea type="data" outline="0" fieldPosition="0">
        <references count="1">
          <reference field="4294967294" count="1" selected="0">
            <x v="0"/>
          </reference>
        </references>
      </pivotArea>
    </chartFormat>
    <chartFormat chart="10" format="22">
      <pivotArea type="data" outline="0" fieldPosition="0">
        <references count="2">
          <reference field="4294967294" count="1" selected="0">
            <x v="0"/>
          </reference>
          <reference field="16" count="1" selected="0">
            <x v="0"/>
          </reference>
        </references>
      </pivotArea>
    </chartFormat>
    <chartFormat chart="10" format="23">
      <pivotArea type="data" outline="0" fieldPosition="0">
        <references count="2">
          <reference field="4294967294" count="1" selected="0">
            <x v="0"/>
          </reference>
          <reference field="16" count="1" selected="0">
            <x v="1"/>
          </reference>
        </references>
      </pivotArea>
    </chartFormat>
    <chartFormat chart="10" format="24">
      <pivotArea type="data" outline="0" fieldPosition="0">
        <references count="2">
          <reference field="4294967294" count="1" selected="0">
            <x v="0"/>
          </reference>
          <reference field="16" count="1" selected="0">
            <x v="2"/>
          </reference>
        </references>
      </pivotArea>
    </chartFormat>
    <chartFormat chart="10" format="25">
      <pivotArea type="data" outline="0" fieldPosition="0">
        <references count="2">
          <reference field="4294967294" count="1" selected="0">
            <x v="0"/>
          </reference>
          <reference field="16" count="1" selected="0">
            <x v="3"/>
          </reference>
        </references>
      </pivotArea>
    </chartFormat>
    <chartFormat chart="11" format="26" series="1">
      <pivotArea type="data" outline="0" fieldPosition="0">
        <references count="1">
          <reference field="4294967294" count="1" selected="0">
            <x v="0"/>
          </reference>
        </references>
      </pivotArea>
    </chartFormat>
    <chartFormat chart="11" format="27">
      <pivotArea type="data" outline="0" fieldPosition="0">
        <references count="2">
          <reference field="4294967294" count="1" selected="0">
            <x v="0"/>
          </reference>
          <reference field="16" count="1" selected="0">
            <x v="0"/>
          </reference>
        </references>
      </pivotArea>
    </chartFormat>
    <chartFormat chart="11" format="28">
      <pivotArea type="data" outline="0" fieldPosition="0">
        <references count="2">
          <reference field="4294967294" count="1" selected="0">
            <x v="0"/>
          </reference>
          <reference field="16" count="1" selected="0">
            <x v="1"/>
          </reference>
        </references>
      </pivotArea>
    </chartFormat>
    <chartFormat chart="11" format="29">
      <pivotArea type="data" outline="0" fieldPosition="0">
        <references count="2">
          <reference field="4294967294" count="1" selected="0">
            <x v="0"/>
          </reference>
          <reference field="16" count="1" selected="0">
            <x v="2"/>
          </reference>
        </references>
      </pivotArea>
    </chartFormat>
    <chartFormat chart="11" format="30">
      <pivotArea type="data" outline="0" fieldPosition="0">
        <references count="2">
          <reference field="4294967294" count="1" selected="0">
            <x v="0"/>
          </reference>
          <reference field="16" count="1" selected="0">
            <x v="3"/>
          </reference>
        </references>
      </pivotArea>
    </chartFormat>
    <chartFormat chart="0" format="21">
      <pivotArea type="data" outline="0" fieldPosition="0">
        <references count="2">
          <reference field="4294967294" count="1" selected="0">
            <x v="0"/>
          </reference>
          <reference field="16" count="1" selected="0">
            <x v="5"/>
          </reference>
        </references>
      </pivotArea>
    </chartFormat>
    <chartFormat chart="11" format="31">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C7AAB8-9072-F344-97FC-5B7C4A3A085A}" name="PivotTable6"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9:B62" firstHeaderRow="1" firstDataRow="1" firstDataCol="1" rowPageCount="1" colPageCount="1"/>
  <pivotFields count="24">
    <pivotField showAll="0"/>
    <pivotField showAll="0"/>
    <pivotField axis="axisPage" multipleItemSelectionAllowed="1" showAll="0">
      <items count="4">
        <item x="0"/>
        <item x="1"/>
        <item x="2"/>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items count="47">
        <item x="6"/>
        <item x="33"/>
        <item x="42"/>
        <item x="12"/>
        <item x="23"/>
        <item x="28"/>
        <item x="39"/>
        <item x="40"/>
        <item x="7"/>
        <item x="26"/>
        <item x="27"/>
        <item x="25"/>
        <item x="18"/>
        <item x="10"/>
        <item x="44"/>
        <item x="29"/>
        <item x="5"/>
        <item x="14"/>
        <item x="17"/>
        <item x="9"/>
        <item x="30"/>
        <item x="11"/>
        <item x="1"/>
        <item x="16"/>
        <item x="19"/>
        <item x="36"/>
        <item x="8"/>
        <item x="4"/>
        <item x="41"/>
        <item x="22"/>
        <item x="20"/>
        <item x="13"/>
        <item x="3"/>
        <item x="24"/>
        <item x="15"/>
        <item x="32"/>
        <item x="34"/>
        <item x="43"/>
        <item x="21"/>
        <item x="38"/>
        <item x="31"/>
        <item x="2"/>
        <item x="0"/>
        <item x="35"/>
        <item x="37"/>
        <item x="45"/>
        <item t="default"/>
      </items>
    </pivotField>
    <pivotField showAll="0">
      <items count="7">
        <item x="2"/>
        <item x="1"/>
        <item x="4"/>
        <item x="0"/>
        <item x="3"/>
        <item x="5"/>
        <item t="default"/>
      </items>
    </pivotField>
    <pivotField showAll="0"/>
    <pivotField showAll="0"/>
    <pivotField showAll="0"/>
    <pivotField showAll="0">
      <items count="10">
        <item x="5"/>
        <item x="0"/>
        <item x="4"/>
        <item x="3"/>
        <item x="7"/>
        <item x="1"/>
        <item x="2"/>
        <item x="6"/>
        <item x="8"/>
        <item t="default"/>
      </items>
    </pivotField>
    <pivotField showAll="0">
      <items count="6">
        <item x="0"/>
        <item x="3"/>
        <item x="1"/>
        <item x="2"/>
        <item x="4"/>
        <item t="default"/>
      </items>
    </pivotField>
    <pivotField showAll="0"/>
    <pivotField axis="axisRow" showAll="0">
      <items count="14">
        <item x="4"/>
        <item x="1"/>
        <item x="0"/>
        <item x="7"/>
        <item x="11"/>
        <item x="6"/>
        <item x="8"/>
        <item x="3"/>
        <item x="2"/>
        <item x="9"/>
        <item x="5"/>
        <item x="10"/>
        <item h="1" x="12"/>
        <item t="default"/>
      </items>
    </pivotField>
  </pivotFields>
  <rowFields count="1">
    <field x="23"/>
  </rowFields>
  <rowItems count="13">
    <i>
      <x/>
    </i>
    <i>
      <x v="1"/>
    </i>
    <i>
      <x v="2"/>
    </i>
    <i>
      <x v="3"/>
    </i>
    <i>
      <x v="4"/>
    </i>
    <i>
      <x v="5"/>
    </i>
    <i>
      <x v="6"/>
    </i>
    <i>
      <x v="7"/>
    </i>
    <i>
      <x v="8"/>
    </i>
    <i>
      <x v="9"/>
    </i>
    <i>
      <x v="10"/>
    </i>
    <i>
      <x v="11"/>
    </i>
    <i t="grand">
      <x/>
    </i>
  </rowItems>
  <colItems count="1">
    <i/>
  </colItems>
  <pageFields count="1">
    <pageField fld="2" hier="-1"/>
  </pageFields>
  <dataFields count="1">
    <dataField name="Sum of Profit" fld="14" baseField="0" baseItem="0" numFmtId="166"/>
  </dataFields>
  <formats count="1">
    <format dxfId="186">
      <pivotArea outline="0" collapsedLevelsAreSubtotals="1" fieldPosition="0"/>
    </format>
  </formats>
  <chartFormats count="4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3" count="1" selected="0">
            <x v="1"/>
          </reference>
        </references>
      </pivotArea>
    </chartFormat>
    <chartFormat chart="0" format="2">
      <pivotArea type="data" outline="0" fieldPosition="0">
        <references count="2">
          <reference field="4294967294" count="1" selected="0">
            <x v="0"/>
          </reference>
          <reference field="23" count="1" selected="0">
            <x v="0"/>
          </reference>
        </references>
      </pivotArea>
    </chartFormat>
    <chartFormat chart="0" format="3">
      <pivotArea type="data" outline="0" fieldPosition="0">
        <references count="2">
          <reference field="4294967294" count="1" selected="0">
            <x v="0"/>
          </reference>
          <reference field="23" count="1" selected="0">
            <x v="2"/>
          </reference>
        </references>
      </pivotArea>
    </chartFormat>
    <chartFormat chart="0" format="4">
      <pivotArea type="data" outline="0" fieldPosition="0">
        <references count="2">
          <reference field="4294967294" count="1" selected="0">
            <x v="0"/>
          </reference>
          <reference field="23" count="1" selected="0">
            <x v="3"/>
          </reference>
        </references>
      </pivotArea>
    </chartFormat>
    <chartFormat chart="0" format="5">
      <pivotArea type="data" outline="0" fieldPosition="0">
        <references count="2">
          <reference field="4294967294" count="1" selected="0">
            <x v="0"/>
          </reference>
          <reference field="23" count="1" selected="0">
            <x v="4"/>
          </reference>
        </references>
      </pivotArea>
    </chartFormat>
    <chartFormat chart="0" format="6">
      <pivotArea type="data" outline="0" fieldPosition="0">
        <references count="2">
          <reference field="4294967294" count="1" selected="0">
            <x v="0"/>
          </reference>
          <reference field="23" count="1" selected="0">
            <x v="5"/>
          </reference>
        </references>
      </pivotArea>
    </chartFormat>
    <chartFormat chart="0" format="7">
      <pivotArea type="data" outline="0" fieldPosition="0">
        <references count="2">
          <reference field="4294967294" count="1" selected="0">
            <x v="0"/>
          </reference>
          <reference field="23" count="1" selected="0">
            <x v="6"/>
          </reference>
        </references>
      </pivotArea>
    </chartFormat>
    <chartFormat chart="0" format="8">
      <pivotArea type="data" outline="0" fieldPosition="0">
        <references count="2">
          <reference field="4294967294" count="1" selected="0">
            <x v="0"/>
          </reference>
          <reference field="23" count="1" selected="0">
            <x v="7"/>
          </reference>
        </references>
      </pivotArea>
    </chartFormat>
    <chartFormat chart="0" format="9">
      <pivotArea type="data" outline="0" fieldPosition="0">
        <references count="2">
          <reference field="4294967294" count="1" selected="0">
            <x v="0"/>
          </reference>
          <reference field="23" count="1" selected="0">
            <x v="8"/>
          </reference>
        </references>
      </pivotArea>
    </chartFormat>
    <chartFormat chart="0" format="10">
      <pivotArea type="data" outline="0" fieldPosition="0">
        <references count="2">
          <reference field="4294967294" count="1" selected="0">
            <x v="0"/>
          </reference>
          <reference field="23" count="1" selected="0">
            <x v="9"/>
          </reference>
        </references>
      </pivotArea>
    </chartFormat>
    <chartFormat chart="0" format="11">
      <pivotArea type="data" outline="0" fieldPosition="0">
        <references count="2">
          <reference field="4294967294" count="1" selected="0">
            <x v="0"/>
          </reference>
          <reference field="23" count="1" selected="0">
            <x v="10"/>
          </reference>
        </references>
      </pivotArea>
    </chartFormat>
    <chartFormat chart="0" format="12">
      <pivotArea type="data" outline="0" fieldPosition="0">
        <references count="2">
          <reference field="4294967294" count="1" selected="0">
            <x v="0"/>
          </reference>
          <reference field="23" count="1" selected="0">
            <x v="11"/>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23" count="1" selected="0">
            <x v="0"/>
          </reference>
        </references>
      </pivotArea>
    </chartFormat>
    <chartFormat chart="3" format="15">
      <pivotArea type="data" outline="0" fieldPosition="0">
        <references count="2">
          <reference field="4294967294" count="1" selected="0">
            <x v="0"/>
          </reference>
          <reference field="23" count="1" selected="0">
            <x v="1"/>
          </reference>
        </references>
      </pivotArea>
    </chartFormat>
    <chartFormat chart="3" format="16">
      <pivotArea type="data" outline="0" fieldPosition="0">
        <references count="2">
          <reference field="4294967294" count="1" selected="0">
            <x v="0"/>
          </reference>
          <reference field="23" count="1" selected="0">
            <x v="2"/>
          </reference>
        </references>
      </pivotArea>
    </chartFormat>
    <chartFormat chart="3" format="17">
      <pivotArea type="data" outline="0" fieldPosition="0">
        <references count="2">
          <reference field="4294967294" count="1" selected="0">
            <x v="0"/>
          </reference>
          <reference field="23" count="1" selected="0">
            <x v="3"/>
          </reference>
        </references>
      </pivotArea>
    </chartFormat>
    <chartFormat chart="3" format="18">
      <pivotArea type="data" outline="0" fieldPosition="0">
        <references count="2">
          <reference field="4294967294" count="1" selected="0">
            <x v="0"/>
          </reference>
          <reference field="23" count="1" selected="0">
            <x v="4"/>
          </reference>
        </references>
      </pivotArea>
    </chartFormat>
    <chartFormat chart="3" format="19">
      <pivotArea type="data" outline="0" fieldPosition="0">
        <references count="2">
          <reference field="4294967294" count="1" selected="0">
            <x v="0"/>
          </reference>
          <reference field="23" count="1" selected="0">
            <x v="5"/>
          </reference>
        </references>
      </pivotArea>
    </chartFormat>
    <chartFormat chart="3" format="20">
      <pivotArea type="data" outline="0" fieldPosition="0">
        <references count="2">
          <reference field="4294967294" count="1" selected="0">
            <x v="0"/>
          </reference>
          <reference field="23" count="1" selected="0">
            <x v="6"/>
          </reference>
        </references>
      </pivotArea>
    </chartFormat>
    <chartFormat chart="3" format="21">
      <pivotArea type="data" outline="0" fieldPosition="0">
        <references count="2">
          <reference field="4294967294" count="1" selected="0">
            <x v="0"/>
          </reference>
          <reference field="23" count="1" selected="0">
            <x v="7"/>
          </reference>
        </references>
      </pivotArea>
    </chartFormat>
    <chartFormat chart="3" format="22">
      <pivotArea type="data" outline="0" fieldPosition="0">
        <references count="2">
          <reference field="4294967294" count="1" selected="0">
            <x v="0"/>
          </reference>
          <reference field="23" count="1" selected="0">
            <x v="8"/>
          </reference>
        </references>
      </pivotArea>
    </chartFormat>
    <chartFormat chart="3" format="23">
      <pivotArea type="data" outline="0" fieldPosition="0">
        <references count="2">
          <reference field="4294967294" count="1" selected="0">
            <x v="0"/>
          </reference>
          <reference field="23" count="1" selected="0">
            <x v="9"/>
          </reference>
        </references>
      </pivotArea>
    </chartFormat>
    <chartFormat chart="3" format="24">
      <pivotArea type="data" outline="0" fieldPosition="0">
        <references count="2">
          <reference field="4294967294" count="1" selected="0">
            <x v="0"/>
          </reference>
          <reference field="23" count="1" selected="0">
            <x v="10"/>
          </reference>
        </references>
      </pivotArea>
    </chartFormat>
    <chartFormat chart="3" format="25">
      <pivotArea type="data" outline="0" fieldPosition="0">
        <references count="2">
          <reference field="4294967294" count="1" selected="0">
            <x v="0"/>
          </reference>
          <reference field="23" count="1" selected="0">
            <x v="11"/>
          </reference>
        </references>
      </pivotArea>
    </chartFormat>
    <chartFormat chart="4" format="26" series="1">
      <pivotArea type="data" outline="0" fieldPosition="0">
        <references count="1">
          <reference field="4294967294" count="1" selected="0">
            <x v="0"/>
          </reference>
        </references>
      </pivotArea>
    </chartFormat>
    <chartFormat chart="4" format="27">
      <pivotArea type="data" outline="0" fieldPosition="0">
        <references count="2">
          <reference field="4294967294" count="1" selected="0">
            <x v="0"/>
          </reference>
          <reference field="23" count="1" selected="0">
            <x v="0"/>
          </reference>
        </references>
      </pivotArea>
    </chartFormat>
    <chartFormat chart="4" format="28">
      <pivotArea type="data" outline="0" fieldPosition="0">
        <references count="2">
          <reference field="4294967294" count="1" selected="0">
            <x v="0"/>
          </reference>
          <reference field="23" count="1" selected="0">
            <x v="1"/>
          </reference>
        </references>
      </pivotArea>
    </chartFormat>
    <chartFormat chart="4" format="29">
      <pivotArea type="data" outline="0" fieldPosition="0">
        <references count="2">
          <reference field="4294967294" count="1" selected="0">
            <x v="0"/>
          </reference>
          <reference field="23" count="1" selected="0">
            <x v="2"/>
          </reference>
        </references>
      </pivotArea>
    </chartFormat>
    <chartFormat chart="4" format="30">
      <pivotArea type="data" outline="0" fieldPosition="0">
        <references count="2">
          <reference field="4294967294" count="1" selected="0">
            <x v="0"/>
          </reference>
          <reference field="23" count="1" selected="0">
            <x v="3"/>
          </reference>
        </references>
      </pivotArea>
    </chartFormat>
    <chartFormat chart="4" format="31">
      <pivotArea type="data" outline="0" fieldPosition="0">
        <references count="2">
          <reference field="4294967294" count="1" selected="0">
            <x v="0"/>
          </reference>
          <reference field="23" count="1" selected="0">
            <x v="4"/>
          </reference>
        </references>
      </pivotArea>
    </chartFormat>
    <chartFormat chart="4" format="32">
      <pivotArea type="data" outline="0" fieldPosition="0">
        <references count="2">
          <reference field="4294967294" count="1" selected="0">
            <x v="0"/>
          </reference>
          <reference field="23" count="1" selected="0">
            <x v="5"/>
          </reference>
        </references>
      </pivotArea>
    </chartFormat>
    <chartFormat chart="4" format="33">
      <pivotArea type="data" outline="0" fieldPosition="0">
        <references count="2">
          <reference field="4294967294" count="1" selected="0">
            <x v="0"/>
          </reference>
          <reference field="23" count="1" selected="0">
            <x v="6"/>
          </reference>
        </references>
      </pivotArea>
    </chartFormat>
    <chartFormat chart="4" format="34">
      <pivotArea type="data" outline="0" fieldPosition="0">
        <references count="2">
          <reference field="4294967294" count="1" selected="0">
            <x v="0"/>
          </reference>
          <reference field="23" count="1" selected="0">
            <x v="7"/>
          </reference>
        </references>
      </pivotArea>
    </chartFormat>
    <chartFormat chart="4" format="35">
      <pivotArea type="data" outline="0" fieldPosition="0">
        <references count="2">
          <reference field="4294967294" count="1" selected="0">
            <x v="0"/>
          </reference>
          <reference field="23" count="1" selected="0">
            <x v="8"/>
          </reference>
        </references>
      </pivotArea>
    </chartFormat>
    <chartFormat chart="4" format="36">
      <pivotArea type="data" outline="0" fieldPosition="0">
        <references count="2">
          <reference field="4294967294" count="1" selected="0">
            <x v="0"/>
          </reference>
          <reference field="23" count="1" selected="0">
            <x v="9"/>
          </reference>
        </references>
      </pivotArea>
    </chartFormat>
    <chartFormat chart="4" format="37">
      <pivotArea type="data" outline="0" fieldPosition="0">
        <references count="2">
          <reference field="4294967294" count="1" selected="0">
            <x v="0"/>
          </reference>
          <reference field="23" count="1" selected="0">
            <x v="10"/>
          </reference>
        </references>
      </pivotArea>
    </chartFormat>
    <chartFormat chart="4" format="38">
      <pivotArea type="data" outline="0" fieldPosition="0">
        <references count="2">
          <reference field="4294967294" count="1" selected="0">
            <x v="0"/>
          </reference>
          <reference field="23" count="1" selected="0">
            <x v="11"/>
          </reference>
        </references>
      </pivotArea>
    </chartFormat>
    <chartFormat chart="4" format="39">
      <pivotArea type="data" outline="0" fieldPosition="0">
        <references count="2">
          <reference field="4294967294" count="1" selected="0">
            <x v="0"/>
          </reference>
          <reference field="23" count="1" selected="0">
            <x v="12"/>
          </reference>
        </references>
      </pivotArea>
    </chartFormat>
    <chartFormat chart="4" format="41" series="1">
      <pivotArea type="data" outline="0" fieldPosition="0">
        <references count="2">
          <reference field="4294967294" count="1" selected="0">
            <x v="0"/>
          </reference>
          <reference field="2" count="1" selected="0">
            <x v="1"/>
          </reference>
        </references>
      </pivotArea>
    </chartFormat>
    <chartFormat chart="0" format="14"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864310A-5FC3-5442-A53D-3BF1F663A2E0}" sourceName="Gender">
  <pivotTables>
    <pivotTable tabId="9" name="PivotTable5"/>
    <pivotTable tabId="9" name="PivotTable2"/>
    <pivotTable tabId="9" name="PivotTable6"/>
  </pivotTables>
  <data>
    <tabular pivotCacheId="528917027">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50C530-122D-F647-95CF-A704DAA61917}" sourceName="Region">
  <pivotTables>
    <pivotTable tabId="9" name="PivotTable5"/>
    <pivotTable tabId="9" name="PivotTable2"/>
    <pivotTable tabId="9" name="PivotTable6"/>
  </pivotTables>
  <data>
    <tabular pivotCacheId="528917027">
      <items count="6">
        <i x="2" s="1"/>
        <i x="1" s="1"/>
        <i x="4" s="1"/>
        <i x="0"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Business" xr10:uid="{85268743-0F16-C548-BDFE-962DCF65809F}" sourceName="Type of Business">
  <pivotTables>
    <pivotTable tabId="9" name="PivotTable5"/>
    <pivotTable tabId="9" name="PivotTable2"/>
    <pivotTable tabId="9" name="PivotTable6"/>
  </pivotTables>
  <data>
    <tabular pivotCacheId="528917027">
      <items count="9">
        <i x="5" s="1"/>
        <i x="0" s="1"/>
        <i x="4" s="1"/>
        <i x="3" s="1"/>
        <i x="7" s="1"/>
        <i x="1" s="1"/>
        <i x="2" s="1"/>
        <i x="6" s="1"/>
        <i x="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AB5CCD8-C4DF-E54F-AE5E-520D32133D3B}" sourceName="Month">
  <pivotTables>
    <pivotTable tabId="9" name="PivotTable5"/>
    <pivotTable tabId="9" name="PivotTable2"/>
    <pivotTable tabId="9" name="PivotTable6"/>
  </pivotTables>
  <data>
    <tabular pivotCacheId="528917027">
      <items count="13">
        <i x="4" s="1"/>
        <i x="1" s="1"/>
        <i x="0" s="1"/>
        <i x="7" s="1"/>
        <i x="11" s="1"/>
        <i x="6" s="1"/>
        <i x="8" s="1"/>
        <i x="3" s="1"/>
        <i x="2" s="1"/>
        <i x="9" s="1"/>
        <i x="5" s="1"/>
        <i x="10" s="1"/>
        <i x="12"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D2FC10B-D9A5-C348-8B01-A1C42EFB67B3}" sourceName="City">
  <pivotTables>
    <pivotTable tabId="9" name="PivotTable5"/>
    <pivotTable tabId="9" name="PivotTable2"/>
    <pivotTable tabId="9" name="PivotTable6"/>
  </pivotTables>
  <data>
    <tabular pivotCacheId="528917027">
      <items count="46">
        <i x="6" s="1"/>
        <i x="33" s="1"/>
        <i x="42" s="1"/>
        <i x="12" s="1"/>
        <i x="23" s="1"/>
        <i x="28" s="1"/>
        <i x="39" s="1"/>
        <i x="40" s="1"/>
        <i x="7" s="1"/>
        <i x="26" s="1"/>
        <i x="27" s="1"/>
        <i x="25" s="1"/>
        <i x="18" s="1"/>
        <i x="10" s="1"/>
        <i x="44" s="1"/>
        <i x="29" s="1"/>
        <i x="5" s="1"/>
        <i x="14" s="1"/>
        <i x="17" s="1"/>
        <i x="9" s="1"/>
        <i x="30" s="1"/>
        <i x="11" s="1"/>
        <i x="1" s="1"/>
        <i x="16" s="1"/>
        <i x="19" s="1"/>
        <i x="36" s="1"/>
        <i x="8" s="1"/>
        <i x="4" s="1"/>
        <i x="41" s="1"/>
        <i x="22" s="1"/>
        <i x="20" s="1"/>
        <i x="13" s="1"/>
        <i x="3" s="1"/>
        <i x="24" s="1"/>
        <i x="15" s="1"/>
        <i x="32" s="1"/>
        <i x="34" s="1"/>
        <i x="43" s="1"/>
        <i x="21" s="1"/>
        <i x="38" s="1"/>
        <i x="31" s="1"/>
        <i x="2" s="1"/>
        <i x="0" s="1"/>
        <i x="35" s="1"/>
        <i x="37" s="1"/>
        <i x="4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ng_type" xr10:uid="{C9BE1016-5E91-C547-B4B0-322126052AC9}" sourceName="Sing type">
  <pivotTables>
    <pivotTable tabId="9" name="PivotTable5"/>
    <pivotTable tabId="9" name="PivotTable2"/>
    <pivotTable tabId="9" name="PivotTable6"/>
  </pivotTables>
  <data>
    <tabular pivotCacheId="528917027">
      <items count="3">
        <i x="0" s="1"/>
        <i x="1" s="1"/>
        <i x="2"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ource" xr10:uid="{2743AC77-1788-374D-8648-51FF636A15E2}" sourceName="Order Source">
  <pivotTables>
    <pivotTable tabId="9" name="PivotTable5"/>
    <pivotTable tabId="9" name="PivotTable2"/>
    <pivotTable tabId="9" name="PivotTable6"/>
  </pivotTables>
  <data>
    <tabular pivotCacheId="528917027">
      <items count="5">
        <i x="0" s="1"/>
        <i x="3" s="1"/>
        <i x="1" s="1"/>
        <i x="2"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7EEF1FB-40DB-6F41-923C-2825BF4ADAA7}" cache="Slicer_Gender" caption="Gender" style="SlicerStyleLight5" rowHeight="230716"/>
  <slicer name="Region" xr10:uid="{D338A182-F2AF-6648-9A5D-09213FDD8A6D}" cache="Slicer_Region" caption="Region" style="SlicerStyleLight3" rowHeight="230716"/>
  <slicer name="Type of Business" xr10:uid="{498CB578-A53E-DE49-895C-38ACDF5297D0}" cache="Slicer_Type_of_Business" caption="Type of Business" style="SlicerStyleLight4" rowHeight="230716"/>
  <slicer name="Month" xr10:uid="{F602D5FC-EC1E-BA4C-8F63-21D5E1366D52}" cache="Slicer_Month" caption="Month" style="SlicerStyleLight2" rowHeight="230716"/>
  <slicer name="City" xr10:uid="{9EB5B020-F34D-8940-8317-0CBA0460564E}" cache="Slicer_City" caption="City" style="SlicerStyleLight6" rowHeight="230716"/>
  <slicer name="Sing type" xr10:uid="{41BB264C-9D09-4847-AB4F-0CA9EA3D284E}" cache="Slicer_Sing_type" caption="Sing type" rowHeight="230716"/>
  <slicer name="Order Source" xr10:uid="{0B974708-9646-E942-8C13-47E5BDF89F64}" cache="Slicer_Order_Source" caption="Order Source" rowHeight="230716"/>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animal.clinic.ua/" TargetMode="External"/><Relationship Id="rId3" Type="http://schemas.openxmlformats.org/officeDocument/2006/relationships/hyperlink" Target="http://cheers.st/" TargetMode="External"/><Relationship Id="rId7" Type="http://schemas.openxmlformats.org/officeDocument/2006/relationships/hyperlink" Target="http://diana.lashes.kh/" TargetMode="External"/><Relationship Id="rId12" Type="http://schemas.openxmlformats.org/officeDocument/2006/relationships/hyperlink" Target="http://animal.clinic.ua/" TargetMode="External"/><Relationship Id="rId2" Type="http://schemas.openxmlformats.org/officeDocument/2006/relationships/hyperlink" Target="http://animal.clinic.ua/" TargetMode="External"/><Relationship Id="rId1" Type="http://schemas.openxmlformats.org/officeDocument/2006/relationships/hyperlink" Target="http://diana.lashes.kh/" TargetMode="External"/><Relationship Id="rId6" Type="http://schemas.openxmlformats.org/officeDocument/2006/relationships/hyperlink" Target="http://animal.clinic.ua/" TargetMode="External"/><Relationship Id="rId11" Type="http://schemas.openxmlformats.org/officeDocument/2006/relationships/hyperlink" Target="http://diana.lashes.kh/" TargetMode="External"/><Relationship Id="rId5" Type="http://schemas.openxmlformats.org/officeDocument/2006/relationships/hyperlink" Target="http://diana.lashes.kh/" TargetMode="External"/><Relationship Id="rId10" Type="http://schemas.openxmlformats.org/officeDocument/2006/relationships/hyperlink" Target="http://animal.clinic.ua/" TargetMode="External"/><Relationship Id="rId4" Type="http://schemas.openxmlformats.org/officeDocument/2006/relationships/hyperlink" Target="http://bufalo.ua/" TargetMode="External"/><Relationship Id="rId9" Type="http://schemas.openxmlformats.org/officeDocument/2006/relationships/hyperlink" Target="http://diana.lashes.kh/"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diana.lashes.kh/" TargetMode="External"/><Relationship Id="rId3" Type="http://schemas.openxmlformats.org/officeDocument/2006/relationships/hyperlink" Target="http://animal.clinic.ua/" TargetMode="External"/><Relationship Id="rId7" Type="http://schemas.openxmlformats.org/officeDocument/2006/relationships/hyperlink" Target="http://animal.clinic.ua/" TargetMode="External"/><Relationship Id="rId12" Type="http://schemas.openxmlformats.org/officeDocument/2006/relationships/hyperlink" Target="http://diana.lashes.kh/" TargetMode="External"/><Relationship Id="rId2" Type="http://schemas.openxmlformats.org/officeDocument/2006/relationships/hyperlink" Target="http://diana.lashes.kh/" TargetMode="External"/><Relationship Id="rId1" Type="http://schemas.openxmlformats.org/officeDocument/2006/relationships/hyperlink" Target="http://animal.clinic.ua/" TargetMode="External"/><Relationship Id="rId6" Type="http://schemas.openxmlformats.org/officeDocument/2006/relationships/hyperlink" Target="http://diana.lashes.kh/" TargetMode="External"/><Relationship Id="rId11" Type="http://schemas.openxmlformats.org/officeDocument/2006/relationships/hyperlink" Target="http://animal.clinic.ua/" TargetMode="External"/><Relationship Id="rId5" Type="http://schemas.openxmlformats.org/officeDocument/2006/relationships/hyperlink" Target="http://animal.clinic.ua/" TargetMode="External"/><Relationship Id="rId10" Type="http://schemas.openxmlformats.org/officeDocument/2006/relationships/hyperlink" Target="http://cheers.st/" TargetMode="External"/><Relationship Id="rId4" Type="http://schemas.openxmlformats.org/officeDocument/2006/relationships/hyperlink" Target="http://diana.lashes.kh/" TargetMode="External"/><Relationship Id="rId9" Type="http://schemas.openxmlformats.org/officeDocument/2006/relationships/hyperlink" Target="http://bufalo.ua/"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8B50C-F207-174E-BF6E-972132A89E60}">
  <dimension ref="A1:S1175"/>
  <sheetViews>
    <sheetView topLeftCell="A183" workbookViewId="0">
      <selection activeCell="G26" sqref="G26"/>
    </sheetView>
  </sheetViews>
  <sheetFormatPr baseColWidth="10" defaultRowHeight="15" x14ac:dyDescent="0.2"/>
  <cols>
    <col min="1" max="1" width="7.1640625" style="21" customWidth="1"/>
    <col min="2" max="2" width="11.33203125" style="21" customWidth="1"/>
    <col min="3" max="3" width="15.1640625" style="21" customWidth="1"/>
    <col min="4" max="4" width="13.83203125" style="21" customWidth="1"/>
    <col min="5" max="5" width="9.6640625" style="16" customWidth="1"/>
    <col min="6" max="6" width="17.1640625" style="70" customWidth="1"/>
    <col min="7" max="7" width="14.5" style="21" customWidth="1"/>
    <col min="8" max="8" width="8.5" style="21" customWidth="1"/>
    <col min="9" max="9" width="8.83203125" style="21" customWidth="1"/>
    <col min="10" max="10" width="13.33203125" style="64" customWidth="1"/>
    <col min="11" max="11" width="12.5" style="21" customWidth="1"/>
    <col min="12" max="13" width="10.83203125" style="21"/>
    <col min="14" max="14" width="8.33203125" style="21" customWidth="1"/>
    <col min="15" max="15" width="10.1640625" style="21" customWidth="1"/>
    <col min="16" max="16" width="5.33203125" style="21" customWidth="1"/>
    <col min="17" max="17" width="15.1640625" style="23" customWidth="1"/>
    <col min="18" max="18" width="10.83203125" style="21"/>
    <col min="19" max="19" width="13" style="75" customWidth="1"/>
  </cols>
  <sheetData>
    <row r="1" spans="1:19" x14ac:dyDescent="0.2">
      <c r="A1" s="17" t="s">
        <v>2440</v>
      </c>
      <c r="B1" s="17" t="s">
        <v>830</v>
      </c>
      <c r="C1" s="18" t="s">
        <v>829</v>
      </c>
      <c r="D1" s="19" t="s">
        <v>813</v>
      </c>
      <c r="E1" s="18" t="s">
        <v>814</v>
      </c>
      <c r="F1" s="65" t="s">
        <v>1011</v>
      </c>
      <c r="G1" s="19" t="s">
        <v>1012</v>
      </c>
      <c r="H1" s="19" t="s">
        <v>2748</v>
      </c>
      <c r="I1" s="20" t="s">
        <v>2443</v>
      </c>
      <c r="J1" s="51" t="s">
        <v>815</v>
      </c>
      <c r="K1" s="17" t="s">
        <v>816</v>
      </c>
      <c r="L1" s="19" t="s">
        <v>2064</v>
      </c>
      <c r="M1" s="19" t="s">
        <v>2063</v>
      </c>
      <c r="N1" s="17" t="s">
        <v>2439</v>
      </c>
      <c r="O1" s="19" t="s">
        <v>2066</v>
      </c>
      <c r="P1" s="19" t="s">
        <v>2441</v>
      </c>
      <c r="Q1" s="20" t="s">
        <v>2091</v>
      </c>
      <c r="R1" s="20" t="s">
        <v>2438</v>
      </c>
      <c r="S1" s="74" t="s">
        <v>2433</v>
      </c>
    </row>
    <row r="2" spans="1:19" x14ac:dyDescent="0.2">
      <c r="A2" s="1">
        <v>1</v>
      </c>
      <c r="B2" s="1" t="s">
        <v>0</v>
      </c>
      <c r="C2" s="1" t="s">
        <v>2445</v>
      </c>
      <c r="D2" s="1" t="s">
        <v>869</v>
      </c>
      <c r="E2" s="1" t="s">
        <v>817</v>
      </c>
      <c r="F2" s="66" t="s">
        <v>870</v>
      </c>
      <c r="G2" s="24" t="s">
        <v>1013</v>
      </c>
      <c r="H2" s="16">
        <v>34</v>
      </c>
      <c r="I2" s="25">
        <v>3</v>
      </c>
      <c r="J2" s="52">
        <v>1000</v>
      </c>
      <c r="K2" s="26">
        <v>400</v>
      </c>
      <c r="L2" s="24" t="s">
        <v>2031</v>
      </c>
      <c r="M2" s="24" t="s">
        <v>2016</v>
      </c>
      <c r="N2" s="1" t="s">
        <v>2013</v>
      </c>
      <c r="O2" s="15" t="s">
        <v>2082</v>
      </c>
      <c r="P2" s="15" t="s">
        <v>2442</v>
      </c>
      <c r="Q2" s="25" t="s">
        <v>2083</v>
      </c>
      <c r="R2" s="25" t="s">
        <v>2434</v>
      </c>
      <c r="S2" s="72">
        <v>44999</v>
      </c>
    </row>
    <row r="3" spans="1:19" x14ac:dyDescent="0.2">
      <c r="A3" s="1">
        <v>2</v>
      </c>
      <c r="B3" s="1" t="s">
        <v>1</v>
      </c>
      <c r="C3" s="1" t="s">
        <v>2445</v>
      </c>
      <c r="D3" s="1" t="s">
        <v>869</v>
      </c>
      <c r="E3" s="1" t="s">
        <v>818</v>
      </c>
      <c r="F3" s="66" t="s">
        <v>871</v>
      </c>
      <c r="G3" s="24" t="s">
        <v>1014</v>
      </c>
      <c r="H3" s="16">
        <v>27</v>
      </c>
      <c r="I3" s="25">
        <v>1</v>
      </c>
      <c r="J3" s="52">
        <v>650</v>
      </c>
      <c r="K3" s="26">
        <v>320</v>
      </c>
      <c r="L3" s="24" t="s">
        <v>2030</v>
      </c>
      <c r="M3" s="24" t="s">
        <v>2024</v>
      </c>
      <c r="N3" s="1" t="s">
        <v>2013</v>
      </c>
      <c r="O3" s="15" t="s">
        <v>2082</v>
      </c>
      <c r="P3" s="15" t="s">
        <v>2442</v>
      </c>
      <c r="Q3" s="25" t="s">
        <v>2084</v>
      </c>
      <c r="R3" s="25" t="s">
        <v>2435</v>
      </c>
      <c r="S3" s="73" t="s">
        <v>2093</v>
      </c>
    </row>
    <row r="4" spans="1:19" x14ac:dyDescent="0.2">
      <c r="A4" s="1">
        <v>3</v>
      </c>
      <c r="B4" s="1" t="s">
        <v>2</v>
      </c>
      <c r="C4" s="1" t="s">
        <v>2445</v>
      </c>
      <c r="D4" s="1" t="s">
        <v>869</v>
      </c>
      <c r="E4" s="1" t="s">
        <v>818</v>
      </c>
      <c r="F4" s="66" t="s">
        <v>872</v>
      </c>
      <c r="G4" s="24" t="s">
        <v>1015</v>
      </c>
      <c r="H4" s="16">
        <v>45</v>
      </c>
      <c r="I4" s="25">
        <v>5</v>
      </c>
      <c r="J4" s="52">
        <v>950</v>
      </c>
      <c r="K4" s="26">
        <v>400</v>
      </c>
      <c r="L4" s="24" t="s">
        <v>2042</v>
      </c>
      <c r="M4" s="24" t="s">
        <v>2016</v>
      </c>
      <c r="N4" s="1" t="s">
        <v>2013</v>
      </c>
      <c r="O4" s="15" t="s">
        <v>2082</v>
      </c>
      <c r="P4" s="15" t="s">
        <v>2442</v>
      </c>
      <c r="Q4" s="25" t="s">
        <v>2084</v>
      </c>
      <c r="R4" s="25" t="s">
        <v>2436</v>
      </c>
      <c r="S4" s="73" t="s">
        <v>2094</v>
      </c>
    </row>
    <row r="5" spans="1:19" x14ac:dyDescent="0.2">
      <c r="A5" s="1">
        <v>4</v>
      </c>
      <c r="B5" s="1" t="s">
        <v>2</v>
      </c>
      <c r="C5" s="1" t="s">
        <v>2445</v>
      </c>
      <c r="D5" s="1" t="s">
        <v>869</v>
      </c>
      <c r="E5" s="1" t="s">
        <v>821</v>
      </c>
      <c r="F5" s="66" t="s">
        <v>873</v>
      </c>
      <c r="G5" s="24" t="s">
        <v>1016</v>
      </c>
      <c r="H5" s="16">
        <v>52</v>
      </c>
      <c r="I5" s="25">
        <v>2</v>
      </c>
      <c r="J5" s="52">
        <v>900</v>
      </c>
      <c r="K5" s="26">
        <v>400</v>
      </c>
      <c r="L5" s="24" t="s">
        <v>2032</v>
      </c>
      <c r="M5" s="24" t="s">
        <v>2024</v>
      </c>
      <c r="N5" s="1" t="s">
        <v>2013</v>
      </c>
      <c r="O5" s="15" t="s">
        <v>2082</v>
      </c>
      <c r="P5" s="15" t="s">
        <v>2442</v>
      </c>
      <c r="Q5" s="25" t="s">
        <v>2085</v>
      </c>
      <c r="R5" s="25" t="s">
        <v>2437</v>
      </c>
      <c r="S5" s="73" t="s">
        <v>2095</v>
      </c>
    </row>
    <row r="6" spans="1:19" x14ac:dyDescent="0.2">
      <c r="A6" s="1">
        <v>5</v>
      </c>
      <c r="B6" s="1" t="s">
        <v>1</v>
      </c>
      <c r="C6" s="1" t="s">
        <v>2445</v>
      </c>
      <c r="D6" s="1" t="s">
        <v>869</v>
      </c>
      <c r="E6" s="2" t="s">
        <v>817</v>
      </c>
      <c r="F6" s="66" t="s">
        <v>874</v>
      </c>
      <c r="G6" s="24" t="s">
        <v>1017</v>
      </c>
      <c r="H6" s="16">
        <v>23</v>
      </c>
      <c r="I6" s="25">
        <v>4</v>
      </c>
      <c r="J6" s="52">
        <v>650</v>
      </c>
      <c r="K6" s="26">
        <v>650</v>
      </c>
      <c r="L6" s="24" t="s">
        <v>2042</v>
      </c>
      <c r="M6" s="24" t="s">
        <v>2016</v>
      </c>
      <c r="N6" s="1" t="s">
        <v>2013</v>
      </c>
      <c r="O6" s="15" t="s">
        <v>2762</v>
      </c>
      <c r="P6" s="15" t="s">
        <v>2442</v>
      </c>
      <c r="Q6" s="25" t="s">
        <v>2086</v>
      </c>
      <c r="R6" s="25" t="s">
        <v>2434</v>
      </c>
      <c r="S6" s="73" t="s">
        <v>2096</v>
      </c>
    </row>
    <row r="7" spans="1:19" x14ac:dyDescent="0.2">
      <c r="A7" s="3">
        <v>6</v>
      </c>
      <c r="B7" s="3" t="s">
        <v>3</v>
      </c>
      <c r="C7" s="1" t="s">
        <v>2445</v>
      </c>
      <c r="D7" s="1" t="s">
        <v>869</v>
      </c>
      <c r="E7" s="3" t="s">
        <v>817</v>
      </c>
      <c r="F7" s="67" t="s">
        <v>875</v>
      </c>
      <c r="G7" s="24" t="s">
        <v>1018</v>
      </c>
      <c r="H7" s="16">
        <v>38</v>
      </c>
      <c r="I7" s="25">
        <v>2</v>
      </c>
      <c r="J7" s="53">
        <v>650</v>
      </c>
      <c r="K7" s="27">
        <v>400</v>
      </c>
      <c r="L7" s="24" t="s">
        <v>2037</v>
      </c>
      <c r="M7" s="24" t="s">
        <v>2014</v>
      </c>
      <c r="N7" s="1" t="s">
        <v>2013</v>
      </c>
      <c r="O7" s="15" t="s">
        <v>2082</v>
      </c>
      <c r="P7" s="15" t="s">
        <v>2442</v>
      </c>
      <c r="Q7" s="25" t="s">
        <v>2086</v>
      </c>
      <c r="R7" s="25" t="s">
        <v>2436</v>
      </c>
      <c r="S7" s="73" t="s">
        <v>2097</v>
      </c>
    </row>
    <row r="8" spans="1:19" x14ac:dyDescent="0.2">
      <c r="A8" s="1">
        <v>7</v>
      </c>
      <c r="B8" s="1" t="s">
        <v>1</v>
      </c>
      <c r="C8" s="1" t="s">
        <v>2445</v>
      </c>
      <c r="D8" s="1" t="s">
        <v>869</v>
      </c>
      <c r="E8" s="1" t="s">
        <v>2779</v>
      </c>
      <c r="F8" s="66" t="s">
        <v>876</v>
      </c>
      <c r="G8" s="24" t="s">
        <v>1019</v>
      </c>
      <c r="H8" s="16">
        <v>41</v>
      </c>
      <c r="I8" s="25">
        <v>1</v>
      </c>
      <c r="J8" s="52">
        <v>700</v>
      </c>
      <c r="K8" s="26">
        <v>320</v>
      </c>
      <c r="L8" s="24" t="s">
        <v>2053</v>
      </c>
      <c r="M8" s="24" t="s">
        <v>2014</v>
      </c>
      <c r="N8" s="1" t="s">
        <v>2013</v>
      </c>
      <c r="O8" s="15" t="s">
        <v>2082</v>
      </c>
      <c r="P8" s="15" t="s">
        <v>2442</v>
      </c>
      <c r="Q8" s="25" t="s">
        <v>2084</v>
      </c>
      <c r="R8" s="25" t="s">
        <v>2437</v>
      </c>
      <c r="S8" s="73" t="s">
        <v>2098</v>
      </c>
    </row>
    <row r="9" spans="1:19" x14ac:dyDescent="0.2">
      <c r="A9" s="1">
        <v>8</v>
      </c>
      <c r="B9" s="1" t="s">
        <v>2</v>
      </c>
      <c r="C9" s="1" t="s">
        <v>2445</v>
      </c>
      <c r="D9" s="1" t="s">
        <v>869</v>
      </c>
      <c r="E9" s="1" t="s">
        <v>823</v>
      </c>
      <c r="F9" s="66" t="s">
        <v>877</v>
      </c>
      <c r="G9" s="24" t="s">
        <v>1020</v>
      </c>
      <c r="H9" s="16">
        <v>29</v>
      </c>
      <c r="I9" s="25">
        <v>3</v>
      </c>
      <c r="J9" s="52">
        <v>950</v>
      </c>
      <c r="K9" s="26">
        <v>350</v>
      </c>
      <c r="L9" s="24" t="s">
        <v>2037</v>
      </c>
      <c r="M9" s="24" t="s">
        <v>2014</v>
      </c>
      <c r="N9" s="1" t="s">
        <v>2013</v>
      </c>
      <c r="O9" s="15" t="s">
        <v>2082</v>
      </c>
      <c r="P9" s="15" t="s">
        <v>2442</v>
      </c>
      <c r="Q9" s="25" t="s">
        <v>2084</v>
      </c>
      <c r="R9" s="25" t="s">
        <v>2435</v>
      </c>
      <c r="S9" s="73" t="s">
        <v>2099</v>
      </c>
    </row>
    <row r="10" spans="1:19" x14ac:dyDescent="0.2">
      <c r="A10" s="1">
        <v>9</v>
      </c>
      <c r="B10" s="1" t="s">
        <v>2</v>
      </c>
      <c r="C10" s="1" t="s">
        <v>2445</v>
      </c>
      <c r="D10" s="1" t="s">
        <v>869</v>
      </c>
      <c r="E10" s="1" t="s">
        <v>817</v>
      </c>
      <c r="F10" s="66" t="s">
        <v>878</v>
      </c>
      <c r="G10" s="24" t="s">
        <v>1021</v>
      </c>
      <c r="H10" s="16">
        <v>60</v>
      </c>
      <c r="I10" s="25">
        <v>5</v>
      </c>
      <c r="J10" s="52">
        <v>950</v>
      </c>
      <c r="K10" s="26">
        <v>350</v>
      </c>
      <c r="L10" s="24" t="s">
        <v>2025</v>
      </c>
      <c r="M10" s="24" t="s">
        <v>2024</v>
      </c>
      <c r="N10" s="1" t="s">
        <v>2013</v>
      </c>
      <c r="O10" s="15" t="s">
        <v>2082</v>
      </c>
      <c r="P10" s="15" t="s">
        <v>2442</v>
      </c>
      <c r="Q10" s="25" t="s">
        <v>2087</v>
      </c>
      <c r="R10" s="25" t="s">
        <v>2435</v>
      </c>
      <c r="S10" s="73" t="s">
        <v>2100</v>
      </c>
    </row>
    <row r="11" spans="1:19" x14ac:dyDescent="0.2">
      <c r="A11" s="1">
        <v>10</v>
      </c>
      <c r="B11" s="1" t="s">
        <v>2</v>
      </c>
      <c r="C11" s="1" t="s">
        <v>2445</v>
      </c>
      <c r="D11" s="1" t="s">
        <v>869</v>
      </c>
      <c r="E11" s="1" t="s">
        <v>818</v>
      </c>
      <c r="F11" s="66" t="s">
        <v>879</v>
      </c>
      <c r="G11" s="24" t="s">
        <v>1022</v>
      </c>
      <c r="H11" s="16">
        <v>33</v>
      </c>
      <c r="I11" s="25">
        <v>4</v>
      </c>
      <c r="J11" s="52">
        <v>950</v>
      </c>
      <c r="K11" s="26">
        <v>400</v>
      </c>
      <c r="L11" s="24" t="s">
        <v>2052</v>
      </c>
      <c r="M11" s="24" t="s">
        <v>2024</v>
      </c>
      <c r="N11" s="1" t="s">
        <v>2013</v>
      </c>
      <c r="O11" s="15" t="s">
        <v>2082</v>
      </c>
      <c r="P11" s="15" t="s">
        <v>2442</v>
      </c>
      <c r="Q11" s="25" t="s">
        <v>2088</v>
      </c>
      <c r="R11" s="25" t="s">
        <v>2434</v>
      </c>
      <c r="S11" s="73" t="s">
        <v>2101</v>
      </c>
    </row>
    <row r="12" spans="1:19" x14ac:dyDescent="0.2">
      <c r="A12" s="1">
        <v>11</v>
      </c>
      <c r="B12" s="1" t="s">
        <v>2</v>
      </c>
      <c r="C12" s="1" t="s">
        <v>2445</v>
      </c>
      <c r="D12" s="1" t="s">
        <v>869</v>
      </c>
      <c r="E12" s="1" t="s">
        <v>817</v>
      </c>
      <c r="F12" s="66" t="s">
        <v>880</v>
      </c>
      <c r="G12" s="24" t="s">
        <v>1023</v>
      </c>
      <c r="H12" s="16">
        <v>22</v>
      </c>
      <c r="I12" s="25">
        <v>1</v>
      </c>
      <c r="J12" s="52">
        <v>950</v>
      </c>
      <c r="K12" s="26">
        <v>350</v>
      </c>
      <c r="L12" s="24" t="s">
        <v>2034</v>
      </c>
      <c r="M12" s="24" t="s">
        <v>2016</v>
      </c>
      <c r="N12" s="1" t="s">
        <v>2013</v>
      </c>
      <c r="O12" s="15" t="s">
        <v>2082</v>
      </c>
      <c r="P12" s="15" t="s">
        <v>2442</v>
      </c>
      <c r="Q12" s="25" t="s">
        <v>2086</v>
      </c>
      <c r="R12" s="25" t="s">
        <v>2436</v>
      </c>
      <c r="S12" s="73" t="s">
        <v>2102</v>
      </c>
    </row>
    <row r="13" spans="1:19" x14ac:dyDescent="0.2">
      <c r="A13" s="1">
        <v>12</v>
      </c>
      <c r="B13" s="1" t="s">
        <v>2</v>
      </c>
      <c r="C13" s="1" t="s">
        <v>2445</v>
      </c>
      <c r="D13" s="1" t="s">
        <v>869</v>
      </c>
      <c r="E13" s="1" t="s">
        <v>818</v>
      </c>
      <c r="F13" s="66" t="s">
        <v>881</v>
      </c>
      <c r="G13" s="24" t="s">
        <v>1024</v>
      </c>
      <c r="H13" s="16">
        <v>47</v>
      </c>
      <c r="I13" s="25">
        <v>2</v>
      </c>
      <c r="J13" s="52">
        <v>950</v>
      </c>
      <c r="K13" s="26">
        <v>470</v>
      </c>
      <c r="L13" s="24" t="s">
        <v>2026</v>
      </c>
      <c r="M13" s="24" t="s">
        <v>2016</v>
      </c>
      <c r="N13" s="1" t="s">
        <v>2013</v>
      </c>
      <c r="O13" s="15" t="s">
        <v>2082</v>
      </c>
      <c r="P13" s="15" t="s">
        <v>2442</v>
      </c>
      <c r="Q13" s="25" t="s">
        <v>2087</v>
      </c>
      <c r="R13" s="25" t="s">
        <v>2437</v>
      </c>
      <c r="S13" s="73" t="s">
        <v>2103</v>
      </c>
    </row>
    <row r="14" spans="1:19" x14ac:dyDescent="0.2">
      <c r="A14" s="1">
        <v>13</v>
      </c>
      <c r="B14" s="1" t="s">
        <v>0</v>
      </c>
      <c r="C14" s="1" t="s">
        <v>2445</v>
      </c>
      <c r="D14" s="1" t="s">
        <v>869</v>
      </c>
      <c r="E14" s="1" t="s">
        <v>817</v>
      </c>
      <c r="F14" s="66" t="s">
        <v>882</v>
      </c>
      <c r="G14" s="24" t="s">
        <v>1025</v>
      </c>
      <c r="H14" s="16">
        <v>55</v>
      </c>
      <c r="I14" s="25">
        <v>3</v>
      </c>
      <c r="J14" s="52">
        <v>1050</v>
      </c>
      <c r="K14" s="26">
        <v>400</v>
      </c>
      <c r="L14" s="24" t="s">
        <v>2053</v>
      </c>
      <c r="M14" s="24" t="s">
        <v>2014</v>
      </c>
      <c r="N14" s="1" t="s">
        <v>2013</v>
      </c>
      <c r="O14" s="15" t="s">
        <v>2082</v>
      </c>
      <c r="P14" s="15" t="s">
        <v>2442</v>
      </c>
      <c r="Q14" s="25" t="s">
        <v>2088</v>
      </c>
      <c r="R14" s="25" t="s">
        <v>2436</v>
      </c>
      <c r="S14" s="73" t="s">
        <v>2104</v>
      </c>
    </row>
    <row r="15" spans="1:19" x14ac:dyDescent="0.2">
      <c r="A15" s="1">
        <v>14</v>
      </c>
      <c r="B15" s="1" t="s">
        <v>2</v>
      </c>
      <c r="C15" s="1" t="s">
        <v>2445</v>
      </c>
      <c r="D15" s="1" t="s">
        <v>869</v>
      </c>
      <c r="E15" s="1" t="s">
        <v>817</v>
      </c>
      <c r="F15" s="66" t="s">
        <v>881</v>
      </c>
      <c r="G15" s="24" t="s">
        <v>1026</v>
      </c>
      <c r="H15" s="16">
        <v>36</v>
      </c>
      <c r="I15" s="25">
        <v>4</v>
      </c>
      <c r="J15" s="52">
        <v>1150</v>
      </c>
      <c r="K15" s="26">
        <v>400</v>
      </c>
      <c r="L15" s="24" t="s">
        <v>2043</v>
      </c>
      <c r="M15" s="24" t="s">
        <v>2016</v>
      </c>
      <c r="N15" s="1" t="s">
        <v>2013</v>
      </c>
      <c r="O15" s="15" t="s">
        <v>2082</v>
      </c>
      <c r="P15" s="15" t="s">
        <v>2442</v>
      </c>
      <c r="Q15" s="25" t="s">
        <v>2085</v>
      </c>
      <c r="R15" s="25" t="s">
        <v>2437</v>
      </c>
      <c r="S15" s="73" t="s">
        <v>2105</v>
      </c>
    </row>
    <row r="16" spans="1:19" x14ac:dyDescent="0.2">
      <c r="A16" s="1">
        <v>15</v>
      </c>
      <c r="B16" s="1" t="s">
        <v>3</v>
      </c>
      <c r="C16" s="1" t="s">
        <v>2445</v>
      </c>
      <c r="D16" s="1" t="s">
        <v>869</v>
      </c>
      <c r="E16" s="1" t="s">
        <v>818</v>
      </c>
      <c r="F16" s="66" t="s">
        <v>883</v>
      </c>
      <c r="G16" s="24" t="s">
        <v>1027</v>
      </c>
      <c r="H16" s="16">
        <v>28</v>
      </c>
      <c r="I16" s="25">
        <v>5</v>
      </c>
      <c r="J16" s="54">
        <v>950</v>
      </c>
      <c r="K16" s="26">
        <v>450</v>
      </c>
      <c r="L16" s="24" t="s">
        <v>2051</v>
      </c>
      <c r="M16" s="24" t="s">
        <v>2020</v>
      </c>
      <c r="N16" s="1" t="s">
        <v>2013</v>
      </c>
      <c r="O16" s="15" t="s">
        <v>2082</v>
      </c>
      <c r="P16" s="15" t="s">
        <v>2442</v>
      </c>
      <c r="Q16" s="25" t="s">
        <v>2089</v>
      </c>
      <c r="R16" s="25" t="s">
        <v>2434</v>
      </c>
      <c r="S16" s="73" t="s">
        <v>2106</v>
      </c>
    </row>
    <row r="17" spans="1:19" x14ac:dyDescent="0.2">
      <c r="A17" s="1">
        <v>16</v>
      </c>
      <c r="B17" s="1" t="s">
        <v>0</v>
      </c>
      <c r="C17" s="1" t="s">
        <v>2445</v>
      </c>
      <c r="D17" s="1" t="s">
        <v>869</v>
      </c>
      <c r="E17" s="1" t="s">
        <v>817</v>
      </c>
      <c r="F17" s="66" t="s">
        <v>2749</v>
      </c>
      <c r="G17" s="24" t="s">
        <v>1028</v>
      </c>
      <c r="H17" s="16">
        <v>50</v>
      </c>
      <c r="I17" s="25">
        <v>2</v>
      </c>
      <c r="J17" s="52">
        <v>1050</v>
      </c>
      <c r="K17" s="26">
        <v>500</v>
      </c>
      <c r="L17" s="24" t="s">
        <v>2018</v>
      </c>
      <c r="M17" s="24" t="s">
        <v>2016</v>
      </c>
      <c r="N17" s="1" t="s">
        <v>2013</v>
      </c>
      <c r="O17" s="15" t="s">
        <v>2082</v>
      </c>
      <c r="P17" s="15" t="s">
        <v>2442</v>
      </c>
      <c r="Q17" s="25" t="s">
        <v>2084</v>
      </c>
      <c r="R17" s="25" t="s">
        <v>2435</v>
      </c>
      <c r="S17" s="73" t="s">
        <v>2107</v>
      </c>
    </row>
    <row r="18" spans="1:19" x14ac:dyDescent="0.2">
      <c r="A18" s="1">
        <v>17</v>
      </c>
      <c r="B18" s="1" t="s">
        <v>2</v>
      </c>
      <c r="C18" s="1" t="s">
        <v>2445</v>
      </c>
      <c r="D18" s="1" t="s">
        <v>869</v>
      </c>
      <c r="E18" s="1" t="s">
        <v>818</v>
      </c>
      <c r="F18" s="66" t="s">
        <v>885</v>
      </c>
      <c r="G18" s="24" t="s">
        <v>1029</v>
      </c>
      <c r="H18" s="16">
        <v>39</v>
      </c>
      <c r="I18" s="25">
        <v>1</v>
      </c>
      <c r="J18" s="52">
        <v>670</v>
      </c>
      <c r="K18" s="26">
        <v>550</v>
      </c>
      <c r="L18" s="24" t="s">
        <v>2028</v>
      </c>
      <c r="M18" s="24" t="s">
        <v>2016</v>
      </c>
      <c r="N18" s="1" t="s">
        <v>2013</v>
      </c>
      <c r="O18" s="15" t="s">
        <v>2082</v>
      </c>
      <c r="P18" s="15" t="s">
        <v>2442</v>
      </c>
      <c r="Q18" s="25" t="s">
        <v>2089</v>
      </c>
      <c r="R18" s="25" t="s">
        <v>2434</v>
      </c>
      <c r="S18" s="73" t="s">
        <v>2098</v>
      </c>
    </row>
    <row r="19" spans="1:19" x14ac:dyDescent="0.2">
      <c r="A19" s="1">
        <v>18</v>
      </c>
      <c r="B19" s="1" t="s">
        <v>0</v>
      </c>
      <c r="C19" s="1" t="s">
        <v>2445</v>
      </c>
      <c r="D19" s="1" t="s">
        <v>869</v>
      </c>
      <c r="E19" s="1" t="s">
        <v>818</v>
      </c>
      <c r="F19" s="66" t="s">
        <v>886</v>
      </c>
      <c r="G19" s="24" t="s">
        <v>1030</v>
      </c>
      <c r="H19" s="16">
        <v>31</v>
      </c>
      <c r="I19" s="25">
        <v>3</v>
      </c>
      <c r="J19" s="52">
        <v>1100</v>
      </c>
      <c r="K19" s="26">
        <v>600</v>
      </c>
      <c r="L19" s="24" t="s">
        <v>2015</v>
      </c>
      <c r="M19" s="24" t="s">
        <v>2014</v>
      </c>
      <c r="N19" s="1" t="s">
        <v>2013</v>
      </c>
      <c r="O19" s="15" t="s">
        <v>2082</v>
      </c>
      <c r="P19" s="15" t="s">
        <v>2442</v>
      </c>
      <c r="Q19" s="25" t="s">
        <v>2089</v>
      </c>
      <c r="R19" s="25" t="s">
        <v>2437</v>
      </c>
      <c r="S19" s="73" t="s">
        <v>2108</v>
      </c>
    </row>
    <row r="20" spans="1:19" x14ac:dyDescent="0.2">
      <c r="A20" s="1">
        <v>19</v>
      </c>
      <c r="B20" s="2" t="s">
        <v>3</v>
      </c>
      <c r="C20" s="1" t="s">
        <v>2445</v>
      </c>
      <c r="D20" s="1" t="s">
        <v>869</v>
      </c>
      <c r="E20" s="1" t="s">
        <v>822</v>
      </c>
      <c r="F20" s="66" t="s">
        <v>878</v>
      </c>
      <c r="G20" s="24" t="s">
        <v>1031</v>
      </c>
      <c r="H20" s="16">
        <v>44</v>
      </c>
      <c r="I20" s="25">
        <v>4</v>
      </c>
      <c r="J20" s="54">
        <v>600</v>
      </c>
      <c r="K20" s="26">
        <v>400</v>
      </c>
      <c r="L20" s="24" t="s">
        <v>2049</v>
      </c>
      <c r="M20" s="24" t="s">
        <v>2016</v>
      </c>
      <c r="N20" s="1" t="s">
        <v>2013</v>
      </c>
      <c r="O20" s="15" t="s">
        <v>2082</v>
      </c>
      <c r="P20" s="15" t="s">
        <v>2442</v>
      </c>
      <c r="Q20" s="25" t="s">
        <v>2084</v>
      </c>
      <c r="R20" s="25" t="s">
        <v>2436</v>
      </c>
      <c r="S20" s="73" t="s">
        <v>2109</v>
      </c>
    </row>
    <row r="21" spans="1:19" x14ac:dyDescent="0.2">
      <c r="A21" s="4">
        <v>20</v>
      </c>
      <c r="B21" s="4" t="s">
        <v>1</v>
      </c>
      <c r="C21" s="1" t="s">
        <v>2445</v>
      </c>
      <c r="D21" s="1" t="s">
        <v>869</v>
      </c>
      <c r="E21" s="3" t="s">
        <v>2778</v>
      </c>
      <c r="F21" s="67" t="s">
        <v>887</v>
      </c>
      <c r="G21" s="24" t="s">
        <v>1032</v>
      </c>
      <c r="H21" s="16">
        <v>26</v>
      </c>
      <c r="I21" s="25">
        <v>5</v>
      </c>
      <c r="J21" s="53">
        <v>800</v>
      </c>
      <c r="K21" s="28">
        <v>350</v>
      </c>
      <c r="L21" s="24" t="s">
        <v>2048</v>
      </c>
      <c r="M21" s="24" t="s">
        <v>2014</v>
      </c>
      <c r="N21" s="1" t="s">
        <v>2013</v>
      </c>
      <c r="O21" s="15" t="s">
        <v>2082</v>
      </c>
      <c r="P21" s="15" t="s">
        <v>2442</v>
      </c>
      <c r="Q21" s="25" t="s">
        <v>2086</v>
      </c>
      <c r="R21" s="25" t="s">
        <v>2435</v>
      </c>
      <c r="S21" s="73" t="s">
        <v>2110</v>
      </c>
    </row>
    <row r="22" spans="1:19" x14ac:dyDescent="0.2">
      <c r="A22" s="1">
        <v>21</v>
      </c>
      <c r="B22" s="1" t="s">
        <v>2</v>
      </c>
      <c r="C22" s="1" t="s">
        <v>2445</v>
      </c>
      <c r="D22" s="1" t="s">
        <v>869</v>
      </c>
      <c r="E22" s="1" t="s">
        <v>818</v>
      </c>
      <c r="F22" s="66" t="s">
        <v>888</v>
      </c>
      <c r="G22" s="24" t="s">
        <v>1033</v>
      </c>
      <c r="H22" s="16">
        <v>48</v>
      </c>
      <c r="I22" s="25">
        <v>2</v>
      </c>
      <c r="J22" s="52">
        <v>850</v>
      </c>
      <c r="K22" s="26">
        <v>400</v>
      </c>
      <c r="L22" s="24" t="s">
        <v>2056</v>
      </c>
      <c r="M22" s="24" t="s">
        <v>2024</v>
      </c>
      <c r="N22" s="1" t="s">
        <v>2013</v>
      </c>
      <c r="O22" s="15" t="s">
        <v>2082</v>
      </c>
      <c r="P22" s="15" t="s">
        <v>2442</v>
      </c>
      <c r="Q22" s="25" t="s">
        <v>2090</v>
      </c>
      <c r="R22" s="25" t="s">
        <v>2437</v>
      </c>
      <c r="S22" s="73" t="s">
        <v>2111</v>
      </c>
    </row>
    <row r="23" spans="1:19" x14ac:dyDescent="0.2">
      <c r="A23" s="3">
        <v>22</v>
      </c>
      <c r="B23" s="3" t="s">
        <v>2</v>
      </c>
      <c r="C23" s="1" t="s">
        <v>2445</v>
      </c>
      <c r="D23" s="1" t="s">
        <v>869</v>
      </c>
      <c r="E23" s="3" t="s">
        <v>818</v>
      </c>
      <c r="F23" s="67" t="s">
        <v>889</v>
      </c>
      <c r="G23" s="24" t="s">
        <v>1034</v>
      </c>
      <c r="H23" s="16">
        <v>53</v>
      </c>
      <c r="I23" s="25">
        <v>3</v>
      </c>
      <c r="J23" s="53">
        <v>850</v>
      </c>
      <c r="K23" s="28">
        <v>850</v>
      </c>
      <c r="L23" s="24" t="s">
        <v>2040</v>
      </c>
      <c r="M23" s="24" t="s">
        <v>2020</v>
      </c>
      <c r="N23" s="1" t="s">
        <v>2013</v>
      </c>
      <c r="O23" s="15" t="s">
        <v>2082</v>
      </c>
      <c r="P23" s="15" t="s">
        <v>2442</v>
      </c>
      <c r="Q23" s="25" t="s">
        <v>2087</v>
      </c>
      <c r="R23" s="25" t="s">
        <v>2436</v>
      </c>
      <c r="S23" s="73" t="s">
        <v>2112</v>
      </c>
    </row>
    <row r="24" spans="1:19" x14ac:dyDescent="0.2">
      <c r="A24" s="4">
        <v>23</v>
      </c>
      <c r="B24" s="3" t="s">
        <v>1</v>
      </c>
      <c r="C24" s="1" t="s">
        <v>2445</v>
      </c>
      <c r="D24" s="1" t="s">
        <v>869</v>
      </c>
      <c r="E24" s="3" t="s">
        <v>822</v>
      </c>
      <c r="F24" s="67" t="s">
        <v>890</v>
      </c>
      <c r="G24" s="24" t="s">
        <v>1035</v>
      </c>
      <c r="H24" s="16">
        <v>30</v>
      </c>
      <c r="I24" s="25">
        <v>1</v>
      </c>
      <c r="J24" s="53">
        <v>750</v>
      </c>
      <c r="K24" s="28">
        <v>750</v>
      </c>
      <c r="L24" s="24" t="s">
        <v>2036</v>
      </c>
      <c r="M24" s="24" t="s">
        <v>2014</v>
      </c>
      <c r="N24" s="1" t="s">
        <v>2013</v>
      </c>
      <c r="O24" s="15" t="s">
        <v>2082</v>
      </c>
      <c r="P24" s="15" t="s">
        <v>2442</v>
      </c>
      <c r="Q24" s="25" t="s">
        <v>2087</v>
      </c>
      <c r="R24" s="25" t="s">
        <v>2434</v>
      </c>
      <c r="S24" s="73" t="s">
        <v>2113</v>
      </c>
    </row>
    <row r="25" spans="1:19" x14ac:dyDescent="0.2">
      <c r="A25" s="1">
        <v>24</v>
      </c>
      <c r="B25" s="2" t="s">
        <v>2</v>
      </c>
      <c r="C25" s="1" t="s">
        <v>2445</v>
      </c>
      <c r="D25" s="1" t="s">
        <v>869</v>
      </c>
      <c r="E25" s="2" t="s">
        <v>818</v>
      </c>
      <c r="F25" s="66" t="s">
        <v>891</v>
      </c>
      <c r="G25" s="24" t="s">
        <v>1036</v>
      </c>
      <c r="H25" s="16">
        <v>37</v>
      </c>
      <c r="I25" s="25">
        <v>4</v>
      </c>
      <c r="J25" s="54">
        <v>1000</v>
      </c>
      <c r="K25" s="26">
        <v>500</v>
      </c>
      <c r="L25" s="24" t="s">
        <v>2022</v>
      </c>
      <c r="M25" s="24" t="s">
        <v>2016</v>
      </c>
      <c r="N25" s="1" t="s">
        <v>2013</v>
      </c>
      <c r="O25" s="15" t="s">
        <v>2082</v>
      </c>
      <c r="P25" s="15" t="s">
        <v>2442</v>
      </c>
      <c r="Q25" s="25" t="s">
        <v>2086</v>
      </c>
      <c r="R25" s="25" t="s">
        <v>2435</v>
      </c>
      <c r="S25" s="73" t="s">
        <v>2114</v>
      </c>
    </row>
    <row r="26" spans="1:19" x14ac:dyDescent="0.2">
      <c r="A26" s="3">
        <v>25</v>
      </c>
      <c r="B26" s="4" t="s">
        <v>5</v>
      </c>
      <c r="C26" s="1" t="s">
        <v>2445</v>
      </c>
      <c r="D26" s="1" t="s">
        <v>869</v>
      </c>
      <c r="E26" s="4" t="s">
        <v>817</v>
      </c>
      <c r="F26" s="67" t="s">
        <v>892</v>
      </c>
      <c r="G26" s="24" t="s">
        <v>1037</v>
      </c>
      <c r="H26" s="16">
        <v>42</v>
      </c>
      <c r="I26" s="25">
        <v>5</v>
      </c>
      <c r="J26" s="55">
        <v>750</v>
      </c>
      <c r="K26" s="28">
        <v>350</v>
      </c>
      <c r="L26" s="24" t="s">
        <v>2039</v>
      </c>
      <c r="M26" s="24" t="s">
        <v>2014</v>
      </c>
      <c r="N26" s="1" t="s">
        <v>2013</v>
      </c>
      <c r="O26" s="15" t="s">
        <v>2082</v>
      </c>
      <c r="P26" s="15" t="s">
        <v>2442</v>
      </c>
      <c r="Q26" s="25" t="s">
        <v>2085</v>
      </c>
      <c r="R26" s="25" t="s">
        <v>2434</v>
      </c>
      <c r="S26" s="73" t="s">
        <v>2115</v>
      </c>
    </row>
    <row r="27" spans="1:19" x14ac:dyDescent="0.2">
      <c r="A27" s="3">
        <v>26</v>
      </c>
      <c r="B27" s="4" t="s">
        <v>6</v>
      </c>
      <c r="C27" s="1" t="s">
        <v>2445</v>
      </c>
      <c r="D27" s="1" t="s">
        <v>869</v>
      </c>
      <c r="E27" s="4" t="s">
        <v>818</v>
      </c>
      <c r="F27" s="67" t="s">
        <v>876</v>
      </c>
      <c r="G27" s="24" t="s">
        <v>1038</v>
      </c>
      <c r="H27" s="16">
        <v>24</v>
      </c>
      <c r="I27" s="25">
        <v>3</v>
      </c>
      <c r="J27" s="55">
        <v>850</v>
      </c>
      <c r="K27" s="28">
        <v>500</v>
      </c>
      <c r="L27" s="24" t="s">
        <v>2034</v>
      </c>
      <c r="M27" s="24" t="s">
        <v>2016</v>
      </c>
      <c r="N27" s="1" t="s">
        <v>2013</v>
      </c>
      <c r="O27" s="15" t="s">
        <v>2082</v>
      </c>
      <c r="P27" s="15" t="s">
        <v>2442</v>
      </c>
      <c r="Q27" s="25" t="s">
        <v>2083</v>
      </c>
      <c r="R27" s="25" t="s">
        <v>2436</v>
      </c>
      <c r="S27" s="73" t="s">
        <v>2116</v>
      </c>
    </row>
    <row r="28" spans="1:19" x14ac:dyDescent="0.2">
      <c r="A28" s="3">
        <v>27</v>
      </c>
      <c r="B28" s="4" t="s">
        <v>5</v>
      </c>
      <c r="C28" s="1" t="s">
        <v>2445</v>
      </c>
      <c r="D28" s="1" t="s">
        <v>869</v>
      </c>
      <c r="E28" s="4" t="s">
        <v>818</v>
      </c>
      <c r="F28" s="67" t="s">
        <v>885</v>
      </c>
      <c r="G28" s="24" t="s">
        <v>1039</v>
      </c>
      <c r="H28" s="16">
        <v>57</v>
      </c>
      <c r="I28" s="25">
        <v>2</v>
      </c>
      <c r="J28" s="55">
        <v>850</v>
      </c>
      <c r="K28" s="28">
        <v>400</v>
      </c>
      <c r="L28" s="24" t="s">
        <v>2040</v>
      </c>
      <c r="M28" s="24" t="s">
        <v>2020</v>
      </c>
      <c r="N28" s="1" t="s">
        <v>2013</v>
      </c>
      <c r="O28" s="15" t="s">
        <v>2082</v>
      </c>
      <c r="P28" s="15" t="s">
        <v>2442</v>
      </c>
      <c r="Q28" s="25" t="s">
        <v>2087</v>
      </c>
      <c r="R28" s="25" t="s">
        <v>2437</v>
      </c>
      <c r="S28" s="73" t="s">
        <v>2117</v>
      </c>
    </row>
    <row r="29" spans="1:19" x14ac:dyDescent="0.2">
      <c r="A29" s="3">
        <v>28</v>
      </c>
      <c r="B29" s="4" t="s">
        <v>5</v>
      </c>
      <c r="C29" s="1" t="s">
        <v>2445</v>
      </c>
      <c r="D29" s="1" t="s">
        <v>869</v>
      </c>
      <c r="E29" s="4" t="s">
        <v>818</v>
      </c>
      <c r="F29" s="67" t="s">
        <v>893</v>
      </c>
      <c r="G29" s="24" t="s">
        <v>1040</v>
      </c>
      <c r="H29" s="16">
        <v>35</v>
      </c>
      <c r="I29" s="25">
        <v>4</v>
      </c>
      <c r="J29" s="55">
        <v>1000</v>
      </c>
      <c r="K29" s="28">
        <v>500</v>
      </c>
      <c r="L29" s="24" t="s">
        <v>2040</v>
      </c>
      <c r="M29" s="24" t="s">
        <v>2020</v>
      </c>
      <c r="N29" s="1" t="s">
        <v>2013</v>
      </c>
      <c r="O29" s="15" t="s">
        <v>2082</v>
      </c>
      <c r="P29" s="15" t="s">
        <v>2442</v>
      </c>
      <c r="Q29" s="25" t="s">
        <v>2089</v>
      </c>
      <c r="R29" s="25" t="s">
        <v>2435</v>
      </c>
      <c r="S29" s="73" t="s">
        <v>2118</v>
      </c>
    </row>
    <row r="30" spans="1:19" x14ac:dyDescent="0.2">
      <c r="A30" s="3">
        <v>29</v>
      </c>
      <c r="B30" s="3" t="s">
        <v>0</v>
      </c>
      <c r="C30" s="1" t="s">
        <v>2445</v>
      </c>
      <c r="D30" s="1" t="s">
        <v>869</v>
      </c>
      <c r="E30" s="3" t="s">
        <v>818</v>
      </c>
      <c r="F30" s="67" t="s">
        <v>894</v>
      </c>
      <c r="G30" s="24" t="s">
        <v>1041</v>
      </c>
      <c r="H30" s="16">
        <v>40</v>
      </c>
      <c r="I30" s="25">
        <v>1</v>
      </c>
      <c r="J30" s="53">
        <v>950</v>
      </c>
      <c r="K30" s="27">
        <v>500</v>
      </c>
      <c r="L30" s="24" t="s">
        <v>2036</v>
      </c>
      <c r="M30" s="24" t="s">
        <v>2014</v>
      </c>
      <c r="N30" s="1" t="s">
        <v>2013</v>
      </c>
      <c r="O30" s="15" t="s">
        <v>2082</v>
      </c>
      <c r="P30" s="15" t="s">
        <v>2442</v>
      </c>
      <c r="Q30" s="25" t="s">
        <v>2088</v>
      </c>
      <c r="R30" s="25" t="s">
        <v>2436</v>
      </c>
      <c r="S30" s="73" t="s">
        <v>2119</v>
      </c>
    </row>
    <row r="31" spans="1:19" x14ac:dyDescent="0.2">
      <c r="A31" s="4">
        <v>30</v>
      </c>
      <c r="B31" s="4" t="s">
        <v>2</v>
      </c>
      <c r="C31" s="1" t="s">
        <v>2445</v>
      </c>
      <c r="D31" s="1" t="s">
        <v>869</v>
      </c>
      <c r="E31" s="4" t="s">
        <v>818</v>
      </c>
      <c r="F31" s="67" t="s">
        <v>882</v>
      </c>
      <c r="G31" s="24" t="s">
        <v>1042</v>
      </c>
      <c r="H31" s="16">
        <v>21</v>
      </c>
      <c r="I31" s="25">
        <v>5</v>
      </c>
      <c r="J31" s="55">
        <v>850</v>
      </c>
      <c r="K31" s="28">
        <v>400</v>
      </c>
      <c r="L31" s="24" t="s">
        <v>2035</v>
      </c>
      <c r="M31" s="24" t="s">
        <v>2020</v>
      </c>
      <c r="N31" s="1" t="s">
        <v>2013</v>
      </c>
      <c r="O31" s="15" t="s">
        <v>2082</v>
      </c>
      <c r="P31" s="15" t="s">
        <v>2442</v>
      </c>
      <c r="Q31" s="25" t="s">
        <v>2089</v>
      </c>
      <c r="R31" s="25" t="s">
        <v>2434</v>
      </c>
      <c r="S31" s="73" t="s">
        <v>2120</v>
      </c>
    </row>
    <row r="32" spans="1:19" x14ac:dyDescent="0.2">
      <c r="A32" s="4">
        <v>31</v>
      </c>
      <c r="B32" s="4" t="s">
        <v>5</v>
      </c>
      <c r="C32" s="1" t="s">
        <v>2445</v>
      </c>
      <c r="D32" s="1" t="s">
        <v>869</v>
      </c>
      <c r="E32" s="4" t="s">
        <v>2779</v>
      </c>
      <c r="F32" s="67" t="s">
        <v>895</v>
      </c>
      <c r="G32" s="24" t="s">
        <v>1043</v>
      </c>
      <c r="H32" s="16">
        <v>59</v>
      </c>
      <c r="I32" s="25">
        <v>2</v>
      </c>
      <c r="J32" s="55">
        <v>1000</v>
      </c>
      <c r="K32" s="28">
        <v>500</v>
      </c>
      <c r="L32" s="24" t="s">
        <v>2058</v>
      </c>
      <c r="M32" s="24" t="s">
        <v>2020</v>
      </c>
      <c r="N32" s="1" t="s">
        <v>2013</v>
      </c>
      <c r="O32" s="15" t="s">
        <v>2082</v>
      </c>
      <c r="P32" s="15" t="s">
        <v>2442</v>
      </c>
      <c r="Q32" s="25" t="s">
        <v>2089</v>
      </c>
      <c r="R32" s="25" t="s">
        <v>2437</v>
      </c>
      <c r="S32" s="73" t="s">
        <v>2121</v>
      </c>
    </row>
    <row r="33" spans="1:19" x14ac:dyDescent="0.2">
      <c r="A33" s="4">
        <v>32</v>
      </c>
      <c r="B33" s="4" t="s">
        <v>5</v>
      </c>
      <c r="C33" s="1" t="s">
        <v>2445</v>
      </c>
      <c r="D33" s="1" t="s">
        <v>869</v>
      </c>
      <c r="E33" s="4" t="s">
        <v>818</v>
      </c>
      <c r="F33" s="67" t="s">
        <v>896</v>
      </c>
      <c r="G33" s="24" t="s">
        <v>1044</v>
      </c>
      <c r="H33" s="16">
        <v>32</v>
      </c>
      <c r="I33" s="25">
        <v>3</v>
      </c>
      <c r="J33" s="55">
        <v>850</v>
      </c>
      <c r="K33" s="28">
        <v>850</v>
      </c>
      <c r="L33" s="24" t="s">
        <v>2036</v>
      </c>
      <c r="M33" s="24" t="s">
        <v>2014</v>
      </c>
      <c r="N33" s="1" t="s">
        <v>2013</v>
      </c>
      <c r="O33" s="15" t="s">
        <v>2082</v>
      </c>
      <c r="P33" s="15" t="s">
        <v>2442</v>
      </c>
      <c r="Q33" s="25" t="s">
        <v>2089</v>
      </c>
      <c r="R33" s="25" t="s">
        <v>2435</v>
      </c>
      <c r="S33" s="73" t="s">
        <v>2122</v>
      </c>
    </row>
    <row r="34" spans="1:19" x14ac:dyDescent="0.2">
      <c r="A34" s="4">
        <v>33</v>
      </c>
      <c r="B34" s="4" t="s">
        <v>0</v>
      </c>
      <c r="C34" s="1" t="s">
        <v>2445</v>
      </c>
      <c r="D34" s="1" t="s">
        <v>869</v>
      </c>
      <c r="E34" s="4" t="s">
        <v>818</v>
      </c>
      <c r="F34" s="67" t="s">
        <v>897</v>
      </c>
      <c r="G34" s="24" t="s">
        <v>1045</v>
      </c>
      <c r="H34" s="16">
        <v>46</v>
      </c>
      <c r="I34" s="25">
        <v>4</v>
      </c>
      <c r="J34" s="55">
        <v>950</v>
      </c>
      <c r="K34" s="28">
        <v>500</v>
      </c>
      <c r="L34" s="24" t="s">
        <v>2019</v>
      </c>
      <c r="M34" s="24" t="s">
        <v>2014</v>
      </c>
      <c r="N34" s="1" t="s">
        <v>2013</v>
      </c>
      <c r="O34" s="15" t="s">
        <v>2082</v>
      </c>
      <c r="P34" s="15" t="s">
        <v>2442</v>
      </c>
      <c r="Q34" s="25" t="s">
        <v>2089</v>
      </c>
      <c r="R34" s="25" t="s">
        <v>2434</v>
      </c>
      <c r="S34" s="73" t="s">
        <v>2123</v>
      </c>
    </row>
    <row r="35" spans="1:19" x14ac:dyDescent="0.2">
      <c r="A35" s="2">
        <v>34</v>
      </c>
      <c r="B35" s="2" t="s">
        <v>5</v>
      </c>
      <c r="C35" s="1" t="s">
        <v>2445</v>
      </c>
      <c r="D35" s="1" t="s">
        <v>869</v>
      </c>
      <c r="E35" s="2" t="s">
        <v>817</v>
      </c>
      <c r="F35" s="66" t="s">
        <v>898</v>
      </c>
      <c r="G35" s="24" t="s">
        <v>1046</v>
      </c>
      <c r="H35" s="16">
        <v>54</v>
      </c>
      <c r="I35" s="25">
        <v>1</v>
      </c>
      <c r="J35" s="54">
        <v>700</v>
      </c>
      <c r="K35" s="26">
        <v>400</v>
      </c>
      <c r="L35" s="24" t="s">
        <v>2028</v>
      </c>
      <c r="M35" s="24" t="s">
        <v>2024</v>
      </c>
      <c r="N35" s="1" t="s">
        <v>2013</v>
      </c>
      <c r="O35" s="15" t="s">
        <v>2763</v>
      </c>
      <c r="P35" s="15" t="s">
        <v>2442</v>
      </c>
      <c r="Q35" s="25" t="s">
        <v>2085</v>
      </c>
      <c r="R35" s="25" t="s">
        <v>2436</v>
      </c>
      <c r="S35" s="73" t="s">
        <v>2124</v>
      </c>
    </row>
    <row r="36" spans="1:19" x14ac:dyDescent="0.2">
      <c r="A36" s="1">
        <v>35</v>
      </c>
      <c r="B36" s="1" t="s">
        <v>6</v>
      </c>
      <c r="C36" s="1" t="s">
        <v>2445</v>
      </c>
      <c r="D36" s="1" t="s">
        <v>869</v>
      </c>
      <c r="E36" s="1" t="s">
        <v>823</v>
      </c>
      <c r="F36" s="66" t="s">
        <v>895</v>
      </c>
      <c r="G36" s="24" t="s">
        <v>1047</v>
      </c>
      <c r="H36" s="16">
        <v>25</v>
      </c>
      <c r="I36" s="25">
        <v>5</v>
      </c>
      <c r="J36" s="56">
        <v>750</v>
      </c>
      <c r="K36" s="15">
        <v>750</v>
      </c>
      <c r="L36" s="24" t="s">
        <v>2045</v>
      </c>
      <c r="M36" s="24" t="s">
        <v>2014</v>
      </c>
      <c r="N36" s="1" t="s">
        <v>2013</v>
      </c>
      <c r="O36" s="15" t="s">
        <v>2082</v>
      </c>
      <c r="P36" s="15" t="s">
        <v>2442</v>
      </c>
      <c r="Q36" s="25" t="s">
        <v>2088</v>
      </c>
      <c r="R36" s="25" t="s">
        <v>2437</v>
      </c>
      <c r="S36" s="73" t="s">
        <v>2125</v>
      </c>
    </row>
    <row r="37" spans="1:19" x14ac:dyDescent="0.2">
      <c r="A37" s="1">
        <v>36</v>
      </c>
      <c r="B37" s="2" t="s">
        <v>5</v>
      </c>
      <c r="C37" s="1" t="s">
        <v>2445</v>
      </c>
      <c r="D37" s="1" t="s">
        <v>869</v>
      </c>
      <c r="E37" s="1" t="s">
        <v>817</v>
      </c>
      <c r="F37" s="66" t="s">
        <v>899</v>
      </c>
      <c r="G37" s="24" t="s">
        <v>1048</v>
      </c>
      <c r="H37" s="16">
        <v>43</v>
      </c>
      <c r="I37" s="25">
        <v>3</v>
      </c>
      <c r="J37" s="56">
        <v>850</v>
      </c>
      <c r="K37" s="15">
        <v>350</v>
      </c>
      <c r="L37" s="24" t="s">
        <v>2015</v>
      </c>
      <c r="M37" s="24" t="s">
        <v>2014</v>
      </c>
      <c r="N37" s="1" t="s">
        <v>2013</v>
      </c>
      <c r="O37" s="15" t="s">
        <v>2082</v>
      </c>
      <c r="P37" s="15" t="s">
        <v>2442</v>
      </c>
      <c r="Q37" s="25" t="s">
        <v>2087</v>
      </c>
      <c r="R37" s="25" t="s">
        <v>2435</v>
      </c>
      <c r="S37" s="73" t="s">
        <v>2126</v>
      </c>
    </row>
    <row r="38" spans="1:19" x14ac:dyDescent="0.2">
      <c r="A38" s="1">
        <v>37</v>
      </c>
      <c r="B38" s="5" t="s">
        <v>5</v>
      </c>
      <c r="C38" s="1" t="s">
        <v>2445</v>
      </c>
      <c r="D38" s="1" t="s">
        <v>869</v>
      </c>
      <c r="E38" s="1" t="s">
        <v>817</v>
      </c>
      <c r="F38" s="66" t="s">
        <v>2750</v>
      </c>
      <c r="G38" s="24" t="s">
        <v>1049</v>
      </c>
      <c r="H38" s="16">
        <v>58</v>
      </c>
      <c r="I38" s="25">
        <v>2</v>
      </c>
      <c r="J38" s="56">
        <v>870</v>
      </c>
      <c r="K38" s="15">
        <v>400</v>
      </c>
      <c r="L38" s="24" t="s">
        <v>2045</v>
      </c>
      <c r="M38" s="24" t="s">
        <v>2014</v>
      </c>
      <c r="N38" s="1" t="s">
        <v>2013</v>
      </c>
      <c r="O38" s="15" t="s">
        <v>2082</v>
      </c>
      <c r="P38" s="15" t="s">
        <v>2442</v>
      </c>
      <c r="Q38" s="25" t="s">
        <v>2090</v>
      </c>
      <c r="R38" s="25" t="s">
        <v>2437</v>
      </c>
      <c r="S38" s="73" t="s">
        <v>2127</v>
      </c>
    </row>
    <row r="39" spans="1:19" x14ac:dyDescent="0.2">
      <c r="A39" s="1">
        <v>38</v>
      </c>
      <c r="B39" s="1" t="s">
        <v>5</v>
      </c>
      <c r="C39" s="1" t="s">
        <v>2445</v>
      </c>
      <c r="D39" s="1" t="s">
        <v>869</v>
      </c>
      <c r="E39" s="1" t="s">
        <v>817</v>
      </c>
      <c r="F39" s="66" t="s">
        <v>900</v>
      </c>
      <c r="G39" s="24" t="s">
        <v>1050</v>
      </c>
      <c r="H39" s="16">
        <v>20</v>
      </c>
      <c r="I39" s="25">
        <v>4</v>
      </c>
      <c r="J39" s="56">
        <v>870</v>
      </c>
      <c r="K39" s="15">
        <v>400</v>
      </c>
      <c r="L39" s="24" t="s">
        <v>2035</v>
      </c>
      <c r="M39" s="24" t="s">
        <v>2024</v>
      </c>
      <c r="N39" s="1" t="s">
        <v>2013</v>
      </c>
      <c r="O39" s="15" t="s">
        <v>2082</v>
      </c>
      <c r="P39" s="15" t="s">
        <v>2442</v>
      </c>
      <c r="Q39" s="25" t="s">
        <v>2089</v>
      </c>
      <c r="R39" s="25" t="s">
        <v>2436</v>
      </c>
      <c r="S39" s="73" t="s">
        <v>2128</v>
      </c>
    </row>
    <row r="40" spans="1:19" x14ac:dyDescent="0.2">
      <c r="A40" s="1">
        <v>39</v>
      </c>
      <c r="B40" s="1" t="s">
        <v>2</v>
      </c>
      <c r="C40" s="1" t="s">
        <v>2445</v>
      </c>
      <c r="D40" s="1" t="s">
        <v>869</v>
      </c>
      <c r="E40" s="1" t="s">
        <v>817</v>
      </c>
      <c r="F40" s="66" t="s">
        <v>887</v>
      </c>
      <c r="G40" s="24" t="s">
        <v>1051</v>
      </c>
      <c r="H40" s="16">
        <v>49</v>
      </c>
      <c r="I40" s="25">
        <v>1</v>
      </c>
      <c r="J40" s="56">
        <v>720</v>
      </c>
      <c r="K40" s="15">
        <v>350</v>
      </c>
      <c r="L40" s="24" t="s">
        <v>2056</v>
      </c>
      <c r="M40" s="24" t="s">
        <v>2024</v>
      </c>
      <c r="N40" s="1" t="s">
        <v>2013</v>
      </c>
      <c r="O40" s="15" t="s">
        <v>2082</v>
      </c>
      <c r="P40" s="15" t="s">
        <v>2442</v>
      </c>
      <c r="Q40" s="25" t="s">
        <v>2087</v>
      </c>
      <c r="R40" s="25" t="s">
        <v>2434</v>
      </c>
      <c r="S40" s="73" t="s">
        <v>2129</v>
      </c>
    </row>
    <row r="41" spans="1:19" x14ac:dyDescent="0.2">
      <c r="A41" s="1">
        <v>40</v>
      </c>
      <c r="B41" s="1" t="s">
        <v>5</v>
      </c>
      <c r="C41" s="1" t="s">
        <v>2445</v>
      </c>
      <c r="D41" s="1" t="s">
        <v>869</v>
      </c>
      <c r="E41" s="1" t="s">
        <v>818</v>
      </c>
      <c r="F41" s="66" t="s">
        <v>900</v>
      </c>
      <c r="G41" s="24" t="s">
        <v>1052</v>
      </c>
      <c r="H41" s="16">
        <v>34</v>
      </c>
      <c r="I41" s="25">
        <v>5</v>
      </c>
      <c r="J41" s="56">
        <v>850</v>
      </c>
      <c r="K41" s="15">
        <v>400</v>
      </c>
      <c r="L41" s="24" t="s">
        <v>2043</v>
      </c>
      <c r="M41" s="24" t="s">
        <v>2016</v>
      </c>
      <c r="N41" s="1" t="s">
        <v>2013</v>
      </c>
      <c r="O41" s="15" t="s">
        <v>2082</v>
      </c>
      <c r="P41" s="15" t="s">
        <v>2442</v>
      </c>
      <c r="Q41" s="25" t="s">
        <v>2084</v>
      </c>
      <c r="R41" s="25" t="s">
        <v>2435</v>
      </c>
      <c r="S41" s="73" t="s">
        <v>2130</v>
      </c>
    </row>
    <row r="42" spans="1:19" x14ac:dyDescent="0.2">
      <c r="A42" s="1">
        <v>41</v>
      </c>
      <c r="B42" s="1" t="s">
        <v>0</v>
      </c>
      <c r="C42" s="1" t="s">
        <v>2445</v>
      </c>
      <c r="D42" s="1" t="s">
        <v>869</v>
      </c>
      <c r="E42" s="1" t="s">
        <v>817</v>
      </c>
      <c r="F42" s="66" t="s">
        <v>885</v>
      </c>
      <c r="G42" s="24" t="s">
        <v>1053</v>
      </c>
      <c r="H42" s="16">
        <v>27</v>
      </c>
      <c r="I42" s="25">
        <v>2</v>
      </c>
      <c r="J42" s="56">
        <v>950</v>
      </c>
      <c r="K42" s="15">
        <v>400</v>
      </c>
      <c r="L42" s="24" t="s">
        <v>2027</v>
      </c>
      <c r="M42" s="24" t="s">
        <v>2014</v>
      </c>
      <c r="N42" s="1" t="s">
        <v>2013</v>
      </c>
      <c r="O42" s="15" t="s">
        <v>2082</v>
      </c>
      <c r="P42" s="15" t="s">
        <v>2442</v>
      </c>
      <c r="Q42" s="25" t="s">
        <v>2088</v>
      </c>
      <c r="R42" s="25" t="s">
        <v>2434</v>
      </c>
      <c r="S42" s="73" t="s">
        <v>2131</v>
      </c>
    </row>
    <row r="43" spans="1:19" x14ac:dyDescent="0.2">
      <c r="A43" s="1">
        <v>42</v>
      </c>
      <c r="B43" s="1" t="s">
        <v>7</v>
      </c>
      <c r="C43" s="1" t="s">
        <v>2445</v>
      </c>
      <c r="D43" s="1" t="s">
        <v>869</v>
      </c>
      <c r="E43" s="1" t="s">
        <v>824</v>
      </c>
      <c r="F43" s="66" t="s">
        <v>901</v>
      </c>
      <c r="G43" s="24" t="s">
        <v>1054</v>
      </c>
      <c r="H43" s="16">
        <v>45</v>
      </c>
      <c r="I43" s="25">
        <v>3</v>
      </c>
      <c r="J43" s="56">
        <v>950</v>
      </c>
      <c r="K43" s="15">
        <v>500</v>
      </c>
      <c r="L43" s="24" t="s">
        <v>2033</v>
      </c>
      <c r="M43" s="24" t="s">
        <v>2016</v>
      </c>
      <c r="N43" s="1" t="s">
        <v>2013</v>
      </c>
      <c r="O43" s="15" t="s">
        <v>2082</v>
      </c>
      <c r="P43" s="15" t="s">
        <v>2442</v>
      </c>
      <c r="Q43" s="25" t="s">
        <v>2090</v>
      </c>
      <c r="R43" s="25" t="s">
        <v>2437</v>
      </c>
      <c r="S43" s="73" t="s">
        <v>2132</v>
      </c>
    </row>
    <row r="44" spans="1:19" x14ac:dyDescent="0.2">
      <c r="A44" s="1">
        <v>43</v>
      </c>
      <c r="B44" s="1" t="s">
        <v>5</v>
      </c>
      <c r="C44" s="1" t="s">
        <v>2445</v>
      </c>
      <c r="D44" s="1" t="s">
        <v>869</v>
      </c>
      <c r="E44" s="4" t="s">
        <v>824</v>
      </c>
      <c r="F44" s="66" t="s">
        <v>902</v>
      </c>
      <c r="G44" s="24" t="s">
        <v>1055</v>
      </c>
      <c r="H44" s="16">
        <v>52</v>
      </c>
      <c r="I44" s="25">
        <v>4</v>
      </c>
      <c r="J44" s="56">
        <v>790</v>
      </c>
      <c r="K44" s="15">
        <v>400</v>
      </c>
      <c r="L44" s="24" t="s">
        <v>2042</v>
      </c>
      <c r="M44" s="24" t="s">
        <v>2014</v>
      </c>
      <c r="N44" s="1" t="s">
        <v>2013</v>
      </c>
      <c r="O44" s="15" t="s">
        <v>2082</v>
      </c>
      <c r="P44" s="15" t="s">
        <v>2442</v>
      </c>
      <c r="Q44" s="25" t="s">
        <v>2085</v>
      </c>
      <c r="R44" s="25" t="s">
        <v>2436</v>
      </c>
      <c r="S44" s="73" t="s">
        <v>2133</v>
      </c>
    </row>
    <row r="45" spans="1:19" x14ac:dyDescent="0.2">
      <c r="A45" s="1">
        <v>44</v>
      </c>
      <c r="B45" s="1" t="s">
        <v>2</v>
      </c>
      <c r="C45" s="1" t="s">
        <v>2445</v>
      </c>
      <c r="D45" s="1" t="s">
        <v>869</v>
      </c>
      <c r="E45" s="1" t="s">
        <v>817</v>
      </c>
      <c r="F45" s="66" t="s">
        <v>903</v>
      </c>
      <c r="G45" s="24" t="s">
        <v>1056</v>
      </c>
      <c r="H45" s="16">
        <v>23</v>
      </c>
      <c r="I45" s="25">
        <v>1</v>
      </c>
      <c r="J45" s="56">
        <v>750</v>
      </c>
      <c r="K45" s="15">
        <v>350</v>
      </c>
      <c r="L45" s="24" t="s">
        <v>2062</v>
      </c>
      <c r="M45" s="24" t="s">
        <v>2016</v>
      </c>
      <c r="N45" s="1" t="s">
        <v>2013</v>
      </c>
      <c r="O45" s="15" t="s">
        <v>2082</v>
      </c>
      <c r="P45" s="15" t="s">
        <v>2442</v>
      </c>
      <c r="Q45" s="25" t="s">
        <v>2087</v>
      </c>
      <c r="R45" s="25" t="s">
        <v>2435</v>
      </c>
      <c r="S45" s="73" t="s">
        <v>2134</v>
      </c>
    </row>
    <row r="46" spans="1:19" x14ac:dyDescent="0.2">
      <c r="A46" s="1">
        <v>45</v>
      </c>
      <c r="B46" s="1" t="s">
        <v>7</v>
      </c>
      <c r="C46" s="1" t="s">
        <v>2445</v>
      </c>
      <c r="D46" s="1" t="s">
        <v>869</v>
      </c>
      <c r="E46" s="1" t="s">
        <v>818</v>
      </c>
      <c r="F46" s="66" t="s">
        <v>882</v>
      </c>
      <c r="G46" s="24" t="s">
        <v>1057</v>
      </c>
      <c r="H46" s="16">
        <v>38</v>
      </c>
      <c r="I46" s="25">
        <v>5</v>
      </c>
      <c r="J46" s="56">
        <v>950</v>
      </c>
      <c r="K46" s="15">
        <v>500</v>
      </c>
      <c r="L46" s="24" t="s">
        <v>2046</v>
      </c>
      <c r="M46" s="24" t="s">
        <v>2016</v>
      </c>
      <c r="N46" s="1" t="s">
        <v>2013</v>
      </c>
      <c r="O46" s="15" t="s">
        <v>2082</v>
      </c>
      <c r="P46" s="15" t="s">
        <v>2442</v>
      </c>
      <c r="Q46" s="25" t="s">
        <v>2087</v>
      </c>
      <c r="R46" s="25" t="s">
        <v>2436</v>
      </c>
      <c r="S46" s="73" t="s">
        <v>2135</v>
      </c>
    </row>
    <row r="47" spans="1:19" x14ac:dyDescent="0.2">
      <c r="A47" s="1">
        <v>46</v>
      </c>
      <c r="B47" s="1" t="s">
        <v>8</v>
      </c>
      <c r="C47" s="1" t="s">
        <v>2445</v>
      </c>
      <c r="D47" s="1" t="s">
        <v>869</v>
      </c>
      <c r="E47" s="1" t="s">
        <v>818</v>
      </c>
      <c r="F47" s="66" t="s">
        <v>2751</v>
      </c>
      <c r="G47" s="24" t="s">
        <v>1058</v>
      </c>
      <c r="H47" s="16">
        <v>41</v>
      </c>
      <c r="I47" s="25">
        <v>3</v>
      </c>
      <c r="J47" s="56">
        <v>800</v>
      </c>
      <c r="K47" s="15">
        <v>400</v>
      </c>
      <c r="L47" s="24" t="s">
        <v>2037</v>
      </c>
      <c r="M47" s="24" t="s">
        <v>2014</v>
      </c>
      <c r="N47" s="1" t="s">
        <v>2013</v>
      </c>
      <c r="O47" s="15" t="s">
        <v>2082</v>
      </c>
      <c r="P47" s="15" t="s">
        <v>2442</v>
      </c>
      <c r="Q47" s="25" t="s">
        <v>2084</v>
      </c>
      <c r="R47" s="25" t="s">
        <v>2434</v>
      </c>
      <c r="S47" s="73" t="s">
        <v>2136</v>
      </c>
    </row>
    <row r="48" spans="1:19" x14ac:dyDescent="0.2">
      <c r="A48" s="1">
        <v>47</v>
      </c>
      <c r="B48" s="1" t="s">
        <v>5</v>
      </c>
      <c r="C48" s="1" t="s">
        <v>2445</v>
      </c>
      <c r="D48" s="1" t="s">
        <v>869</v>
      </c>
      <c r="E48" s="1" t="s">
        <v>823</v>
      </c>
      <c r="F48" s="66" t="s">
        <v>905</v>
      </c>
      <c r="G48" s="24" t="s">
        <v>1059</v>
      </c>
      <c r="H48" s="16">
        <v>29</v>
      </c>
      <c r="I48" s="25">
        <v>2</v>
      </c>
      <c r="J48" s="56">
        <v>650</v>
      </c>
      <c r="K48" s="15">
        <v>350</v>
      </c>
      <c r="L48" s="24" t="s">
        <v>2041</v>
      </c>
      <c r="M48" s="24" t="s">
        <v>2016</v>
      </c>
      <c r="N48" s="1" t="s">
        <v>2013</v>
      </c>
      <c r="O48" s="15" t="s">
        <v>2082</v>
      </c>
      <c r="P48" s="15" t="s">
        <v>2442</v>
      </c>
      <c r="Q48" s="25" t="s">
        <v>2084</v>
      </c>
      <c r="R48" s="25" t="s">
        <v>2437</v>
      </c>
      <c r="S48" s="73" t="s">
        <v>2137</v>
      </c>
    </row>
    <row r="49" spans="1:19" x14ac:dyDescent="0.2">
      <c r="A49" s="1">
        <v>48</v>
      </c>
      <c r="B49" s="1" t="s">
        <v>2</v>
      </c>
      <c r="C49" s="1" t="s">
        <v>2445</v>
      </c>
      <c r="D49" s="1" t="s">
        <v>869</v>
      </c>
      <c r="E49" s="1" t="s">
        <v>818</v>
      </c>
      <c r="F49" s="66" t="s">
        <v>870</v>
      </c>
      <c r="G49" s="24" t="s">
        <v>1060</v>
      </c>
      <c r="H49" s="16">
        <v>60</v>
      </c>
      <c r="I49" s="25">
        <v>4</v>
      </c>
      <c r="J49" s="56">
        <v>850</v>
      </c>
      <c r="K49" s="15">
        <v>400</v>
      </c>
      <c r="L49" s="24" t="s">
        <v>2055</v>
      </c>
      <c r="M49" s="24" t="s">
        <v>2014</v>
      </c>
      <c r="N49" s="1" t="s">
        <v>2013</v>
      </c>
      <c r="O49" s="15" t="s">
        <v>2082</v>
      </c>
      <c r="P49" s="15" t="s">
        <v>2442</v>
      </c>
      <c r="Q49" s="25" t="s">
        <v>2087</v>
      </c>
      <c r="R49" s="25" t="s">
        <v>2435</v>
      </c>
      <c r="S49" s="73" t="s">
        <v>2138</v>
      </c>
    </row>
    <row r="50" spans="1:19" x14ac:dyDescent="0.2">
      <c r="A50" s="1">
        <v>49</v>
      </c>
      <c r="B50" s="1" t="s">
        <v>2</v>
      </c>
      <c r="C50" s="1" t="s">
        <v>2445</v>
      </c>
      <c r="D50" s="1" t="s">
        <v>869</v>
      </c>
      <c r="E50" s="1" t="s">
        <v>824</v>
      </c>
      <c r="F50" s="66" t="s">
        <v>906</v>
      </c>
      <c r="G50" s="24" t="s">
        <v>1061</v>
      </c>
      <c r="H50" s="16">
        <v>33</v>
      </c>
      <c r="I50" s="25">
        <v>1</v>
      </c>
      <c r="J50" s="56">
        <v>1000</v>
      </c>
      <c r="K50" s="15">
        <v>500</v>
      </c>
      <c r="L50" s="24" t="s">
        <v>2027</v>
      </c>
      <c r="M50" s="24" t="s">
        <v>2014</v>
      </c>
      <c r="N50" s="1" t="s">
        <v>2013</v>
      </c>
      <c r="O50" s="15" t="s">
        <v>2082</v>
      </c>
      <c r="P50" s="15" t="s">
        <v>2442</v>
      </c>
      <c r="Q50" s="25" t="s">
        <v>2084</v>
      </c>
      <c r="R50" s="25" t="s">
        <v>2434</v>
      </c>
      <c r="S50" s="73" t="s">
        <v>2128</v>
      </c>
    </row>
    <row r="51" spans="1:19" x14ac:dyDescent="0.2">
      <c r="A51" s="1">
        <v>50</v>
      </c>
      <c r="B51" s="1" t="s">
        <v>5</v>
      </c>
      <c r="C51" s="1" t="s">
        <v>2445</v>
      </c>
      <c r="D51" s="1" t="s">
        <v>869</v>
      </c>
      <c r="E51" s="1" t="s">
        <v>818</v>
      </c>
      <c r="F51" s="66" t="s">
        <v>870</v>
      </c>
      <c r="G51" s="24" t="s">
        <v>1062</v>
      </c>
      <c r="H51" s="16">
        <v>22</v>
      </c>
      <c r="I51" s="25">
        <v>5</v>
      </c>
      <c r="J51" s="56">
        <v>850</v>
      </c>
      <c r="K51" s="15">
        <v>400</v>
      </c>
      <c r="L51" s="24" t="s">
        <v>2059</v>
      </c>
      <c r="M51" s="24" t="s">
        <v>2016</v>
      </c>
      <c r="N51" s="1" t="s">
        <v>2013</v>
      </c>
      <c r="O51" s="15" t="s">
        <v>2082</v>
      </c>
      <c r="P51" s="15" t="s">
        <v>2442</v>
      </c>
      <c r="Q51" s="25" t="s">
        <v>2083</v>
      </c>
      <c r="R51" s="25" t="s">
        <v>2436</v>
      </c>
      <c r="S51" s="73" t="s">
        <v>2139</v>
      </c>
    </row>
    <row r="52" spans="1:19" x14ac:dyDescent="0.2">
      <c r="A52" s="1">
        <v>51</v>
      </c>
      <c r="B52" s="1" t="s">
        <v>5</v>
      </c>
      <c r="C52" s="1" t="s">
        <v>2445</v>
      </c>
      <c r="D52" s="1" t="s">
        <v>869</v>
      </c>
      <c r="E52" s="1" t="s">
        <v>824</v>
      </c>
      <c r="F52" s="66" t="s">
        <v>901</v>
      </c>
      <c r="G52" s="24" t="s">
        <v>1063</v>
      </c>
      <c r="H52" s="16">
        <v>47</v>
      </c>
      <c r="I52" s="25">
        <v>3</v>
      </c>
      <c r="J52" s="56">
        <v>1000</v>
      </c>
      <c r="K52" s="15">
        <v>500</v>
      </c>
      <c r="L52" s="24" t="s">
        <v>2047</v>
      </c>
      <c r="M52" s="24" t="s">
        <v>2024</v>
      </c>
      <c r="N52" s="1" t="s">
        <v>2013</v>
      </c>
      <c r="O52" s="15" t="s">
        <v>2082</v>
      </c>
      <c r="P52" s="15" t="s">
        <v>2442</v>
      </c>
      <c r="Q52" s="25" t="s">
        <v>2087</v>
      </c>
      <c r="R52" s="25" t="s">
        <v>2437</v>
      </c>
      <c r="S52" s="73" t="s">
        <v>2140</v>
      </c>
    </row>
    <row r="53" spans="1:19" x14ac:dyDescent="0.2">
      <c r="A53" s="1">
        <v>52</v>
      </c>
      <c r="B53" s="1" t="s">
        <v>6</v>
      </c>
      <c r="C53" s="1" t="s">
        <v>2445</v>
      </c>
      <c r="D53" s="1" t="s">
        <v>869</v>
      </c>
      <c r="E53" s="1" t="s">
        <v>818</v>
      </c>
      <c r="F53" s="66" t="s">
        <v>907</v>
      </c>
      <c r="G53" s="24" t="s">
        <v>1064</v>
      </c>
      <c r="H53" s="16">
        <v>55</v>
      </c>
      <c r="I53" s="25">
        <v>1</v>
      </c>
      <c r="J53" s="56">
        <v>750</v>
      </c>
      <c r="K53" s="15">
        <v>400</v>
      </c>
      <c r="L53" s="24" t="s">
        <v>2025</v>
      </c>
      <c r="M53" s="24" t="s">
        <v>2024</v>
      </c>
      <c r="N53" s="1" t="s">
        <v>2013</v>
      </c>
      <c r="O53" s="15" t="s">
        <v>2082</v>
      </c>
      <c r="P53" s="15" t="s">
        <v>2442</v>
      </c>
      <c r="Q53" s="25" t="s">
        <v>2083</v>
      </c>
      <c r="R53" s="25" t="s">
        <v>2435</v>
      </c>
      <c r="S53" s="73" t="s">
        <v>2141</v>
      </c>
    </row>
    <row r="54" spans="1:19" x14ac:dyDescent="0.2">
      <c r="A54" s="1">
        <v>53</v>
      </c>
      <c r="B54" s="1" t="s">
        <v>1</v>
      </c>
      <c r="C54" s="1" t="s">
        <v>2445</v>
      </c>
      <c r="D54" s="1" t="s">
        <v>869</v>
      </c>
      <c r="E54" s="1" t="s">
        <v>2780</v>
      </c>
      <c r="F54" s="66" t="s">
        <v>908</v>
      </c>
      <c r="G54" s="24" t="s">
        <v>1065</v>
      </c>
      <c r="H54" s="16">
        <v>36</v>
      </c>
      <c r="I54" s="25">
        <v>2</v>
      </c>
      <c r="J54" s="56">
        <v>680</v>
      </c>
      <c r="K54" s="15">
        <v>350</v>
      </c>
      <c r="L54" s="24" t="s">
        <v>2060</v>
      </c>
      <c r="M54" s="24" t="s">
        <v>2024</v>
      </c>
      <c r="N54" s="1" t="s">
        <v>2013</v>
      </c>
      <c r="O54" s="15" t="s">
        <v>2082</v>
      </c>
      <c r="P54" s="15" t="s">
        <v>2442</v>
      </c>
      <c r="Q54" s="25" t="s">
        <v>2087</v>
      </c>
      <c r="R54" s="25" t="s">
        <v>2434</v>
      </c>
      <c r="S54" s="73" t="s">
        <v>2103</v>
      </c>
    </row>
    <row r="55" spans="1:19" x14ac:dyDescent="0.2">
      <c r="A55" s="1">
        <v>54</v>
      </c>
      <c r="B55" s="1" t="s">
        <v>2</v>
      </c>
      <c r="C55" s="1" t="s">
        <v>2445</v>
      </c>
      <c r="D55" s="1" t="s">
        <v>869</v>
      </c>
      <c r="E55" s="1" t="s">
        <v>817</v>
      </c>
      <c r="F55" s="66" t="s">
        <v>908</v>
      </c>
      <c r="G55" s="24" t="s">
        <v>1066</v>
      </c>
      <c r="H55" s="16">
        <v>28</v>
      </c>
      <c r="I55" s="25">
        <v>4</v>
      </c>
      <c r="J55" s="56">
        <v>720</v>
      </c>
      <c r="K55" s="15">
        <v>350</v>
      </c>
      <c r="L55" s="24" t="s">
        <v>2038</v>
      </c>
      <c r="M55" s="24" t="s">
        <v>2014</v>
      </c>
      <c r="N55" s="1" t="s">
        <v>2013</v>
      </c>
      <c r="O55" s="15" t="s">
        <v>2082</v>
      </c>
      <c r="P55" s="15" t="s">
        <v>2442</v>
      </c>
      <c r="Q55" s="25" t="s">
        <v>2086</v>
      </c>
      <c r="R55" s="25" t="s">
        <v>2436</v>
      </c>
      <c r="S55" s="73" t="s">
        <v>2142</v>
      </c>
    </row>
    <row r="56" spans="1:19" x14ac:dyDescent="0.2">
      <c r="A56" s="1">
        <v>55</v>
      </c>
      <c r="B56" s="1" t="s">
        <v>2</v>
      </c>
      <c r="C56" s="1" t="s">
        <v>2445</v>
      </c>
      <c r="D56" s="1" t="s">
        <v>869</v>
      </c>
      <c r="E56" s="1" t="s">
        <v>817</v>
      </c>
      <c r="F56" s="66" t="s">
        <v>908</v>
      </c>
      <c r="G56" s="24" t="s">
        <v>1067</v>
      </c>
      <c r="H56" s="16">
        <v>50</v>
      </c>
      <c r="I56" s="25">
        <v>5</v>
      </c>
      <c r="J56" s="56">
        <v>720</v>
      </c>
      <c r="K56" s="15">
        <v>350</v>
      </c>
      <c r="L56" s="24" t="s">
        <v>2049</v>
      </c>
      <c r="M56" s="24" t="s">
        <v>2016</v>
      </c>
      <c r="N56" s="1" t="s">
        <v>2013</v>
      </c>
      <c r="O56" s="15" t="s">
        <v>2082</v>
      </c>
      <c r="P56" s="15" t="s">
        <v>2442</v>
      </c>
      <c r="Q56" s="25" t="s">
        <v>2085</v>
      </c>
      <c r="R56" s="25" t="s">
        <v>2437</v>
      </c>
      <c r="S56" s="73" t="s">
        <v>2143</v>
      </c>
    </row>
    <row r="57" spans="1:19" x14ac:dyDescent="0.2">
      <c r="A57" s="1">
        <v>56</v>
      </c>
      <c r="B57" s="1" t="s">
        <v>2</v>
      </c>
      <c r="C57" s="1" t="s">
        <v>2445</v>
      </c>
      <c r="D57" s="1" t="s">
        <v>869</v>
      </c>
      <c r="E57" s="1" t="s">
        <v>817</v>
      </c>
      <c r="F57" s="66" t="s">
        <v>887</v>
      </c>
      <c r="G57" s="24" t="s">
        <v>1068</v>
      </c>
      <c r="H57" s="16">
        <v>39</v>
      </c>
      <c r="I57" s="25">
        <v>2</v>
      </c>
      <c r="J57" s="56">
        <v>790</v>
      </c>
      <c r="K57" s="15">
        <v>350</v>
      </c>
      <c r="L57" s="24" t="s">
        <v>2043</v>
      </c>
      <c r="M57" s="24" t="s">
        <v>2016</v>
      </c>
      <c r="N57" s="1" t="s">
        <v>2013</v>
      </c>
      <c r="O57" s="15" t="s">
        <v>2082</v>
      </c>
      <c r="P57" s="15" t="s">
        <v>2442</v>
      </c>
      <c r="Q57" s="25" t="s">
        <v>2084</v>
      </c>
      <c r="R57" s="25" t="s">
        <v>2435</v>
      </c>
      <c r="S57" s="73" t="s">
        <v>2144</v>
      </c>
    </row>
    <row r="58" spans="1:19" x14ac:dyDescent="0.2">
      <c r="A58" s="1">
        <v>57</v>
      </c>
      <c r="B58" s="1" t="s">
        <v>3</v>
      </c>
      <c r="C58" s="1" t="s">
        <v>2445</v>
      </c>
      <c r="D58" s="1" t="s">
        <v>869</v>
      </c>
      <c r="E58" s="1" t="s">
        <v>822</v>
      </c>
      <c r="F58" s="66" t="s">
        <v>887</v>
      </c>
      <c r="G58" s="24" t="s">
        <v>1069</v>
      </c>
      <c r="H58" s="16">
        <v>31</v>
      </c>
      <c r="I58" s="25">
        <v>3</v>
      </c>
      <c r="J58" s="56">
        <v>700</v>
      </c>
      <c r="K58" s="15">
        <v>350</v>
      </c>
      <c r="L58" s="24" t="s">
        <v>2054</v>
      </c>
      <c r="M58" s="24" t="s">
        <v>2016</v>
      </c>
      <c r="N58" s="1" t="s">
        <v>2013</v>
      </c>
      <c r="O58" s="15" t="s">
        <v>2082</v>
      </c>
      <c r="P58" s="15" t="s">
        <v>2442</v>
      </c>
      <c r="Q58" s="25" t="s">
        <v>2083</v>
      </c>
      <c r="R58" s="25" t="s">
        <v>2436</v>
      </c>
      <c r="S58" s="73" t="s">
        <v>2145</v>
      </c>
    </row>
    <row r="59" spans="1:19" x14ac:dyDescent="0.2">
      <c r="A59" s="1">
        <v>58</v>
      </c>
      <c r="B59" s="1" t="s">
        <v>2</v>
      </c>
      <c r="C59" s="1" t="s">
        <v>2445</v>
      </c>
      <c r="D59" s="1" t="s">
        <v>869</v>
      </c>
      <c r="E59" s="1" t="s">
        <v>824</v>
      </c>
      <c r="F59" s="66" t="s">
        <v>909</v>
      </c>
      <c r="G59" s="24" t="s">
        <v>1070</v>
      </c>
      <c r="H59" s="16">
        <v>44</v>
      </c>
      <c r="I59" s="25">
        <v>1</v>
      </c>
      <c r="J59" s="56">
        <v>850</v>
      </c>
      <c r="K59" s="15">
        <v>400</v>
      </c>
      <c r="L59" s="24" t="s">
        <v>2051</v>
      </c>
      <c r="M59" s="24" t="s">
        <v>2020</v>
      </c>
      <c r="N59" s="1" t="s">
        <v>2013</v>
      </c>
      <c r="O59" s="15" t="s">
        <v>2082</v>
      </c>
      <c r="P59" s="15" t="s">
        <v>2442</v>
      </c>
      <c r="Q59" s="25" t="s">
        <v>2088</v>
      </c>
      <c r="R59" s="25" t="s">
        <v>2434</v>
      </c>
      <c r="S59" s="73" t="s">
        <v>2140</v>
      </c>
    </row>
    <row r="60" spans="1:19" x14ac:dyDescent="0.2">
      <c r="A60" s="1">
        <v>59</v>
      </c>
      <c r="B60" s="1" t="s">
        <v>5</v>
      </c>
      <c r="C60" s="1" t="s">
        <v>2445</v>
      </c>
      <c r="D60" s="1" t="s">
        <v>869</v>
      </c>
      <c r="E60" s="1" t="s">
        <v>824</v>
      </c>
      <c r="F60" s="66" t="s">
        <v>910</v>
      </c>
      <c r="G60" s="24" t="s">
        <v>1071</v>
      </c>
      <c r="H60" s="16">
        <v>26</v>
      </c>
      <c r="I60" s="25">
        <v>4</v>
      </c>
      <c r="J60" s="56">
        <v>1000</v>
      </c>
      <c r="K60" s="15">
        <v>500</v>
      </c>
      <c r="L60" s="24" t="s">
        <v>2030</v>
      </c>
      <c r="M60" s="24" t="s">
        <v>2024</v>
      </c>
      <c r="N60" s="1" t="s">
        <v>2013</v>
      </c>
      <c r="O60" s="15" t="s">
        <v>2082</v>
      </c>
      <c r="P60" s="15" t="s">
        <v>2442</v>
      </c>
      <c r="Q60" s="25" t="s">
        <v>2084</v>
      </c>
      <c r="R60" s="25" t="s">
        <v>2437</v>
      </c>
      <c r="S60" s="73" t="s">
        <v>2146</v>
      </c>
    </row>
    <row r="61" spans="1:19" x14ac:dyDescent="0.2">
      <c r="A61" s="1">
        <v>60</v>
      </c>
      <c r="B61" s="1" t="s">
        <v>5</v>
      </c>
      <c r="C61" s="1" t="s">
        <v>2445</v>
      </c>
      <c r="D61" s="1" t="s">
        <v>869</v>
      </c>
      <c r="E61" s="1" t="s">
        <v>818</v>
      </c>
      <c r="F61" s="66" t="s">
        <v>911</v>
      </c>
      <c r="G61" s="24" t="s">
        <v>1072</v>
      </c>
      <c r="H61" s="16">
        <v>48</v>
      </c>
      <c r="I61" s="25">
        <v>5</v>
      </c>
      <c r="J61" s="56">
        <v>900</v>
      </c>
      <c r="K61" s="15">
        <v>500</v>
      </c>
      <c r="L61" s="24" t="s">
        <v>2028</v>
      </c>
      <c r="M61" s="24" t="s">
        <v>2024</v>
      </c>
      <c r="N61" s="1" t="s">
        <v>2013</v>
      </c>
      <c r="O61" s="15" t="s">
        <v>2082</v>
      </c>
      <c r="P61" s="15" t="s">
        <v>2442</v>
      </c>
      <c r="Q61" s="25" t="s">
        <v>2090</v>
      </c>
      <c r="R61" s="25" t="s">
        <v>2435</v>
      </c>
      <c r="S61" s="73" t="s">
        <v>2147</v>
      </c>
    </row>
    <row r="62" spans="1:19" x14ac:dyDescent="0.2">
      <c r="A62" s="1">
        <v>61</v>
      </c>
      <c r="B62" s="1" t="s">
        <v>9</v>
      </c>
      <c r="C62" s="1" t="s">
        <v>2445</v>
      </c>
      <c r="D62" s="1" t="s">
        <v>869</v>
      </c>
      <c r="E62" s="1" t="s">
        <v>824</v>
      </c>
      <c r="F62" s="66" t="s">
        <v>2752</v>
      </c>
      <c r="G62" s="24" t="s">
        <v>1073</v>
      </c>
      <c r="H62" s="16">
        <v>53</v>
      </c>
      <c r="I62" s="25">
        <v>3</v>
      </c>
      <c r="J62" s="56">
        <v>640</v>
      </c>
      <c r="K62" s="15">
        <v>350</v>
      </c>
      <c r="L62" s="24" t="s">
        <v>2045</v>
      </c>
      <c r="M62" s="24" t="s">
        <v>2014</v>
      </c>
      <c r="N62" s="1" t="s">
        <v>2013</v>
      </c>
      <c r="O62" s="15" t="s">
        <v>2082</v>
      </c>
      <c r="P62" s="15" t="s">
        <v>2442</v>
      </c>
      <c r="Q62" s="25" t="s">
        <v>2087</v>
      </c>
      <c r="R62" s="25" t="s">
        <v>2434</v>
      </c>
      <c r="S62" s="73" t="s">
        <v>2104</v>
      </c>
    </row>
    <row r="63" spans="1:19" x14ac:dyDescent="0.2">
      <c r="A63" s="1">
        <v>62</v>
      </c>
      <c r="B63" s="1" t="s">
        <v>9</v>
      </c>
      <c r="C63" s="1" t="s">
        <v>2445</v>
      </c>
      <c r="D63" s="1" t="s">
        <v>869</v>
      </c>
      <c r="E63" s="1" t="s">
        <v>824</v>
      </c>
      <c r="F63" s="68" t="s">
        <v>912</v>
      </c>
      <c r="G63" s="24" t="s">
        <v>1074</v>
      </c>
      <c r="H63" s="16">
        <v>30</v>
      </c>
      <c r="I63" s="25">
        <v>2</v>
      </c>
      <c r="J63" s="56">
        <v>640</v>
      </c>
      <c r="K63" s="15">
        <v>350</v>
      </c>
      <c r="L63" s="24" t="s">
        <v>2031</v>
      </c>
      <c r="M63" s="24" t="s">
        <v>2016</v>
      </c>
      <c r="N63" s="1" t="s">
        <v>2013</v>
      </c>
      <c r="O63" s="15" t="s">
        <v>2082</v>
      </c>
      <c r="P63" s="15" t="s">
        <v>2442</v>
      </c>
      <c r="Q63" s="25" t="s">
        <v>2086</v>
      </c>
      <c r="R63" s="25" t="s">
        <v>2436</v>
      </c>
      <c r="S63" s="73" t="s">
        <v>2148</v>
      </c>
    </row>
    <row r="64" spans="1:19" x14ac:dyDescent="0.2">
      <c r="A64" s="1">
        <v>63</v>
      </c>
      <c r="B64" s="1" t="s">
        <v>0</v>
      </c>
      <c r="C64" s="1" t="s">
        <v>2445</v>
      </c>
      <c r="D64" s="1" t="s">
        <v>869</v>
      </c>
      <c r="E64" s="1" t="s">
        <v>817</v>
      </c>
      <c r="F64" s="68" t="s">
        <v>912</v>
      </c>
      <c r="G64" s="24" t="s">
        <v>1075</v>
      </c>
      <c r="H64" s="16">
        <v>37</v>
      </c>
      <c r="I64" s="25">
        <v>4</v>
      </c>
      <c r="J64" s="56">
        <v>810</v>
      </c>
      <c r="K64" s="15">
        <v>400</v>
      </c>
      <c r="L64" s="24" t="s">
        <v>2034</v>
      </c>
      <c r="M64" s="24" t="s">
        <v>2016</v>
      </c>
      <c r="N64" s="1" t="s">
        <v>2013</v>
      </c>
      <c r="O64" s="15" t="s">
        <v>2082</v>
      </c>
      <c r="P64" s="15" t="s">
        <v>2442</v>
      </c>
      <c r="Q64" s="25" t="s">
        <v>2085</v>
      </c>
      <c r="R64" s="25" t="s">
        <v>2437</v>
      </c>
      <c r="S64" s="73" t="s">
        <v>2140</v>
      </c>
    </row>
    <row r="65" spans="1:19" x14ac:dyDescent="0.2">
      <c r="A65" s="1">
        <v>64</v>
      </c>
      <c r="B65" s="1" t="s">
        <v>5</v>
      </c>
      <c r="C65" s="1" t="s">
        <v>2445</v>
      </c>
      <c r="D65" s="1" t="s">
        <v>869</v>
      </c>
      <c r="E65" s="1" t="s">
        <v>824</v>
      </c>
      <c r="F65" s="66" t="s">
        <v>903</v>
      </c>
      <c r="G65" s="24" t="s">
        <v>1076</v>
      </c>
      <c r="H65" s="16">
        <v>42</v>
      </c>
      <c r="I65" s="25">
        <v>1</v>
      </c>
      <c r="J65" s="56">
        <v>1000</v>
      </c>
      <c r="K65" s="15">
        <v>500</v>
      </c>
      <c r="L65" s="24" t="s">
        <v>2034</v>
      </c>
      <c r="M65" s="24" t="s">
        <v>2016</v>
      </c>
      <c r="N65" s="1" t="s">
        <v>2013</v>
      </c>
      <c r="O65" s="15" t="s">
        <v>2082</v>
      </c>
      <c r="P65" s="15" t="s">
        <v>2442</v>
      </c>
      <c r="Q65" s="25" t="s">
        <v>2087</v>
      </c>
      <c r="R65" s="25" t="s">
        <v>2435</v>
      </c>
      <c r="S65" s="73" t="s">
        <v>2149</v>
      </c>
    </row>
    <row r="66" spans="1:19" x14ac:dyDescent="0.2">
      <c r="A66" s="1">
        <v>65</v>
      </c>
      <c r="B66" s="1" t="s">
        <v>8</v>
      </c>
      <c r="C66" s="1" t="s">
        <v>2445</v>
      </c>
      <c r="D66" s="1" t="s">
        <v>869</v>
      </c>
      <c r="E66" s="1" t="s">
        <v>819</v>
      </c>
      <c r="F66" s="66" t="s">
        <v>879</v>
      </c>
      <c r="G66" s="24" t="s">
        <v>1077</v>
      </c>
      <c r="H66" s="16">
        <v>24</v>
      </c>
      <c r="I66" s="25">
        <v>5</v>
      </c>
      <c r="J66" s="56">
        <v>600</v>
      </c>
      <c r="K66" s="15">
        <v>280</v>
      </c>
      <c r="L66" s="24" t="s">
        <v>2044</v>
      </c>
      <c r="M66" s="24" t="s">
        <v>2020</v>
      </c>
      <c r="N66" s="1" t="s">
        <v>2013</v>
      </c>
      <c r="O66" s="15" t="s">
        <v>2082</v>
      </c>
      <c r="P66" s="15" t="s">
        <v>2442</v>
      </c>
      <c r="Q66" s="25" t="s">
        <v>2085</v>
      </c>
      <c r="R66" s="25" t="s">
        <v>2434</v>
      </c>
      <c r="S66" s="73" t="s">
        <v>2150</v>
      </c>
    </row>
    <row r="67" spans="1:19" x14ac:dyDescent="0.2">
      <c r="A67" s="1">
        <v>66</v>
      </c>
      <c r="B67" s="1" t="s">
        <v>5</v>
      </c>
      <c r="C67" s="1" t="s">
        <v>2445</v>
      </c>
      <c r="D67" s="1" t="s">
        <v>869</v>
      </c>
      <c r="E67" s="1" t="s">
        <v>824</v>
      </c>
      <c r="F67" s="66" t="s">
        <v>913</v>
      </c>
      <c r="G67" s="24" t="s">
        <v>1078</v>
      </c>
      <c r="H67" s="16">
        <v>57</v>
      </c>
      <c r="I67" s="25">
        <v>2</v>
      </c>
      <c r="J67" s="56">
        <v>850</v>
      </c>
      <c r="K67" s="15">
        <v>400</v>
      </c>
      <c r="L67" s="24" t="s">
        <v>2023</v>
      </c>
      <c r="M67" s="24" t="s">
        <v>2020</v>
      </c>
      <c r="N67" s="1" t="s">
        <v>2013</v>
      </c>
      <c r="O67" s="15" t="s">
        <v>2082</v>
      </c>
      <c r="P67" s="15" t="s">
        <v>2442</v>
      </c>
      <c r="Q67" s="25" t="s">
        <v>2087</v>
      </c>
      <c r="R67" s="25" t="s">
        <v>2436</v>
      </c>
      <c r="S67" s="73" t="s">
        <v>2151</v>
      </c>
    </row>
    <row r="68" spans="1:19" x14ac:dyDescent="0.2">
      <c r="A68" s="1">
        <v>67</v>
      </c>
      <c r="B68" s="1" t="s">
        <v>2</v>
      </c>
      <c r="C68" s="1" t="s">
        <v>2445</v>
      </c>
      <c r="D68" s="1" t="s">
        <v>869</v>
      </c>
      <c r="E68" s="1" t="s">
        <v>817</v>
      </c>
      <c r="F68" s="66" t="s">
        <v>914</v>
      </c>
      <c r="G68" s="24" t="s">
        <v>1079</v>
      </c>
      <c r="H68" s="16">
        <v>35</v>
      </c>
      <c r="I68" s="25">
        <v>3</v>
      </c>
      <c r="J68" s="56">
        <v>790</v>
      </c>
      <c r="K68" s="15">
        <v>350</v>
      </c>
      <c r="L68" s="24" t="s">
        <v>2060</v>
      </c>
      <c r="M68" s="24" t="s">
        <v>2024</v>
      </c>
      <c r="N68" s="1" t="s">
        <v>2013</v>
      </c>
      <c r="O68" s="15" t="s">
        <v>2082</v>
      </c>
      <c r="P68" s="15" t="s">
        <v>2442</v>
      </c>
      <c r="Q68" s="25" t="s">
        <v>2086</v>
      </c>
      <c r="R68" s="25" t="s">
        <v>2437</v>
      </c>
      <c r="S68" s="73" t="s">
        <v>2152</v>
      </c>
    </row>
    <row r="69" spans="1:19" x14ac:dyDescent="0.2">
      <c r="A69" s="1">
        <v>68</v>
      </c>
      <c r="B69" s="1" t="s">
        <v>0</v>
      </c>
      <c r="C69" s="1" t="s">
        <v>2445</v>
      </c>
      <c r="D69" s="1" t="s">
        <v>869</v>
      </c>
      <c r="E69" s="1" t="s">
        <v>817</v>
      </c>
      <c r="F69" s="68" t="s">
        <v>887</v>
      </c>
      <c r="G69" s="24" t="s">
        <v>1080</v>
      </c>
      <c r="H69" s="16">
        <v>40</v>
      </c>
      <c r="I69" s="25">
        <v>4</v>
      </c>
      <c r="J69" s="56">
        <v>880</v>
      </c>
      <c r="K69" s="15">
        <v>400</v>
      </c>
      <c r="L69" s="24" t="s">
        <v>2028</v>
      </c>
      <c r="M69" s="24" t="s">
        <v>2020</v>
      </c>
      <c r="N69" s="1" t="s">
        <v>2013</v>
      </c>
      <c r="O69" s="15" t="s">
        <v>2082</v>
      </c>
      <c r="P69" s="15" t="s">
        <v>2442</v>
      </c>
      <c r="Q69" s="25" t="s">
        <v>2086</v>
      </c>
      <c r="R69" s="25" t="s">
        <v>2435</v>
      </c>
      <c r="S69" s="73" t="s">
        <v>2153</v>
      </c>
    </row>
    <row r="70" spans="1:19" x14ac:dyDescent="0.2">
      <c r="A70" s="1">
        <v>69</v>
      </c>
      <c r="B70" s="1" t="s">
        <v>5</v>
      </c>
      <c r="C70" s="1" t="s">
        <v>2445</v>
      </c>
      <c r="D70" s="1" t="s">
        <v>869</v>
      </c>
      <c r="E70" s="1" t="s">
        <v>824</v>
      </c>
      <c r="F70" s="66" t="s">
        <v>910</v>
      </c>
      <c r="G70" s="24" t="s">
        <v>1081</v>
      </c>
      <c r="H70" s="16">
        <v>21</v>
      </c>
      <c r="I70" s="25">
        <v>1</v>
      </c>
      <c r="J70" s="56">
        <v>850</v>
      </c>
      <c r="K70" s="15">
        <v>400</v>
      </c>
      <c r="L70" s="24" t="s">
        <v>2030</v>
      </c>
      <c r="M70" s="24" t="s">
        <v>2024</v>
      </c>
      <c r="N70" s="1" t="s">
        <v>2013</v>
      </c>
      <c r="O70" s="15" t="s">
        <v>2082</v>
      </c>
      <c r="P70" s="15" t="s">
        <v>2442</v>
      </c>
      <c r="Q70" s="25" t="s">
        <v>2090</v>
      </c>
      <c r="R70" s="25" t="s">
        <v>2436</v>
      </c>
      <c r="S70" s="73" t="s">
        <v>2154</v>
      </c>
    </row>
    <row r="71" spans="1:19" x14ac:dyDescent="0.2">
      <c r="A71" s="3">
        <v>70</v>
      </c>
      <c r="B71" s="3" t="s">
        <v>1</v>
      </c>
      <c r="C71" s="1" t="s">
        <v>2445</v>
      </c>
      <c r="D71" s="1" t="s">
        <v>869</v>
      </c>
      <c r="E71" s="3" t="s">
        <v>817</v>
      </c>
      <c r="F71" s="67" t="s">
        <v>2753</v>
      </c>
      <c r="G71" s="24" t="s">
        <v>1082</v>
      </c>
      <c r="H71" s="16">
        <v>59</v>
      </c>
      <c r="I71" s="25">
        <v>5</v>
      </c>
      <c r="J71" s="57">
        <v>650</v>
      </c>
      <c r="K71" s="29">
        <v>280</v>
      </c>
      <c r="L71" s="24" t="s">
        <v>2059</v>
      </c>
      <c r="M71" s="24" t="s">
        <v>2016</v>
      </c>
      <c r="N71" s="1" t="s">
        <v>2013</v>
      </c>
      <c r="O71" s="15" t="s">
        <v>2082</v>
      </c>
      <c r="P71" s="15" t="s">
        <v>2442</v>
      </c>
      <c r="Q71" s="25" t="s">
        <v>2088</v>
      </c>
      <c r="R71" s="25" t="s">
        <v>2434</v>
      </c>
      <c r="S71" s="73" t="s">
        <v>2155</v>
      </c>
    </row>
    <row r="72" spans="1:19" x14ac:dyDescent="0.2">
      <c r="A72" s="1">
        <v>71</v>
      </c>
      <c r="B72" s="1" t="s">
        <v>5</v>
      </c>
      <c r="C72" s="1" t="s">
        <v>2445</v>
      </c>
      <c r="D72" s="1" t="s">
        <v>869</v>
      </c>
      <c r="E72" s="1" t="s">
        <v>10</v>
      </c>
      <c r="F72" s="66" t="s">
        <v>910</v>
      </c>
      <c r="G72" s="24" t="s">
        <v>1083</v>
      </c>
      <c r="H72" s="16">
        <v>32</v>
      </c>
      <c r="I72" s="25">
        <v>3</v>
      </c>
      <c r="J72" s="56">
        <v>850</v>
      </c>
      <c r="K72" s="15">
        <v>350</v>
      </c>
      <c r="L72" s="24" t="s">
        <v>2022</v>
      </c>
      <c r="M72" s="24" t="s">
        <v>2016</v>
      </c>
      <c r="N72" s="1" t="s">
        <v>2013</v>
      </c>
      <c r="O72" s="15" t="s">
        <v>2082</v>
      </c>
      <c r="P72" s="15" t="s">
        <v>2442</v>
      </c>
      <c r="Q72" s="25" t="s">
        <v>2084</v>
      </c>
      <c r="R72" s="25" t="s">
        <v>2437</v>
      </c>
      <c r="S72" s="73" t="s">
        <v>2156</v>
      </c>
    </row>
    <row r="73" spans="1:19" x14ac:dyDescent="0.2">
      <c r="A73" s="1">
        <v>72</v>
      </c>
      <c r="B73" s="1" t="s">
        <v>5</v>
      </c>
      <c r="C73" s="1" t="s">
        <v>2445</v>
      </c>
      <c r="D73" s="1" t="s">
        <v>869</v>
      </c>
      <c r="E73" s="1" t="s">
        <v>824</v>
      </c>
      <c r="F73" s="66" t="s">
        <v>903</v>
      </c>
      <c r="G73" s="24" t="s">
        <v>1084</v>
      </c>
      <c r="H73" s="16">
        <v>46</v>
      </c>
      <c r="I73" s="25">
        <v>2</v>
      </c>
      <c r="J73" s="56">
        <v>750</v>
      </c>
      <c r="K73" s="15">
        <v>380</v>
      </c>
      <c r="L73" s="24" t="s">
        <v>2048</v>
      </c>
      <c r="M73" s="24" t="s">
        <v>2014</v>
      </c>
      <c r="N73" s="1" t="s">
        <v>2013</v>
      </c>
      <c r="O73" s="15" t="s">
        <v>2082</v>
      </c>
      <c r="P73" s="15" t="s">
        <v>2442</v>
      </c>
      <c r="Q73" s="25" t="s">
        <v>2086</v>
      </c>
      <c r="R73" s="25" t="s">
        <v>2435</v>
      </c>
      <c r="S73" s="73" t="s">
        <v>2157</v>
      </c>
    </row>
    <row r="74" spans="1:19" x14ac:dyDescent="0.2">
      <c r="A74" s="3">
        <v>73</v>
      </c>
      <c r="B74" s="3" t="s">
        <v>6</v>
      </c>
      <c r="C74" s="1" t="s">
        <v>2445</v>
      </c>
      <c r="D74" s="1" t="s">
        <v>869</v>
      </c>
      <c r="E74" s="3" t="s">
        <v>818</v>
      </c>
      <c r="F74" s="67" t="s">
        <v>915</v>
      </c>
      <c r="G74" s="24" t="s">
        <v>1085</v>
      </c>
      <c r="H74" s="16">
        <v>54</v>
      </c>
      <c r="I74" s="25">
        <v>4</v>
      </c>
      <c r="J74" s="57">
        <v>850</v>
      </c>
      <c r="K74" s="29">
        <v>400</v>
      </c>
      <c r="L74" s="24" t="s">
        <v>2033</v>
      </c>
      <c r="M74" s="24" t="s">
        <v>2016</v>
      </c>
      <c r="N74" s="1" t="s">
        <v>2013</v>
      </c>
      <c r="O74" s="15" t="s">
        <v>2082</v>
      </c>
      <c r="P74" s="15" t="s">
        <v>2442</v>
      </c>
      <c r="Q74" s="25" t="s">
        <v>2089</v>
      </c>
      <c r="R74" s="25" t="s">
        <v>2434</v>
      </c>
      <c r="S74" s="73" t="s">
        <v>2144</v>
      </c>
    </row>
    <row r="75" spans="1:19" x14ac:dyDescent="0.2">
      <c r="A75" s="3">
        <v>74</v>
      </c>
      <c r="B75" s="3" t="s">
        <v>0</v>
      </c>
      <c r="C75" s="1" t="s">
        <v>2445</v>
      </c>
      <c r="D75" s="1" t="s">
        <v>869</v>
      </c>
      <c r="E75" s="3" t="s">
        <v>818</v>
      </c>
      <c r="F75" s="67" t="s">
        <v>916</v>
      </c>
      <c r="G75" s="24" t="s">
        <v>1086</v>
      </c>
      <c r="H75" s="16">
        <v>25</v>
      </c>
      <c r="I75" s="25">
        <v>1</v>
      </c>
      <c r="J75" s="57">
        <v>950</v>
      </c>
      <c r="K75" s="29">
        <v>500</v>
      </c>
      <c r="L75" s="24" t="s">
        <v>2033</v>
      </c>
      <c r="M75" s="24" t="s">
        <v>2016</v>
      </c>
      <c r="N75" s="1" t="s">
        <v>2013</v>
      </c>
      <c r="O75" s="15" t="s">
        <v>2082</v>
      </c>
      <c r="P75" s="15" t="s">
        <v>2442</v>
      </c>
      <c r="Q75" s="25" t="s">
        <v>2089</v>
      </c>
      <c r="R75" s="25" t="s">
        <v>2436</v>
      </c>
      <c r="S75" s="73" t="s">
        <v>2158</v>
      </c>
    </row>
    <row r="76" spans="1:19" x14ac:dyDescent="0.2">
      <c r="A76" s="3">
        <v>75</v>
      </c>
      <c r="B76" s="3" t="s">
        <v>6</v>
      </c>
      <c r="C76" s="1" t="s">
        <v>2445</v>
      </c>
      <c r="D76" s="1" t="s">
        <v>869</v>
      </c>
      <c r="E76" s="3" t="s">
        <v>818</v>
      </c>
      <c r="F76" s="67" t="s">
        <v>901</v>
      </c>
      <c r="G76" s="24" t="s">
        <v>1087</v>
      </c>
      <c r="H76" s="16">
        <v>43</v>
      </c>
      <c r="I76" s="25">
        <v>5</v>
      </c>
      <c r="J76" s="57">
        <v>900</v>
      </c>
      <c r="K76" s="29">
        <v>500</v>
      </c>
      <c r="L76" s="24" t="s">
        <v>2030</v>
      </c>
      <c r="M76" s="24" t="s">
        <v>2024</v>
      </c>
      <c r="N76" s="1" t="s">
        <v>2013</v>
      </c>
      <c r="O76" s="15" t="s">
        <v>2082</v>
      </c>
      <c r="P76" s="15" t="s">
        <v>2442</v>
      </c>
      <c r="Q76" s="25" t="s">
        <v>2084</v>
      </c>
      <c r="R76" s="25" t="s">
        <v>2437</v>
      </c>
      <c r="S76" s="73" t="s">
        <v>2159</v>
      </c>
    </row>
    <row r="77" spans="1:19" x14ac:dyDescent="0.2">
      <c r="A77" s="3">
        <v>76</v>
      </c>
      <c r="B77" s="3" t="s">
        <v>0</v>
      </c>
      <c r="C77" s="1" t="s">
        <v>2445</v>
      </c>
      <c r="D77" s="1" t="s">
        <v>869</v>
      </c>
      <c r="E77" s="3" t="s">
        <v>824</v>
      </c>
      <c r="F77" s="67" t="s">
        <v>917</v>
      </c>
      <c r="G77" s="24" t="s">
        <v>1088</v>
      </c>
      <c r="H77" s="16">
        <v>58</v>
      </c>
      <c r="I77" s="25">
        <v>2</v>
      </c>
      <c r="J77" s="57">
        <v>950</v>
      </c>
      <c r="K77" s="29">
        <v>500</v>
      </c>
      <c r="L77" s="24" t="s">
        <v>2019</v>
      </c>
      <c r="M77" s="24" t="s">
        <v>2014</v>
      </c>
      <c r="N77" s="1" t="s">
        <v>2013</v>
      </c>
      <c r="O77" s="15" t="s">
        <v>2082</v>
      </c>
      <c r="P77" s="15" t="s">
        <v>2442</v>
      </c>
      <c r="Q77" s="25" t="s">
        <v>2088</v>
      </c>
      <c r="R77" s="25" t="s">
        <v>2435</v>
      </c>
      <c r="S77" s="73" t="s">
        <v>2160</v>
      </c>
    </row>
    <row r="78" spans="1:19" x14ac:dyDescent="0.2">
      <c r="A78" s="3">
        <v>77</v>
      </c>
      <c r="B78" s="3" t="s">
        <v>6</v>
      </c>
      <c r="C78" s="1" t="s">
        <v>2445</v>
      </c>
      <c r="D78" s="1" t="s">
        <v>869</v>
      </c>
      <c r="E78" s="3" t="s">
        <v>818</v>
      </c>
      <c r="F78" s="67" t="s">
        <v>918</v>
      </c>
      <c r="G78" s="24" t="s">
        <v>1089</v>
      </c>
      <c r="H78" s="16">
        <v>20</v>
      </c>
      <c r="I78" s="25">
        <v>3</v>
      </c>
      <c r="J78" s="57">
        <v>750</v>
      </c>
      <c r="K78" s="29">
        <v>400</v>
      </c>
      <c r="L78" s="24" t="s">
        <v>2027</v>
      </c>
      <c r="M78" s="24" t="s">
        <v>2014</v>
      </c>
      <c r="N78" s="1" t="s">
        <v>2013</v>
      </c>
      <c r="O78" s="15" t="s">
        <v>2082</v>
      </c>
      <c r="P78" s="15" t="s">
        <v>2442</v>
      </c>
      <c r="Q78" s="25" t="s">
        <v>2088</v>
      </c>
      <c r="R78" s="25" t="s">
        <v>2436</v>
      </c>
      <c r="S78" s="73" t="s">
        <v>2161</v>
      </c>
    </row>
    <row r="79" spans="1:19" x14ac:dyDescent="0.2">
      <c r="A79" s="3">
        <v>78</v>
      </c>
      <c r="B79" s="3" t="s">
        <v>11</v>
      </c>
      <c r="C79" s="1" t="s">
        <v>2445</v>
      </c>
      <c r="D79" s="1" t="s">
        <v>869</v>
      </c>
      <c r="E79" s="3" t="s">
        <v>818</v>
      </c>
      <c r="F79" s="67" t="s">
        <v>919</v>
      </c>
      <c r="G79" s="24" t="s">
        <v>1090</v>
      </c>
      <c r="H79" s="16">
        <v>49</v>
      </c>
      <c r="I79" s="25">
        <v>4</v>
      </c>
      <c r="J79" s="57">
        <v>750</v>
      </c>
      <c r="K79" s="29">
        <v>400</v>
      </c>
      <c r="L79" s="24" t="s">
        <v>2019</v>
      </c>
      <c r="M79" s="24" t="s">
        <v>2014</v>
      </c>
      <c r="N79" s="1" t="s">
        <v>2013</v>
      </c>
      <c r="O79" s="15" t="s">
        <v>2082</v>
      </c>
      <c r="P79" s="15" t="s">
        <v>2442</v>
      </c>
      <c r="Q79" s="25" t="s">
        <v>2090</v>
      </c>
      <c r="R79" s="25" t="s">
        <v>2434</v>
      </c>
      <c r="S79" s="73" t="s">
        <v>2162</v>
      </c>
    </row>
    <row r="80" spans="1:19" x14ac:dyDescent="0.2">
      <c r="A80" s="3">
        <v>79</v>
      </c>
      <c r="B80" s="3" t="s">
        <v>2</v>
      </c>
      <c r="C80" s="1" t="s">
        <v>2445</v>
      </c>
      <c r="D80" s="1" t="s">
        <v>869</v>
      </c>
      <c r="E80" s="3" t="s">
        <v>818</v>
      </c>
      <c r="F80" s="67" t="s">
        <v>918</v>
      </c>
      <c r="G80" s="24" t="s">
        <v>1091</v>
      </c>
      <c r="H80" s="24">
        <v>25</v>
      </c>
      <c r="I80" s="25">
        <v>1</v>
      </c>
      <c r="J80" s="57">
        <v>850</v>
      </c>
      <c r="K80" s="29">
        <v>400</v>
      </c>
      <c r="L80" s="24" t="s">
        <v>2056</v>
      </c>
      <c r="M80" s="24" t="s">
        <v>2024</v>
      </c>
      <c r="N80" s="1" t="s">
        <v>2013</v>
      </c>
      <c r="O80" s="15" t="s">
        <v>2082</v>
      </c>
      <c r="P80" s="15" t="s">
        <v>2442</v>
      </c>
      <c r="Q80" s="25" t="s">
        <v>2090</v>
      </c>
      <c r="R80" s="25" t="s">
        <v>2437</v>
      </c>
      <c r="S80" s="73" t="s">
        <v>2163</v>
      </c>
    </row>
    <row r="81" spans="1:19" x14ac:dyDescent="0.2">
      <c r="A81" s="3">
        <v>80</v>
      </c>
      <c r="B81" s="3" t="s">
        <v>5</v>
      </c>
      <c r="C81" s="1" t="s">
        <v>2445</v>
      </c>
      <c r="D81" s="1" t="s">
        <v>869</v>
      </c>
      <c r="E81" s="3" t="s">
        <v>2779</v>
      </c>
      <c r="F81" s="67" t="s">
        <v>915</v>
      </c>
      <c r="G81" s="24" t="s">
        <v>1092</v>
      </c>
      <c r="H81" s="24">
        <v>31</v>
      </c>
      <c r="I81" s="25">
        <v>5</v>
      </c>
      <c r="J81" s="57">
        <v>890</v>
      </c>
      <c r="K81" s="29">
        <v>400</v>
      </c>
      <c r="L81" s="24" t="s">
        <v>2032</v>
      </c>
      <c r="M81" s="24" t="s">
        <v>2016</v>
      </c>
      <c r="N81" s="1" t="s">
        <v>2013</v>
      </c>
      <c r="O81" s="15" t="s">
        <v>2082</v>
      </c>
      <c r="P81" s="15" t="s">
        <v>2442</v>
      </c>
      <c r="Q81" s="25" t="s">
        <v>2089</v>
      </c>
      <c r="R81" s="25" t="s">
        <v>2435</v>
      </c>
      <c r="S81" s="73" t="s">
        <v>2164</v>
      </c>
    </row>
    <row r="82" spans="1:19" x14ac:dyDescent="0.2">
      <c r="A82" s="1">
        <v>81</v>
      </c>
      <c r="B82" s="1" t="s">
        <v>7</v>
      </c>
      <c r="C82" s="1" t="s">
        <v>2445</v>
      </c>
      <c r="D82" s="1" t="s">
        <v>869</v>
      </c>
      <c r="E82" s="1" t="s">
        <v>818</v>
      </c>
      <c r="F82" s="66" t="s">
        <v>920</v>
      </c>
      <c r="G82" s="24" t="s">
        <v>1093</v>
      </c>
      <c r="H82" s="24">
        <v>56</v>
      </c>
      <c r="I82" s="25">
        <v>3</v>
      </c>
      <c r="J82" s="56">
        <v>950</v>
      </c>
      <c r="K82" s="15">
        <v>500</v>
      </c>
      <c r="L82" s="24" t="s">
        <v>2049</v>
      </c>
      <c r="M82" s="24" t="s">
        <v>2016</v>
      </c>
      <c r="N82" s="1" t="s">
        <v>2013</v>
      </c>
      <c r="O82" s="15" t="s">
        <v>2082</v>
      </c>
      <c r="P82" s="15" t="s">
        <v>2442</v>
      </c>
      <c r="Q82" s="25" t="s">
        <v>2087</v>
      </c>
      <c r="R82" s="25" t="s">
        <v>2434</v>
      </c>
      <c r="S82" s="73" t="s">
        <v>2165</v>
      </c>
    </row>
    <row r="83" spans="1:19" x14ac:dyDescent="0.2">
      <c r="A83" s="3">
        <v>82</v>
      </c>
      <c r="B83" s="3" t="s">
        <v>12</v>
      </c>
      <c r="C83" s="1" t="s">
        <v>2445</v>
      </c>
      <c r="D83" s="1" t="s">
        <v>869</v>
      </c>
      <c r="E83" s="3" t="s">
        <v>824</v>
      </c>
      <c r="F83" s="67" t="s">
        <v>921</v>
      </c>
      <c r="G83" s="24" t="s">
        <v>1094</v>
      </c>
      <c r="H83" s="24">
        <v>42</v>
      </c>
      <c r="I83" s="25">
        <v>2</v>
      </c>
      <c r="J83" s="57">
        <v>890</v>
      </c>
      <c r="K83" s="29">
        <v>400</v>
      </c>
      <c r="L83" s="24" t="s">
        <v>2058</v>
      </c>
      <c r="M83" s="24" t="s">
        <v>2020</v>
      </c>
      <c r="N83" s="1" t="s">
        <v>2013</v>
      </c>
      <c r="O83" s="15" t="s">
        <v>2082</v>
      </c>
      <c r="P83" s="15" t="s">
        <v>2442</v>
      </c>
      <c r="Q83" s="25" t="s">
        <v>2086</v>
      </c>
      <c r="R83" s="25" t="s">
        <v>2436</v>
      </c>
      <c r="S83" s="73" t="s">
        <v>2166</v>
      </c>
    </row>
    <row r="84" spans="1:19" x14ac:dyDescent="0.2">
      <c r="A84" s="3">
        <v>83</v>
      </c>
      <c r="B84" s="3" t="s">
        <v>13</v>
      </c>
      <c r="C84" s="1" t="s">
        <v>2445</v>
      </c>
      <c r="D84" s="1" t="s">
        <v>869</v>
      </c>
      <c r="E84" s="3" t="s">
        <v>818</v>
      </c>
      <c r="F84" s="67" t="s">
        <v>922</v>
      </c>
      <c r="G84" s="24" t="s">
        <v>1095</v>
      </c>
      <c r="H84" s="24">
        <v>34</v>
      </c>
      <c r="I84" s="25">
        <v>4</v>
      </c>
      <c r="J84" s="57">
        <v>940</v>
      </c>
      <c r="K84" s="29">
        <v>450</v>
      </c>
      <c r="L84" s="24" t="s">
        <v>2021</v>
      </c>
      <c r="M84" s="24" t="s">
        <v>2020</v>
      </c>
      <c r="N84" s="1" t="s">
        <v>2013</v>
      </c>
      <c r="O84" s="15" t="s">
        <v>2082</v>
      </c>
      <c r="P84" s="15" t="s">
        <v>2442</v>
      </c>
      <c r="Q84" s="25" t="s">
        <v>2090</v>
      </c>
      <c r="R84" s="25" t="s">
        <v>2437</v>
      </c>
      <c r="S84" s="73" t="s">
        <v>2167</v>
      </c>
    </row>
    <row r="85" spans="1:19" x14ac:dyDescent="0.2">
      <c r="A85" s="3">
        <v>84</v>
      </c>
      <c r="B85" s="3" t="s">
        <v>5</v>
      </c>
      <c r="C85" s="1" t="s">
        <v>2445</v>
      </c>
      <c r="D85" s="1" t="s">
        <v>869</v>
      </c>
      <c r="E85" s="3" t="s">
        <v>824</v>
      </c>
      <c r="F85" s="67" t="s">
        <v>923</v>
      </c>
      <c r="G85" s="24" t="s">
        <v>1096</v>
      </c>
      <c r="H85" s="24">
        <v>23</v>
      </c>
      <c r="I85" s="25">
        <v>1</v>
      </c>
      <c r="J85" s="57">
        <v>890</v>
      </c>
      <c r="K85" s="29">
        <v>400</v>
      </c>
      <c r="L85" s="24" t="s">
        <v>2039</v>
      </c>
      <c r="M85" s="24" t="s">
        <v>2014</v>
      </c>
      <c r="N85" s="1" t="s">
        <v>2013</v>
      </c>
      <c r="O85" s="15" t="s">
        <v>2082</v>
      </c>
      <c r="P85" s="15" t="s">
        <v>2442</v>
      </c>
      <c r="Q85" s="25" t="s">
        <v>2090</v>
      </c>
      <c r="R85" s="25" t="s">
        <v>2435</v>
      </c>
      <c r="S85" s="73" t="s">
        <v>2168</v>
      </c>
    </row>
    <row r="86" spans="1:19" x14ac:dyDescent="0.2">
      <c r="A86" s="3">
        <v>85</v>
      </c>
      <c r="B86" s="3" t="s">
        <v>12</v>
      </c>
      <c r="C86" s="1" t="s">
        <v>2445</v>
      </c>
      <c r="D86" s="1" t="s">
        <v>869</v>
      </c>
      <c r="E86" s="3" t="s">
        <v>817</v>
      </c>
      <c r="F86" s="67" t="s">
        <v>924</v>
      </c>
      <c r="G86" s="24" t="s">
        <v>1097</v>
      </c>
      <c r="H86" s="24">
        <v>56</v>
      </c>
      <c r="I86" s="25">
        <v>5</v>
      </c>
      <c r="J86" s="57">
        <v>890</v>
      </c>
      <c r="K86" s="29">
        <v>400</v>
      </c>
      <c r="L86" s="24" t="s">
        <v>2056</v>
      </c>
      <c r="M86" s="24" t="s">
        <v>2024</v>
      </c>
      <c r="N86" s="1" t="s">
        <v>2013</v>
      </c>
      <c r="O86" s="15" t="s">
        <v>2082</v>
      </c>
      <c r="P86" s="15" t="s">
        <v>2442</v>
      </c>
      <c r="Q86" s="25" t="s">
        <v>2090</v>
      </c>
      <c r="R86" s="25" t="s">
        <v>2434</v>
      </c>
      <c r="S86" s="73" t="s">
        <v>2108</v>
      </c>
    </row>
    <row r="87" spans="1:19" x14ac:dyDescent="0.2">
      <c r="A87" s="3">
        <v>86</v>
      </c>
      <c r="B87" s="3" t="s">
        <v>8</v>
      </c>
      <c r="C87" s="1" t="s">
        <v>2445</v>
      </c>
      <c r="D87" s="1" t="s">
        <v>869</v>
      </c>
      <c r="E87" s="3" t="s">
        <v>824</v>
      </c>
      <c r="F87" s="67" t="s">
        <v>925</v>
      </c>
      <c r="G87" s="24" t="s">
        <v>1098</v>
      </c>
      <c r="H87" s="24">
        <v>24</v>
      </c>
      <c r="I87" s="25">
        <v>2</v>
      </c>
      <c r="J87" s="57">
        <v>642</v>
      </c>
      <c r="K87" s="29">
        <v>320</v>
      </c>
      <c r="L87" s="24" t="s">
        <v>2033</v>
      </c>
      <c r="M87" s="24" t="s">
        <v>2016</v>
      </c>
      <c r="N87" s="1" t="s">
        <v>2013</v>
      </c>
      <c r="O87" s="15" t="s">
        <v>2082</v>
      </c>
      <c r="P87" s="15" t="s">
        <v>2442</v>
      </c>
      <c r="Q87" s="25" t="s">
        <v>2087</v>
      </c>
      <c r="R87" s="25" t="s">
        <v>2436</v>
      </c>
      <c r="S87" s="73" t="s">
        <v>2165</v>
      </c>
    </row>
    <row r="88" spans="1:19" x14ac:dyDescent="0.2">
      <c r="A88" s="3">
        <v>87</v>
      </c>
      <c r="B88" s="3" t="s">
        <v>8</v>
      </c>
      <c r="C88" s="1" t="s">
        <v>2445</v>
      </c>
      <c r="D88" s="1" t="s">
        <v>869</v>
      </c>
      <c r="E88" s="3" t="s">
        <v>824</v>
      </c>
      <c r="F88" s="69" t="s">
        <v>904</v>
      </c>
      <c r="G88" s="24" t="s">
        <v>1099</v>
      </c>
      <c r="H88" s="24">
        <v>64</v>
      </c>
      <c r="I88" s="25">
        <v>3</v>
      </c>
      <c r="J88" s="57">
        <v>642</v>
      </c>
      <c r="K88" s="29">
        <v>320</v>
      </c>
      <c r="L88" s="24" t="s">
        <v>2061</v>
      </c>
      <c r="M88" s="24" t="s">
        <v>2014</v>
      </c>
      <c r="N88" s="1" t="s">
        <v>2013</v>
      </c>
      <c r="O88" s="15" t="s">
        <v>2082</v>
      </c>
      <c r="P88" s="15" t="s">
        <v>2442</v>
      </c>
      <c r="Q88" s="25" t="s">
        <v>2090</v>
      </c>
      <c r="R88" s="25" t="s">
        <v>2437</v>
      </c>
      <c r="S88" s="73" t="s">
        <v>2169</v>
      </c>
    </row>
    <row r="89" spans="1:19" x14ac:dyDescent="0.2">
      <c r="A89" s="1">
        <v>88</v>
      </c>
      <c r="B89" s="1" t="s">
        <v>5</v>
      </c>
      <c r="C89" s="1" t="s">
        <v>2445</v>
      </c>
      <c r="D89" s="1" t="s">
        <v>869</v>
      </c>
      <c r="E89" s="1" t="s">
        <v>824</v>
      </c>
      <c r="F89" s="66" t="s">
        <v>926</v>
      </c>
      <c r="G89" s="24" t="s">
        <v>1100</v>
      </c>
      <c r="H89" s="24">
        <v>64</v>
      </c>
      <c r="I89" s="25">
        <v>4</v>
      </c>
      <c r="J89" s="56">
        <v>890</v>
      </c>
      <c r="K89" s="15">
        <v>400</v>
      </c>
      <c r="L89" s="24" t="s">
        <v>2028</v>
      </c>
      <c r="M89" s="24" t="s">
        <v>2024</v>
      </c>
      <c r="N89" s="1" t="s">
        <v>2013</v>
      </c>
      <c r="O89" s="15" t="s">
        <v>2082</v>
      </c>
      <c r="P89" s="15" t="s">
        <v>2442</v>
      </c>
      <c r="Q89" s="25" t="s">
        <v>2084</v>
      </c>
      <c r="R89" s="25" t="s">
        <v>2435</v>
      </c>
      <c r="S89" s="73" t="s">
        <v>2149</v>
      </c>
    </row>
    <row r="90" spans="1:19" x14ac:dyDescent="0.2">
      <c r="A90" s="1">
        <v>89</v>
      </c>
      <c r="B90" s="1" t="s">
        <v>7</v>
      </c>
      <c r="C90" s="1" t="s">
        <v>2445</v>
      </c>
      <c r="D90" s="1" t="s">
        <v>869</v>
      </c>
      <c r="E90" s="1" t="s">
        <v>2780</v>
      </c>
      <c r="F90" s="66" t="s">
        <v>927</v>
      </c>
      <c r="G90" s="24" t="s">
        <v>1101</v>
      </c>
      <c r="H90" s="24">
        <v>23</v>
      </c>
      <c r="I90" s="25">
        <v>1</v>
      </c>
      <c r="J90" s="56">
        <v>990</v>
      </c>
      <c r="K90" s="15">
        <v>400</v>
      </c>
      <c r="L90" s="24" t="s">
        <v>2023</v>
      </c>
      <c r="M90" s="24" t="s">
        <v>2014</v>
      </c>
      <c r="N90" s="1" t="s">
        <v>2013</v>
      </c>
      <c r="O90" s="15" t="s">
        <v>2082</v>
      </c>
      <c r="P90" s="15" t="s">
        <v>2442</v>
      </c>
      <c r="Q90" s="25" t="s">
        <v>2086</v>
      </c>
      <c r="R90" s="25" t="s">
        <v>2436</v>
      </c>
      <c r="S90" s="73" t="s">
        <v>2170</v>
      </c>
    </row>
    <row r="91" spans="1:19" x14ac:dyDescent="0.2">
      <c r="A91" s="3">
        <v>90</v>
      </c>
      <c r="B91" s="3" t="s">
        <v>5</v>
      </c>
      <c r="C91" s="1" t="s">
        <v>2445</v>
      </c>
      <c r="D91" s="1" t="s">
        <v>869</v>
      </c>
      <c r="E91" s="3" t="s">
        <v>818</v>
      </c>
      <c r="F91" s="66" t="s">
        <v>877</v>
      </c>
      <c r="G91" s="24" t="s">
        <v>1102</v>
      </c>
      <c r="H91" s="24">
        <v>19</v>
      </c>
      <c r="I91" s="25">
        <v>5</v>
      </c>
      <c r="J91" s="57">
        <v>800</v>
      </c>
      <c r="K91" s="29">
        <v>400</v>
      </c>
      <c r="L91" s="24" t="s">
        <v>2021</v>
      </c>
      <c r="M91" s="24" t="s">
        <v>2020</v>
      </c>
      <c r="N91" s="1" t="s">
        <v>2013</v>
      </c>
      <c r="O91" s="15" t="s">
        <v>2082</v>
      </c>
      <c r="P91" s="15" t="s">
        <v>2442</v>
      </c>
      <c r="Q91" s="25" t="s">
        <v>2089</v>
      </c>
      <c r="R91" s="25" t="s">
        <v>2434</v>
      </c>
      <c r="S91" s="73" t="s">
        <v>2139</v>
      </c>
    </row>
    <row r="92" spans="1:19" x14ac:dyDescent="0.2">
      <c r="A92" s="3">
        <v>91</v>
      </c>
      <c r="B92" s="3" t="s">
        <v>2</v>
      </c>
      <c r="C92" s="1" t="s">
        <v>2445</v>
      </c>
      <c r="D92" s="1" t="s">
        <v>869</v>
      </c>
      <c r="E92" s="3" t="s">
        <v>817</v>
      </c>
      <c r="F92" s="66" t="s">
        <v>878</v>
      </c>
      <c r="G92" s="24" t="s">
        <v>1103</v>
      </c>
      <c r="H92" s="24">
        <v>21</v>
      </c>
      <c r="I92" s="25">
        <v>3</v>
      </c>
      <c r="J92" s="57">
        <v>890</v>
      </c>
      <c r="K92" s="29">
        <v>350</v>
      </c>
      <c r="L92" s="24" t="s">
        <v>2040</v>
      </c>
      <c r="M92" s="24" t="s">
        <v>2014</v>
      </c>
      <c r="N92" s="1" t="s">
        <v>2013</v>
      </c>
      <c r="O92" s="15" t="s">
        <v>2082</v>
      </c>
      <c r="P92" s="15" t="s">
        <v>2442</v>
      </c>
      <c r="Q92" s="25" t="s">
        <v>2087</v>
      </c>
      <c r="R92" s="25" t="s">
        <v>2437</v>
      </c>
      <c r="S92" s="73" t="s">
        <v>2171</v>
      </c>
    </row>
    <row r="93" spans="1:19" x14ac:dyDescent="0.2">
      <c r="A93" s="1">
        <v>92</v>
      </c>
      <c r="B93" s="1" t="s">
        <v>13</v>
      </c>
      <c r="C93" s="1" t="s">
        <v>2445</v>
      </c>
      <c r="D93" s="1" t="s">
        <v>869</v>
      </c>
      <c r="E93" s="1" t="s">
        <v>824</v>
      </c>
      <c r="F93" s="66" t="s">
        <v>2754</v>
      </c>
      <c r="G93" s="24" t="s">
        <v>1104</v>
      </c>
      <c r="H93" s="24">
        <v>56</v>
      </c>
      <c r="I93" s="25">
        <v>2</v>
      </c>
      <c r="J93" s="56">
        <v>940</v>
      </c>
      <c r="K93" s="15">
        <v>420</v>
      </c>
      <c r="L93" s="24" t="s">
        <v>2021</v>
      </c>
      <c r="M93" s="24" t="s">
        <v>2020</v>
      </c>
      <c r="N93" s="1" t="s">
        <v>2013</v>
      </c>
      <c r="O93" s="15" t="s">
        <v>2082</v>
      </c>
      <c r="P93" s="15" t="s">
        <v>2442</v>
      </c>
      <c r="Q93" s="25" t="s">
        <v>2086</v>
      </c>
      <c r="R93" s="25" t="s">
        <v>2435</v>
      </c>
      <c r="S93" s="73" t="s">
        <v>2172</v>
      </c>
    </row>
    <row r="94" spans="1:19" x14ac:dyDescent="0.2">
      <c r="A94" s="3">
        <v>93</v>
      </c>
      <c r="B94" s="3" t="s">
        <v>14</v>
      </c>
      <c r="C94" s="1" t="s">
        <v>2445</v>
      </c>
      <c r="D94" s="1" t="s">
        <v>869</v>
      </c>
      <c r="E94" s="3" t="s">
        <v>824</v>
      </c>
      <c r="F94" s="66" t="s">
        <v>880</v>
      </c>
      <c r="G94" s="24" t="s">
        <v>1105</v>
      </c>
      <c r="H94" s="24">
        <v>34</v>
      </c>
      <c r="I94" s="25">
        <v>4</v>
      </c>
      <c r="J94" s="57">
        <v>375</v>
      </c>
      <c r="K94" s="29">
        <v>150</v>
      </c>
      <c r="L94" s="24" t="s">
        <v>2025</v>
      </c>
      <c r="M94" s="24" t="s">
        <v>2024</v>
      </c>
      <c r="N94" s="1" t="s">
        <v>2013</v>
      </c>
      <c r="O94" s="15" t="s">
        <v>2082</v>
      </c>
      <c r="P94" s="15" t="s">
        <v>2442</v>
      </c>
      <c r="Q94" s="25" t="s">
        <v>2083</v>
      </c>
      <c r="R94" s="25" t="s">
        <v>2434</v>
      </c>
      <c r="S94" s="73" t="s">
        <v>2173</v>
      </c>
    </row>
    <row r="95" spans="1:19" x14ac:dyDescent="0.2">
      <c r="A95" s="1">
        <v>94</v>
      </c>
      <c r="B95" s="1" t="s">
        <v>5</v>
      </c>
      <c r="C95" s="1" t="s">
        <v>2445</v>
      </c>
      <c r="D95" s="1" t="s">
        <v>869</v>
      </c>
      <c r="E95" s="1" t="s">
        <v>817</v>
      </c>
      <c r="F95" s="66" t="s">
        <v>881</v>
      </c>
      <c r="G95" s="24" t="s">
        <v>1106</v>
      </c>
      <c r="H95" s="24">
        <v>64</v>
      </c>
      <c r="I95" s="25">
        <v>1</v>
      </c>
      <c r="J95" s="56">
        <v>890</v>
      </c>
      <c r="K95" s="15">
        <v>350</v>
      </c>
      <c r="L95" s="24" t="s">
        <v>2032</v>
      </c>
      <c r="M95" s="24" t="s">
        <v>2020</v>
      </c>
      <c r="N95" s="1" t="s">
        <v>2013</v>
      </c>
      <c r="O95" s="15" t="s">
        <v>2082</v>
      </c>
      <c r="P95" s="15" t="s">
        <v>2442</v>
      </c>
      <c r="Q95" s="25" t="s">
        <v>2086</v>
      </c>
      <c r="R95" s="25" t="s">
        <v>2436</v>
      </c>
      <c r="S95" s="73" t="s">
        <v>2174</v>
      </c>
    </row>
    <row r="96" spans="1:19" x14ac:dyDescent="0.2">
      <c r="A96" s="1">
        <v>95</v>
      </c>
      <c r="B96" s="1" t="s">
        <v>0</v>
      </c>
      <c r="C96" s="1" t="s">
        <v>2445</v>
      </c>
      <c r="D96" s="1" t="s">
        <v>869</v>
      </c>
      <c r="E96" s="1" t="s">
        <v>824</v>
      </c>
      <c r="F96" s="66" t="s">
        <v>882</v>
      </c>
      <c r="G96" s="24" t="s">
        <v>1107</v>
      </c>
      <c r="H96" s="24">
        <v>78</v>
      </c>
      <c r="I96" s="25">
        <v>5</v>
      </c>
      <c r="J96" s="56">
        <v>990</v>
      </c>
      <c r="K96" s="15">
        <v>450</v>
      </c>
      <c r="L96" s="24" t="s">
        <v>2033</v>
      </c>
      <c r="M96" s="24" t="s">
        <v>2016</v>
      </c>
      <c r="N96" s="1" t="s">
        <v>2013</v>
      </c>
      <c r="O96" s="15" t="s">
        <v>2082</v>
      </c>
      <c r="P96" s="15" t="s">
        <v>2442</v>
      </c>
      <c r="Q96" s="25" t="s">
        <v>2083</v>
      </c>
      <c r="R96" s="25" t="s">
        <v>2437</v>
      </c>
      <c r="S96" s="73" t="s">
        <v>2175</v>
      </c>
    </row>
    <row r="97" spans="1:19" x14ac:dyDescent="0.2">
      <c r="A97" s="1">
        <v>96</v>
      </c>
      <c r="B97" s="1" t="s">
        <v>5</v>
      </c>
      <c r="C97" s="1" t="s">
        <v>2445</v>
      </c>
      <c r="D97" s="1" t="s">
        <v>869</v>
      </c>
      <c r="E97" s="1" t="s">
        <v>824</v>
      </c>
      <c r="F97" s="66" t="s">
        <v>881</v>
      </c>
      <c r="G97" s="24" t="s">
        <v>1108</v>
      </c>
      <c r="H97" s="24">
        <v>54</v>
      </c>
      <c r="I97" s="25">
        <v>2</v>
      </c>
      <c r="J97" s="56">
        <v>1040</v>
      </c>
      <c r="K97" s="15">
        <v>500</v>
      </c>
      <c r="L97" s="24" t="s">
        <v>2035</v>
      </c>
      <c r="M97" s="24" t="s">
        <v>2016</v>
      </c>
      <c r="N97" s="1" t="s">
        <v>2013</v>
      </c>
      <c r="O97" s="15" t="s">
        <v>2082</v>
      </c>
      <c r="P97" s="15" t="s">
        <v>2442</v>
      </c>
      <c r="Q97" s="25" t="s">
        <v>2088</v>
      </c>
      <c r="R97" s="25" t="s">
        <v>2435</v>
      </c>
      <c r="S97" s="73" t="s">
        <v>2176</v>
      </c>
    </row>
    <row r="98" spans="1:19" x14ac:dyDescent="0.2">
      <c r="A98" s="1">
        <v>97</v>
      </c>
      <c r="B98" s="1" t="s">
        <v>2</v>
      </c>
      <c r="C98" s="1" t="s">
        <v>2445</v>
      </c>
      <c r="D98" s="1" t="s">
        <v>869</v>
      </c>
      <c r="E98" s="1" t="s">
        <v>820</v>
      </c>
      <c r="F98" s="66" t="s">
        <v>883</v>
      </c>
      <c r="G98" s="24" t="s">
        <v>1109</v>
      </c>
      <c r="H98" s="24">
        <v>32</v>
      </c>
      <c r="I98" s="25">
        <v>3</v>
      </c>
      <c r="J98" s="56">
        <v>970</v>
      </c>
      <c r="K98" s="15">
        <v>500</v>
      </c>
      <c r="L98" s="24" t="s">
        <v>2041</v>
      </c>
      <c r="M98" s="24" t="s">
        <v>2024</v>
      </c>
      <c r="N98" s="1" t="s">
        <v>2013</v>
      </c>
      <c r="O98" s="15" t="s">
        <v>2763</v>
      </c>
      <c r="P98" s="15" t="s">
        <v>2442</v>
      </c>
      <c r="Q98" s="25" t="s">
        <v>2087</v>
      </c>
      <c r="R98" s="25" t="s">
        <v>2434</v>
      </c>
      <c r="S98" s="73" t="s">
        <v>2122</v>
      </c>
    </row>
    <row r="99" spans="1:19" x14ac:dyDescent="0.2">
      <c r="A99" s="1">
        <v>98</v>
      </c>
      <c r="B99" s="1" t="s">
        <v>13</v>
      </c>
      <c r="C99" s="1" t="s">
        <v>2445</v>
      </c>
      <c r="D99" s="1" t="s">
        <v>869</v>
      </c>
      <c r="E99" s="1" t="s">
        <v>824</v>
      </c>
      <c r="F99" s="66" t="s">
        <v>884</v>
      </c>
      <c r="G99" s="24" t="s">
        <v>1110</v>
      </c>
      <c r="H99" s="16">
        <v>24</v>
      </c>
      <c r="I99" s="25">
        <v>4</v>
      </c>
      <c r="J99" s="56">
        <v>940</v>
      </c>
      <c r="K99" s="15">
        <v>420</v>
      </c>
      <c r="L99" s="24" t="s">
        <v>2048</v>
      </c>
      <c r="M99" s="24" t="s">
        <v>2014</v>
      </c>
      <c r="N99" s="1" t="s">
        <v>2013</v>
      </c>
      <c r="O99" s="15" t="s">
        <v>2082</v>
      </c>
      <c r="P99" s="15" t="s">
        <v>2442</v>
      </c>
      <c r="Q99" s="25" t="s">
        <v>2086</v>
      </c>
      <c r="R99" s="25" t="s">
        <v>2436</v>
      </c>
      <c r="S99" s="73" t="s">
        <v>2136</v>
      </c>
    </row>
    <row r="100" spans="1:19" x14ac:dyDescent="0.2">
      <c r="A100" s="1">
        <v>99</v>
      </c>
      <c r="B100" s="1" t="s">
        <v>2</v>
      </c>
      <c r="C100" s="1" t="s">
        <v>2445</v>
      </c>
      <c r="D100" s="1" t="s">
        <v>869</v>
      </c>
      <c r="E100" s="1" t="s">
        <v>824</v>
      </c>
      <c r="F100" s="66" t="s">
        <v>885</v>
      </c>
      <c r="G100" s="24" t="s">
        <v>1111</v>
      </c>
      <c r="H100" s="16">
        <v>57</v>
      </c>
      <c r="I100" s="25">
        <v>1</v>
      </c>
      <c r="J100" s="56">
        <v>890</v>
      </c>
      <c r="K100" s="15">
        <v>400</v>
      </c>
      <c r="L100" s="24" t="s">
        <v>2047</v>
      </c>
      <c r="M100" s="24" t="s">
        <v>2024</v>
      </c>
      <c r="N100" s="1" t="s">
        <v>2013</v>
      </c>
      <c r="O100" s="15" t="s">
        <v>2082</v>
      </c>
      <c r="P100" s="15" t="s">
        <v>2442</v>
      </c>
      <c r="Q100" s="25" t="s">
        <v>2083</v>
      </c>
      <c r="R100" s="25" t="s">
        <v>2437</v>
      </c>
      <c r="S100" s="73" t="s">
        <v>2177</v>
      </c>
    </row>
    <row r="101" spans="1:19" x14ac:dyDescent="0.2">
      <c r="A101" s="1">
        <v>100</v>
      </c>
      <c r="B101" s="1" t="s">
        <v>13</v>
      </c>
      <c r="C101" s="1" t="s">
        <v>2445</v>
      </c>
      <c r="D101" s="1" t="s">
        <v>869</v>
      </c>
      <c r="E101" s="1" t="s">
        <v>824</v>
      </c>
      <c r="F101" s="66" t="s">
        <v>886</v>
      </c>
      <c r="G101" s="24" t="s">
        <v>1112</v>
      </c>
      <c r="H101" s="16">
        <v>35</v>
      </c>
      <c r="I101" s="25">
        <v>5</v>
      </c>
      <c r="J101" s="56">
        <v>672</v>
      </c>
      <c r="K101" s="15">
        <v>380</v>
      </c>
      <c r="L101" s="24" t="s">
        <v>2036</v>
      </c>
      <c r="M101" s="24" t="s">
        <v>2014</v>
      </c>
      <c r="N101" s="1" t="s">
        <v>2013</v>
      </c>
      <c r="O101" s="15" t="s">
        <v>2082</v>
      </c>
      <c r="P101" s="15" t="s">
        <v>2442</v>
      </c>
      <c r="Q101" s="25" t="s">
        <v>2088</v>
      </c>
      <c r="R101" s="25" t="s">
        <v>2435</v>
      </c>
      <c r="S101" s="73" t="s">
        <v>2104</v>
      </c>
    </row>
    <row r="102" spans="1:19" x14ac:dyDescent="0.2">
      <c r="A102" s="1">
        <v>101</v>
      </c>
      <c r="B102" s="1" t="s">
        <v>13</v>
      </c>
      <c r="C102" s="1" t="s">
        <v>2445</v>
      </c>
      <c r="D102" s="1" t="s">
        <v>869</v>
      </c>
      <c r="E102" s="1" t="s">
        <v>817</v>
      </c>
      <c r="F102" s="66" t="s">
        <v>878</v>
      </c>
      <c r="G102" s="24" t="s">
        <v>1113</v>
      </c>
      <c r="H102" s="16">
        <v>40</v>
      </c>
      <c r="I102" s="25">
        <v>3</v>
      </c>
      <c r="J102" s="56">
        <v>672</v>
      </c>
      <c r="K102" s="15">
        <v>330</v>
      </c>
      <c r="L102" s="24" t="s">
        <v>2029</v>
      </c>
      <c r="M102" s="24" t="s">
        <v>2016</v>
      </c>
      <c r="N102" s="1" t="s">
        <v>2013</v>
      </c>
      <c r="O102" s="15" t="s">
        <v>2082</v>
      </c>
      <c r="P102" s="15" t="s">
        <v>2442</v>
      </c>
      <c r="Q102" s="25" t="s">
        <v>2088</v>
      </c>
      <c r="R102" s="25" t="s">
        <v>2436</v>
      </c>
      <c r="S102" s="73" t="s">
        <v>2178</v>
      </c>
    </row>
    <row r="103" spans="1:19" x14ac:dyDescent="0.2">
      <c r="A103" s="1">
        <v>102</v>
      </c>
      <c r="B103" s="1" t="s">
        <v>13</v>
      </c>
      <c r="C103" s="1" t="s">
        <v>2445</v>
      </c>
      <c r="D103" s="1" t="s">
        <v>869</v>
      </c>
      <c r="E103" s="1" t="s">
        <v>818</v>
      </c>
      <c r="F103" s="67" t="s">
        <v>887</v>
      </c>
      <c r="G103" s="24" t="s">
        <v>1114</v>
      </c>
      <c r="H103" s="16">
        <v>21</v>
      </c>
      <c r="I103" s="25">
        <v>2</v>
      </c>
      <c r="J103" s="56">
        <v>672</v>
      </c>
      <c r="K103" s="15">
        <v>380</v>
      </c>
      <c r="L103" s="24" t="s">
        <v>2041</v>
      </c>
      <c r="M103" s="24" t="s">
        <v>2024</v>
      </c>
      <c r="N103" s="1" t="s">
        <v>2013</v>
      </c>
      <c r="O103" s="15" t="s">
        <v>2082</v>
      </c>
      <c r="P103" s="15" t="s">
        <v>2442</v>
      </c>
      <c r="Q103" s="25" t="s">
        <v>2086</v>
      </c>
      <c r="R103" s="25" t="s">
        <v>2434</v>
      </c>
      <c r="S103" s="73" t="s">
        <v>2179</v>
      </c>
    </row>
    <row r="104" spans="1:19" x14ac:dyDescent="0.2">
      <c r="A104" s="1">
        <v>103</v>
      </c>
      <c r="B104" s="1" t="s">
        <v>0</v>
      </c>
      <c r="C104" s="1" t="s">
        <v>2445</v>
      </c>
      <c r="D104" s="1" t="s">
        <v>869</v>
      </c>
      <c r="E104" s="1" t="s">
        <v>824</v>
      </c>
      <c r="F104" s="66" t="s">
        <v>888</v>
      </c>
      <c r="G104" s="24" t="s">
        <v>1115</v>
      </c>
      <c r="H104" s="16">
        <v>59</v>
      </c>
      <c r="I104" s="25">
        <v>4</v>
      </c>
      <c r="J104" s="56">
        <v>990</v>
      </c>
      <c r="K104" s="15">
        <v>500</v>
      </c>
      <c r="L104" s="24" t="s">
        <v>2046</v>
      </c>
      <c r="M104" s="24" t="s">
        <v>2016</v>
      </c>
      <c r="N104" s="1" t="s">
        <v>2013</v>
      </c>
      <c r="O104" s="15" t="s">
        <v>2082</v>
      </c>
      <c r="P104" s="15" t="s">
        <v>2442</v>
      </c>
      <c r="Q104" s="25" t="s">
        <v>2088</v>
      </c>
      <c r="R104" s="25" t="s">
        <v>2437</v>
      </c>
      <c r="S104" s="73" t="s">
        <v>2144</v>
      </c>
    </row>
    <row r="105" spans="1:19" x14ac:dyDescent="0.2">
      <c r="A105" s="1">
        <v>104</v>
      </c>
      <c r="B105" s="1" t="s">
        <v>13</v>
      </c>
      <c r="C105" s="1" t="s">
        <v>2445</v>
      </c>
      <c r="D105" s="1" t="s">
        <v>869</v>
      </c>
      <c r="E105" s="1" t="s">
        <v>818</v>
      </c>
      <c r="F105" s="67" t="s">
        <v>889</v>
      </c>
      <c r="G105" s="24" t="s">
        <v>1116</v>
      </c>
      <c r="H105" s="16">
        <v>32</v>
      </c>
      <c r="I105" s="25">
        <v>1</v>
      </c>
      <c r="J105" s="56">
        <v>790</v>
      </c>
      <c r="K105" s="15">
        <v>380</v>
      </c>
      <c r="L105" s="24" t="s">
        <v>2032</v>
      </c>
      <c r="M105" s="24" t="s">
        <v>2016</v>
      </c>
      <c r="N105" s="1" t="s">
        <v>2013</v>
      </c>
      <c r="O105" s="15" t="s">
        <v>2082</v>
      </c>
      <c r="P105" s="15" t="s">
        <v>2442</v>
      </c>
      <c r="Q105" s="25" t="s">
        <v>2086</v>
      </c>
      <c r="R105" s="25" t="s">
        <v>2435</v>
      </c>
      <c r="S105" s="73" t="s">
        <v>2180</v>
      </c>
    </row>
    <row r="106" spans="1:19" x14ac:dyDescent="0.2">
      <c r="A106" s="1">
        <v>105</v>
      </c>
      <c r="B106" s="1" t="s">
        <v>5</v>
      </c>
      <c r="C106" s="1" t="s">
        <v>2445</v>
      </c>
      <c r="D106" s="1" t="s">
        <v>869</v>
      </c>
      <c r="E106" s="1" t="s">
        <v>822</v>
      </c>
      <c r="F106" s="67" t="s">
        <v>890</v>
      </c>
      <c r="G106" s="24" t="s">
        <v>1117</v>
      </c>
      <c r="H106" s="16">
        <v>46</v>
      </c>
      <c r="I106" s="25">
        <v>5</v>
      </c>
      <c r="J106" s="56">
        <v>890</v>
      </c>
      <c r="K106" s="15">
        <v>350</v>
      </c>
      <c r="L106" s="24" t="s">
        <v>2043</v>
      </c>
      <c r="M106" s="24" t="s">
        <v>2016</v>
      </c>
      <c r="N106" s="1" t="s">
        <v>2013</v>
      </c>
      <c r="O106" s="15" t="s">
        <v>2082</v>
      </c>
      <c r="P106" s="15" t="s">
        <v>2442</v>
      </c>
      <c r="Q106" s="25" t="s">
        <v>2087</v>
      </c>
      <c r="R106" s="25" t="s">
        <v>2434</v>
      </c>
      <c r="S106" s="73" t="s">
        <v>2181</v>
      </c>
    </row>
    <row r="107" spans="1:19" x14ac:dyDescent="0.2">
      <c r="A107" s="1">
        <v>106</v>
      </c>
      <c r="B107" s="1" t="s">
        <v>7</v>
      </c>
      <c r="C107" s="1" t="s">
        <v>2445</v>
      </c>
      <c r="D107" s="1" t="s">
        <v>869</v>
      </c>
      <c r="E107" s="1" t="s">
        <v>15</v>
      </c>
      <c r="F107" s="66" t="s">
        <v>891</v>
      </c>
      <c r="G107" s="24" t="s">
        <v>1118</v>
      </c>
      <c r="H107" s="16">
        <v>54</v>
      </c>
      <c r="I107" s="25">
        <v>2</v>
      </c>
      <c r="J107" s="56">
        <v>990</v>
      </c>
      <c r="K107" s="15">
        <v>400</v>
      </c>
      <c r="L107" s="24" t="s">
        <v>2040</v>
      </c>
      <c r="M107" s="24" t="s">
        <v>2020</v>
      </c>
      <c r="N107" s="1" t="s">
        <v>2013</v>
      </c>
      <c r="O107" s="15" t="s">
        <v>2082</v>
      </c>
      <c r="P107" s="15" t="s">
        <v>2442</v>
      </c>
      <c r="Q107" s="25" t="s">
        <v>2084</v>
      </c>
      <c r="R107" s="25" t="s">
        <v>2436</v>
      </c>
      <c r="S107" s="73" t="s">
        <v>2182</v>
      </c>
    </row>
    <row r="108" spans="1:19" x14ac:dyDescent="0.2">
      <c r="A108" s="1">
        <v>107</v>
      </c>
      <c r="B108" s="1" t="s">
        <v>0</v>
      </c>
      <c r="C108" s="1" t="s">
        <v>2445</v>
      </c>
      <c r="D108" s="1" t="s">
        <v>869</v>
      </c>
      <c r="E108" s="1" t="s">
        <v>824</v>
      </c>
      <c r="F108" s="67" t="s">
        <v>892</v>
      </c>
      <c r="G108" s="24" t="s">
        <v>1119</v>
      </c>
      <c r="H108" s="16">
        <v>25</v>
      </c>
      <c r="I108" s="25">
        <v>3</v>
      </c>
      <c r="J108" s="56">
        <v>990</v>
      </c>
      <c r="K108" s="15">
        <v>500</v>
      </c>
      <c r="L108" s="24" t="s">
        <v>2051</v>
      </c>
      <c r="M108" s="24" t="s">
        <v>2020</v>
      </c>
      <c r="N108" s="1" t="s">
        <v>2013</v>
      </c>
      <c r="O108" s="15" t="s">
        <v>2082</v>
      </c>
      <c r="P108" s="15" t="s">
        <v>2442</v>
      </c>
      <c r="Q108" s="25" t="s">
        <v>2085</v>
      </c>
      <c r="R108" s="25" t="s">
        <v>2437</v>
      </c>
      <c r="S108" s="73" t="s">
        <v>2183</v>
      </c>
    </row>
    <row r="109" spans="1:19" x14ac:dyDescent="0.2">
      <c r="A109" s="1">
        <v>108</v>
      </c>
      <c r="B109" s="1" t="s">
        <v>5</v>
      </c>
      <c r="C109" s="1" t="s">
        <v>2445</v>
      </c>
      <c r="D109" s="1" t="s">
        <v>869</v>
      </c>
      <c r="E109" s="1" t="s">
        <v>824</v>
      </c>
      <c r="F109" s="67" t="s">
        <v>876</v>
      </c>
      <c r="G109" s="24" t="s">
        <v>1120</v>
      </c>
      <c r="H109" s="16">
        <v>43</v>
      </c>
      <c r="I109" s="25">
        <v>4</v>
      </c>
      <c r="J109" s="56">
        <v>890</v>
      </c>
      <c r="K109" s="15">
        <v>400</v>
      </c>
      <c r="L109" s="24" t="s">
        <v>2017</v>
      </c>
      <c r="M109" s="24" t="s">
        <v>2016</v>
      </c>
      <c r="N109" s="1" t="s">
        <v>2013</v>
      </c>
      <c r="O109" s="15" t="s">
        <v>2082</v>
      </c>
      <c r="P109" s="15" t="s">
        <v>2442</v>
      </c>
      <c r="Q109" s="25" t="s">
        <v>2089</v>
      </c>
      <c r="R109" s="25" t="s">
        <v>2435</v>
      </c>
      <c r="S109" s="73" t="s">
        <v>2184</v>
      </c>
    </row>
    <row r="110" spans="1:19" x14ac:dyDescent="0.2">
      <c r="A110" s="1">
        <v>109</v>
      </c>
      <c r="B110" s="1" t="s">
        <v>5</v>
      </c>
      <c r="C110" s="1" t="s">
        <v>2445</v>
      </c>
      <c r="D110" s="1" t="s">
        <v>869</v>
      </c>
      <c r="E110" s="1" t="s">
        <v>824</v>
      </c>
      <c r="F110" s="67" t="s">
        <v>885</v>
      </c>
      <c r="G110" s="24" t="s">
        <v>1121</v>
      </c>
      <c r="H110" s="16">
        <v>58</v>
      </c>
      <c r="I110" s="25">
        <v>1</v>
      </c>
      <c r="J110" s="56">
        <v>1040</v>
      </c>
      <c r="K110" s="15">
        <v>500</v>
      </c>
      <c r="L110" s="24" t="s">
        <v>2039</v>
      </c>
      <c r="M110" s="24" t="s">
        <v>2014</v>
      </c>
      <c r="N110" s="1" t="s">
        <v>2013</v>
      </c>
      <c r="O110" s="15" t="s">
        <v>2082</v>
      </c>
      <c r="P110" s="15" t="s">
        <v>2442</v>
      </c>
      <c r="Q110" s="25" t="s">
        <v>2087</v>
      </c>
      <c r="R110" s="25" t="s">
        <v>2434</v>
      </c>
      <c r="S110" s="73" t="s">
        <v>2121</v>
      </c>
    </row>
    <row r="111" spans="1:19" x14ac:dyDescent="0.2">
      <c r="A111" s="1">
        <v>110</v>
      </c>
      <c r="B111" s="1" t="s">
        <v>9</v>
      </c>
      <c r="C111" s="1" t="s">
        <v>2445</v>
      </c>
      <c r="D111" s="1" t="s">
        <v>869</v>
      </c>
      <c r="E111" s="1" t="s">
        <v>817</v>
      </c>
      <c r="F111" s="67" t="s">
        <v>893</v>
      </c>
      <c r="G111" s="24" t="s">
        <v>1122</v>
      </c>
      <c r="H111" s="16">
        <v>20</v>
      </c>
      <c r="I111" s="25">
        <v>5</v>
      </c>
      <c r="J111" s="56">
        <v>790</v>
      </c>
      <c r="K111" s="15">
        <v>350</v>
      </c>
      <c r="L111" s="24" t="s">
        <v>2040</v>
      </c>
      <c r="M111" s="24" t="s">
        <v>2020</v>
      </c>
      <c r="N111" s="1" t="s">
        <v>2013</v>
      </c>
      <c r="O111" s="15" t="s">
        <v>2082</v>
      </c>
      <c r="P111" s="15" t="s">
        <v>2442</v>
      </c>
      <c r="Q111" s="25" t="s">
        <v>2086</v>
      </c>
      <c r="R111" s="25" t="s">
        <v>2436</v>
      </c>
      <c r="S111" s="73" t="s">
        <v>2185</v>
      </c>
    </row>
    <row r="112" spans="1:19" x14ac:dyDescent="0.2">
      <c r="A112" s="1">
        <v>111</v>
      </c>
      <c r="B112" s="1" t="s">
        <v>13</v>
      </c>
      <c r="C112" s="1" t="s">
        <v>2445</v>
      </c>
      <c r="D112" s="1" t="s">
        <v>869</v>
      </c>
      <c r="E112" s="1" t="s">
        <v>825</v>
      </c>
      <c r="F112" s="67" t="s">
        <v>894</v>
      </c>
      <c r="G112" s="24" t="s">
        <v>1123</v>
      </c>
      <c r="H112" s="16">
        <v>49</v>
      </c>
      <c r="I112" s="25">
        <v>5</v>
      </c>
      <c r="J112" s="56">
        <v>940</v>
      </c>
      <c r="K112" s="15">
        <v>420</v>
      </c>
      <c r="L112" s="24" t="s">
        <v>2054</v>
      </c>
      <c r="M112" s="24" t="s">
        <v>2016</v>
      </c>
      <c r="N112" s="1" t="s">
        <v>2013</v>
      </c>
      <c r="O112" s="15" t="s">
        <v>2082</v>
      </c>
      <c r="P112" s="15" t="s">
        <v>2442</v>
      </c>
      <c r="Q112" s="25" t="s">
        <v>2085</v>
      </c>
      <c r="R112" s="25" t="s">
        <v>2437</v>
      </c>
      <c r="S112" s="73" t="s">
        <v>2147</v>
      </c>
    </row>
    <row r="113" spans="1:19" x14ac:dyDescent="0.2">
      <c r="A113" s="1">
        <v>112</v>
      </c>
      <c r="B113" s="1" t="s">
        <v>16</v>
      </c>
      <c r="C113" s="1" t="s">
        <v>2445</v>
      </c>
      <c r="D113" s="1" t="s">
        <v>869</v>
      </c>
      <c r="E113" s="1" t="s">
        <v>824</v>
      </c>
      <c r="F113" s="66" t="s">
        <v>25</v>
      </c>
      <c r="G113" s="24" t="s">
        <v>1124</v>
      </c>
      <c r="H113" s="24">
        <v>25</v>
      </c>
      <c r="I113" s="25">
        <v>3</v>
      </c>
      <c r="J113" s="56">
        <v>890</v>
      </c>
      <c r="K113" s="15">
        <v>400</v>
      </c>
      <c r="L113" s="24" t="s">
        <v>2018</v>
      </c>
      <c r="M113" s="24" t="s">
        <v>2014</v>
      </c>
      <c r="N113" s="1" t="s">
        <v>2013</v>
      </c>
      <c r="O113" s="15" t="s">
        <v>2082</v>
      </c>
      <c r="P113" s="15" t="s">
        <v>2442</v>
      </c>
      <c r="Q113" s="25" t="s">
        <v>2090</v>
      </c>
      <c r="R113" s="25" t="s">
        <v>2435</v>
      </c>
      <c r="S113" s="73" t="s">
        <v>2186</v>
      </c>
    </row>
    <row r="114" spans="1:19" x14ac:dyDescent="0.2">
      <c r="A114" s="1">
        <v>113</v>
      </c>
      <c r="B114" s="1" t="s">
        <v>2</v>
      </c>
      <c r="C114" s="1" t="s">
        <v>2445</v>
      </c>
      <c r="D114" s="1" t="s">
        <v>869</v>
      </c>
      <c r="E114" s="1" t="s">
        <v>817</v>
      </c>
      <c r="F114" s="67" t="s">
        <v>915</v>
      </c>
      <c r="G114" s="24" t="s">
        <v>1125</v>
      </c>
      <c r="H114" s="24">
        <v>31</v>
      </c>
      <c r="I114" s="25">
        <v>2</v>
      </c>
      <c r="J114" s="56">
        <v>890</v>
      </c>
      <c r="K114" s="15">
        <v>350</v>
      </c>
      <c r="L114" s="24" t="s">
        <v>2031</v>
      </c>
      <c r="M114" s="24" t="s">
        <v>2016</v>
      </c>
      <c r="N114" s="1" t="s">
        <v>2013</v>
      </c>
      <c r="O114" s="15" t="s">
        <v>2082</v>
      </c>
      <c r="P114" s="15" t="s">
        <v>2442</v>
      </c>
      <c r="Q114" s="25" t="s">
        <v>2085</v>
      </c>
      <c r="R114" s="25" t="s">
        <v>2436</v>
      </c>
      <c r="S114" s="73" t="s">
        <v>2187</v>
      </c>
    </row>
    <row r="115" spans="1:19" x14ac:dyDescent="0.2">
      <c r="A115" s="1">
        <v>114</v>
      </c>
      <c r="B115" s="1" t="s">
        <v>1</v>
      </c>
      <c r="C115" s="1" t="s">
        <v>2445</v>
      </c>
      <c r="D115" s="1" t="s">
        <v>869</v>
      </c>
      <c r="E115" s="1" t="s">
        <v>822</v>
      </c>
      <c r="F115" s="66" t="s">
        <v>920</v>
      </c>
      <c r="G115" s="24" t="s">
        <v>1126</v>
      </c>
      <c r="H115" s="24">
        <v>56</v>
      </c>
      <c r="I115" s="25">
        <v>4</v>
      </c>
      <c r="J115" s="56">
        <v>690</v>
      </c>
      <c r="K115" s="15">
        <v>280</v>
      </c>
      <c r="L115" s="24" t="s">
        <v>2056</v>
      </c>
      <c r="M115" s="24" t="s">
        <v>2024</v>
      </c>
      <c r="N115" s="1" t="s">
        <v>2013</v>
      </c>
      <c r="O115" s="15" t="s">
        <v>2082</v>
      </c>
      <c r="P115" s="15" t="s">
        <v>2442</v>
      </c>
      <c r="Q115" s="25" t="s">
        <v>2084</v>
      </c>
      <c r="R115" s="25" t="s">
        <v>2434</v>
      </c>
      <c r="S115" s="73" t="s">
        <v>2188</v>
      </c>
    </row>
    <row r="116" spans="1:19" x14ac:dyDescent="0.2">
      <c r="A116" s="3">
        <v>115</v>
      </c>
      <c r="B116" s="3" t="s">
        <v>9</v>
      </c>
      <c r="C116" s="1" t="s">
        <v>2445</v>
      </c>
      <c r="D116" s="1" t="s">
        <v>869</v>
      </c>
      <c r="E116" s="3" t="s">
        <v>824</v>
      </c>
      <c r="F116" s="67" t="s">
        <v>921</v>
      </c>
      <c r="G116" s="24" t="s">
        <v>1127</v>
      </c>
      <c r="H116" s="24">
        <v>42</v>
      </c>
      <c r="I116" s="25">
        <v>1</v>
      </c>
      <c r="J116" s="57">
        <v>790</v>
      </c>
      <c r="K116" s="29">
        <v>380</v>
      </c>
      <c r="L116" s="24" t="s">
        <v>2039</v>
      </c>
      <c r="M116" s="24" t="s">
        <v>2014</v>
      </c>
      <c r="N116" s="1" t="s">
        <v>2013</v>
      </c>
      <c r="O116" s="15" t="s">
        <v>2082</v>
      </c>
      <c r="P116" s="15" t="s">
        <v>2442</v>
      </c>
      <c r="Q116" s="25" t="s">
        <v>2086</v>
      </c>
      <c r="R116" s="25" t="s">
        <v>2437</v>
      </c>
      <c r="S116" s="73" t="s">
        <v>2178</v>
      </c>
    </row>
    <row r="117" spans="1:19" x14ac:dyDescent="0.2">
      <c r="A117" s="6">
        <v>116</v>
      </c>
      <c r="B117" s="6" t="s">
        <v>5</v>
      </c>
      <c r="C117" s="1" t="s">
        <v>2445</v>
      </c>
      <c r="D117" s="1" t="s">
        <v>869</v>
      </c>
      <c r="E117" s="6" t="s">
        <v>818</v>
      </c>
      <c r="F117" s="67" t="s">
        <v>922</v>
      </c>
      <c r="G117" s="24" t="s">
        <v>1128</v>
      </c>
      <c r="H117" s="24">
        <v>34</v>
      </c>
      <c r="I117" s="25">
        <v>5</v>
      </c>
      <c r="J117" s="58">
        <v>890</v>
      </c>
      <c r="K117" s="30">
        <v>890</v>
      </c>
      <c r="L117" s="24" t="s">
        <v>2057</v>
      </c>
      <c r="M117" s="24" t="s">
        <v>2020</v>
      </c>
      <c r="N117" s="1" t="s">
        <v>2013</v>
      </c>
      <c r="O117" s="15" t="s">
        <v>2082</v>
      </c>
      <c r="P117" s="15" t="s">
        <v>2442</v>
      </c>
      <c r="Q117" s="25" t="s">
        <v>2085</v>
      </c>
      <c r="R117" s="25" t="s">
        <v>2435</v>
      </c>
      <c r="S117" s="73" t="s">
        <v>2189</v>
      </c>
    </row>
    <row r="118" spans="1:19" x14ac:dyDescent="0.2">
      <c r="A118" s="3">
        <v>117</v>
      </c>
      <c r="B118" s="3" t="s">
        <v>5</v>
      </c>
      <c r="C118" s="1" t="s">
        <v>2445</v>
      </c>
      <c r="D118" s="1" t="s">
        <v>869</v>
      </c>
      <c r="E118" s="3" t="s">
        <v>817</v>
      </c>
      <c r="F118" s="67" t="s">
        <v>923</v>
      </c>
      <c r="G118" s="24" t="s">
        <v>1129</v>
      </c>
      <c r="H118" s="24">
        <v>23</v>
      </c>
      <c r="I118" s="25">
        <v>2</v>
      </c>
      <c r="J118" s="57">
        <v>890</v>
      </c>
      <c r="K118" s="29">
        <v>350</v>
      </c>
      <c r="L118" s="24" t="s">
        <v>2062</v>
      </c>
      <c r="M118" s="24" t="s">
        <v>2020</v>
      </c>
      <c r="N118" s="1" t="s">
        <v>2013</v>
      </c>
      <c r="O118" s="15" t="s">
        <v>2082</v>
      </c>
      <c r="P118" s="15" t="s">
        <v>2442</v>
      </c>
      <c r="Q118" s="25" t="s">
        <v>2090</v>
      </c>
      <c r="R118" s="25" t="s">
        <v>2434</v>
      </c>
      <c r="S118" s="73" t="s">
        <v>2157</v>
      </c>
    </row>
    <row r="119" spans="1:19" x14ac:dyDescent="0.2">
      <c r="A119" s="1">
        <v>118</v>
      </c>
      <c r="B119" s="1" t="s">
        <v>13</v>
      </c>
      <c r="C119" s="1" t="s">
        <v>2445</v>
      </c>
      <c r="D119" s="1" t="s">
        <v>869</v>
      </c>
      <c r="E119" s="1" t="s">
        <v>817</v>
      </c>
      <c r="F119" s="67" t="s">
        <v>924</v>
      </c>
      <c r="G119" s="24" t="s">
        <v>1130</v>
      </c>
      <c r="H119" s="24">
        <v>56</v>
      </c>
      <c r="I119" s="25">
        <v>3</v>
      </c>
      <c r="J119" s="56">
        <v>790</v>
      </c>
      <c r="K119" s="15">
        <v>320</v>
      </c>
      <c r="L119" s="24" t="s">
        <v>2036</v>
      </c>
      <c r="M119" s="24" t="s">
        <v>2014</v>
      </c>
      <c r="N119" s="1" t="s">
        <v>2013</v>
      </c>
      <c r="O119" s="15" t="s">
        <v>2082</v>
      </c>
      <c r="P119" s="15" t="s">
        <v>2442</v>
      </c>
      <c r="Q119" s="25" t="s">
        <v>2086</v>
      </c>
      <c r="R119" s="25" t="s">
        <v>2436</v>
      </c>
      <c r="S119" s="73" t="s">
        <v>2129</v>
      </c>
    </row>
    <row r="120" spans="1:19" x14ac:dyDescent="0.2">
      <c r="A120" s="1">
        <v>119</v>
      </c>
      <c r="B120" s="1" t="s">
        <v>8</v>
      </c>
      <c r="C120" s="1" t="s">
        <v>2445</v>
      </c>
      <c r="D120" s="1" t="s">
        <v>869</v>
      </c>
      <c r="E120" s="1" t="s">
        <v>824</v>
      </c>
      <c r="F120" s="67" t="s">
        <v>925</v>
      </c>
      <c r="G120" s="24" t="s">
        <v>1131</v>
      </c>
      <c r="H120" s="24">
        <v>24</v>
      </c>
      <c r="I120" s="25">
        <v>4</v>
      </c>
      <c r="J120" s="56">
        <v>840</v>
      </c>
      <c r="K120" s="15">
        <v>350</v>
      </c>
      <c r="L120" s="24" t="s">
        <v>2056</v>
      </c>
      <c r="M120" s="24" t="s">
        <v>2024</v>
      </c>
      <c r="N120" s="1" t="s">
        <v>2013</v>
      </c>
      <c r="O120" s="15" t="s">
        <v>2082</v>
      </c>
      <c r="P120" s="15" t="s">
        <v>2442</v>
      </c>
      <c r="Q120" s="25" t="s">
        <v>2090</v>
      </c>
      <c r="R120" s="25" t="s">
        <v>2437</v>
      </c>
      <c r="S120" s="73" t="s">
        <v>2190</v>
      </c>
    </row>
    <row r="121" spans="1:19" x14ac:dyDescent="0.2">
      <c r="A121" s="1">
        <v>120</v>
      </c>
      <c r="B121" s="1" t="s">
        <v>2</v>
      </c>
      <c r="C121" s="1" t="s">
        <v>2445</v>
      </c>
      <c r="D121" s="1" t="s">
        <v>869</v>
      </c>
      <c r="E121" s="1" t="s">
        <v>817</v>
      </c>
      <c r="F121" s="69" t="s">
        <v>904</v>
      </c>
      <c r="G121" s="24" t="s">
        <v>1132</v>
      </c>
      <c r="H121" s="24">
        <v>64</v>
      </c>
      <c r="I121" s="25">
        <v>1</v>
      </c>
      <c r="J121" s="56">
        <v>890</v>
      </c>
      <c r="K121" s="15">
        <v>350</v>
      </c>
      <c r="L121" s="24" t="s">
        <v>2051</v>
      </c>
      <c r="M121" s="24" t="s">
        <v>2020</v>
      </c>
      <c r="N121" s="1" t="s">
        <v>2013</v>
      </c>
      <c r="O121" s="15" t="s">
        <v>2082</v>
      </c>
      <c r="P121" s="15" t="s">
        <v>2442</v>
      </c>
      <c r="Q121" s="25" t="s">
        <v>2090</v>
      </c>
      <c r="R121" s="25" t="s">
        <v>2435</v>
      </c>
      <c r="S121" s="73" t="s">
        <v>2191</v>
      </c>
    </row>
    <row r="122" spans="1:19" x14ac:dyDescent="0.2">
      <c r="A122" s="1">
        <v>121</v>
      </c>
      <c r="B122" s="1" t="s">
        <v>5</v>
      </c>
      <c r="C122" s="1" t="s">
        <v>2445</v>
      </c>
      <c r="D122" s="1" t="s">
        <v>869</v>
      </c>
      <c r="E122" s="1" t="s">
        <v>818</v>
      </c>
      <c r="F122" s="66" t="s">
        <v>926</v>
      </c>
      <c r="G122" s="24" t="s">
        <v>1133</v>
      </c>
      <c r="H122" s="24">
        <v>64</v>
      </c>
      <c r="I122" s="25">
        <v>5</v>
      </c>
      <c r="J122" s="56">
        <v>1040</v>
      </c>
      <c r="K122" s="15">
        <v>400</v>
      </c>
      <c r="L122" s="24" t="s">
        <v>2015</v>
      </c>
      <c r="M122" s="24" t="s">
        <v>2014</v>
      </c>
      <c r="N122" s="1" t="s">
        <v>2013</v>
      </c>
      <c r="O122" s="15" t="s">
        <v>2082</v>
      </c>
      <c r="P122" s="15" t="s">
        <v>2442</v>
      </c>
      <c r="Q122" s="25" t="s">
        <v>2085</v>
      </c>
      <c r="R122" s="25" t="s">
        <v>2436</v>
      </c>
      <c r="S122" s="73" t="s">
        <v>2163</v>
      </c>
    </row>
    <row r="123" spans="1:19" x14ac:dyDescent="0.2">
      <c r="A123" s="3">
        <v>122</v>
      </c>
      <c r="B123" s="3" t="s">
        <v>7</v>
      </c>
      <c r="C123" s="1" t="s">
        <v>2445</v>
      </c>
      <c r="D123" s="1" t="s">
        <v>869</v>
      </c>
      <c r="E123" s="3" t="s">
        <v>818</v>
      </c>
      <c r="F123" s="66" t="s">
        <v>927</v>
      </c>
      <c r="G123" s="24" t="s">
        <v>1134</v>
      </c>
      <c r="H123" s="24">
        <v>23</v>
      </c>
      <c r="I123" s="25">
        <v>3</v>
      </c>
      <c r="J123" s="57">
        <v>990</v>
      </c>
      <c r="K123" s="29">
        <v>500</v>
      </c>
      <c r="L123" s="24" t="s">
        <v>2035</v>
      </c>
      <c r="M123" s="24" t="s">
        <v>2016</v>
      </c>
      <c r="N123" s="1" t="s">
        <v>2013</v>
      </c>
      <c r="O123" s="15" t="s">
        <v>2082</v>
      </c>
      <c r="P123" s="15" t="s">
        <v>2442</v>
      </c>
      <c r="Q123" s="25" t="s">
        <v>2090</v>
      </c>
      <c r="R123" s="25" t="s">
        <v>2434</v>
      </c>
      <c r="S123" s="73" t="s">
        <v>2192</v>
      </c>
    </row>
    <row r="124" spans="1:19" x14ac:dyDescent="0.2">
      <c r="A124" s="3">
        <v>123</v>
      </c>
      <c r="B124" s="3" t="s">
        <v>13</v>
      </c>
      <c r="C124" s="1" t="s">
        <v>2445</v>
      </c>
      <c r="D124" s="1" t="s">
        <v>869</v>
      </c>
      <c r="E124" s="3" t="s">
        <v>817</v>
      </c>
      <c r="F124" s="66" t="s">
        <v>877</v>
      </c>
      <c r="G124" s="24" t="s">
        <v>1135</v>
      </c>
      <c r="H124" s="24">
        <v>19</v>
      </c>
      <c r="I124" s="25">
        <v>2</v>
      </c>
      <c r="J124" s="57">
        <v>790</v>
      </c>
      <c r="K124" s="29">
        <v>320</v>
      </c>
      <c r="L124" s="24" t="s">
        <v>2053</v>
      </c>
      <c r="M124" s="24" t="s">
        <v>2014</v>
      </c>
      <c r="N124" s="1" t="s">
        <v>2013</v>
      </c>
      <c r="O124" s="15" t="s">
        <v>2082</v>
      </c>
      <c r="P124" s="15" t="s">
        <v>2442</v>
      </c>
      <c r="Q124" s="25" t="s">
        <v>2090</v>
      </c>
      <c r="R124" s="25" t="s">
        <v>2437</v>
      </c>
      <c r="S124" s="73" t="s">
        <v>2193</v>
      </c>
    </row>
    <row r="125" spans="1:19" x14ac:dyDescent="0.2">
      <c r="A125" s="3">
        <v>124</v>
      </c>
      <c r="B125" s="3" t="s">
        <v>7</v>
      </c>
      <c r="C125" s="1" t="s">
        <v>2445</v>
      </c>
      <c r="D125" s="1" t="s">
        <v>869</v>
      </c>
      <c r="E125" s="3" t="s">
        <v>824</v>
      </c>
      <c r="F125" s="66" t="s">
        <v>878</v>
      </c>
      <c r="G125" s="24" t="s">
        <v>1136</v>
      </c>
      <c r="H125" s="24">
        <v>21</v>
      </c>
      <c r="I125" s="25">
        <v>4</v>
      </c>
      <c r="J125" s="57">
        <v>990</v>
      </c>
      <c r="K125" s="29">
        <v>500</v>
      </c>
      <c r="L125" s="24" t="s">
        <v>2047</v>
      </c>
      <c r="M125" s="24" t="s">
        <v>2024</v>
      </c>
      <c r="N125" s="1" t="s">
        <v>2013</v>
      </c>
      <c r="O125" s="15" t="s">
        <v>2082</v>
      </c>
      <c r="P125" s="15" t="s">
        <v>2442</v>
      </c>
      <c r="Q125" s="25" t="s">
        <v>2086</v>
      </c>
      <c r="R125" s="25" t="s">
        <v>2435</v>
      </c>
      <c r="S125" s="73" t="s">
        <v>2194</v>
      </c>
    </row>
    <row r="126" spans="1:19" x14ac:dyDescent="0.2">
      <c r="A126" s="3">
        <v>125</v>
      </c>
      <c r="B126" s="3" t="s">
        <v>13</v>
      </c>
      <c r="C126" s="1" t="s">
        <v>2445</v>
      </c>
      <c r="D126" s="1" t="s">
        <v>869</v>
      </c>
      <c r="E126" s="3" t="s">
        <v>824</v>
      </c>
      <c r="F126" s="66" t="s">
        <v>879</v>
      </c>
      <c r="G126" s="24" t="s">
        <v>1137</v>
      </c>
      <c r="H126" s="24">
        <v>56</v>
      </c>
      <c r="I126" s="25">
        <v>1</v>
      </c>
      <c r="J126" s="57">
        <v>790</v>
      </c>
      <c r="K126" s="29">
        <v>380</v>
      </c>
      <c r="L126" s="24" t="s">
        <v>2018</v>
      </c>
      <c r="M126" s="24" t="s">
        <v>2020</v>
      </c>
      <c r="N126" s="1" t="s">
        <v>2013</v>
      </c>
      <c r="O126" s="15" t="s">
        <v>2082</v>
      </c>
      <c r="P126" s="15" t="s">
        <v>2442</v>
      </c>
      <c r="Q126" s="25" t="s">
        <v>2088</v>
      </c>
      <c r="R126" s="25" t="s">
        <v>2434</v>
      </c>
      <c r="S126" s="73" t="s">
        <v>2103</v>
      </c>
    </row>
    <row r="127" spans="1:19" x14ac:dyDescent="0.2">
      <c r="A127" s="3">
        <v>126</v>
      </c>
      <c r="B127" s="3" t="s">
        <v>6</v>
      </c>
      <c r="C127" s="1" t="s">
        <v>2445</v>
      </c>
      <c r="D127" s="1" t="s">
        <v>869</v>
      </c>
      <c r="E127" s="3" t="s">
        <v>828</v>
      </c>
      <c r="F127" s="66" t="s">
        <v>880</v>
      </c>
      <c r="G127" s="24" t="s">
        <v>1138</v>
      </c>
      <c r="H127" s="24">
        <v>34</v>
      </c>
      <c r="I127" s="25">
        <v>5</v>
      </c>
      <c r="J127" s="57">
        <v>1275</v>
      </c>
      <c r="K127" s="29">
        <v>700</v>
      </c>
      <c r="L127" s="24" t="s">
        <v>2050</v>
      </c>
      <c r="M127" s="24" t="s">
        <v>2024</v>
      </c>
      <c r="N127" s="1" t="s">
        <v>2013</v>
      </c>
      <c r="O127" s="15" t="s">
        <v>2082</v>
      </c>
      <c r="P127" s="15" t="s">
        <v>2442</v>
      </c>
      <c r="Q127" s="25" t="s">
        <v>2086</v>
      </c>
      <c r="R127" s="25" t="s">
        <v>2436</v>
      </c>
      <c r="S127" s="73" t="s">
        <v>2194</v>
      </c>
    </row>
    <row r="128" spans="1:19" x14ac:dyDescent="0.2">
      <c r="A128" s="3">
        <v>127</v>
      </c>
      <c r="B128" s="3" t="s">
        <v>3</v>
      </c>
      <c r="C128" s="1" t="s">
        <v>2445</v>
      </c>
      <c r="D128" s="1" t="s">
        <v>869</v>
      </c>
      <c r="E128" s="3" t="s">
        <v>824</v>
      </c>
      <c r="F128" s="66" t="s">
        <v>881</v>
      </c>
      <c r="G128" s="24" t="s">
        <v>1139</v>
      </c>
      <c r="H128" s="24">
        <v>64</v>
      </c>
      <c r="I128" s="25">
        <v>2</v>
      </c>
      <c r="J128" s="57">
        <v>711</v>
      </c>
      <c r="K128" s="29">
        <v>400</v>
      </c>
      <c r="L128" s="24" t="s">
        <v>2021</v>
      </c>
      <c r="M128" s="24" t="s">
        <v>2020</v>
      </c>
      <c r="N128" s="1" t="s">
        <v>2013</v>
      </c>
      <c r="O128" s="15" t="s">
        <v>2082</v>
      </c>
      <c r="P128" s="15" t="s">
        <v>2442</v>
      </c>
      <c r="Q128" s="25" t="s">
        <v>2084</v>
      </c>
      <c r="R128" s="25" t="s">
        <v>2437</v>
      </c>
      <c r="S128" s="73" t="s">
        <v>2156</v>
      </c>
    </row>
    <row r="129" spans="1:19" x14ac:dyDescent="0.2">
      <c r="A129" s="3">
        <v>128</v>
      </c>
      <c r="B129" s="3" t="s">
        <v>16</v>
      </c>
      <c r="C129" s="1" t="s">
        <v>2445</v>
      </c>
      <c r="D129" s="1" t="s">
        <v>869</v>
      </c>
      <c r="E129" s="3" t="s">
        <v>824</v>
      </c>
      <c r="F129" s="66" t="s">
        <v>882</v>
      </c>
      <c r="G129" s="24" t="s">
        <v>1140</v>
      </c>
      <c r="H129" s="24">
        <v>78</v>
      </c>
      <c r="I129" s="25">
        <v>3</v>
      </c>
      <c r="J129" s="57">
        <v>890</v>
      </c>
      <c r="K129" s="29">
        <v>623</v>
      </c>
      <c r="L129" s="24" t="s">
        <v>2025</v>
      </c>
      <c r="M129" s="24" t="s">
        <v>2024</v>
      </c>
      <c r="N129" s="1" t="s">
        <v>2013</v>
      </c>
      <c r="O129" s="15" t="s">
        <v>2082</v>
      </c>
      <c r="P129" s="15" t="s">
        <v>2442</v>
      </c>
      <c r="Q129" s="25" t="s">
        <v>2086</v>
      </c>
      <c r="R129" s="25" t="s">
        <v>2435</v>
      </c>
      <c r="S129" s="73" t="s">
        <v>2195</v>
      </c>
    </row>
    <row r="130" spans="1:19" x14ac:dyDescent="0.2">
      <c r="A130" s="1">
        <v>129</v>
      </c>
      <c r="B130" s="1" t="s">
        <v>7</v>
      </c>
      <c r="C130" s="1" t="s">
        <v>2445</v>
      </c>
      <c r="D130" s="1" t="s">
        <v>869</v>
      </c>
      <c r="E130" s="1" t="s">
        <v>822</v>
      </c>
      <c r="F130" s="66" t="s">
        <v>881</v>
      </c>
      <c r="G130" s="24" t="s">
        <v>1141</v>
      </c>
      <c r="H130" s="24">
        <v>54</v>
      </c>
      <c r="I130" s="25">
        <v>4</v>
      </c>
      <c r="J130" s="56">
        <v>990</v>
      </c>
      <c r="K130" s="15">
        <v>400</v>
      </c>
      <c r="L130" s="24" t="s">
        <v>2030</v>
      </c>
      <c r="M130" s="24" t="s">
        <v>2024</v>
      </c>
      <c r="N130" s="1" t="s">
        <v>2013</v>
      </c>
      <c r="O130" s="15" t="s">
        <v>2082</v>
      </c>
      <c r="P130" s="15" t="s">
        <v>2442</v>
      </c>
      <c r="Q130" s="25" t="s">
        <v>2085</v>
      </c>
      <c r="R130" s="25" t="s">
        <v>2436</v>
      </c>
      <c r="S130" s="73" t="s">
        <v>2196</v>
      </c>
    </row>
    <row r="131" spans="1:19" x14ac:dyDescent="0.2">
      <c r="A131" s="1">
        <v>130</v>
      </c>
      <c r="B131" s="1" t="s">
        <v>8</v>
      </c>
      <c r="C131" s="1" t="s">
        <v>2445</v>
      </c>
      <c r="D131" s="1" t="s">
        <v>869</v>
      </c>
      <c r="E131" s="1" t="s">
        <v>818</v>
      </c>
      <c r="F131" s="66" t="s">
        <v>883</v>
      </c>
      <c r="G131" s="24" t="s">
        <v>1142</v>
      </c>
      <c r="H131" s="24">
        <v>32</v>
      </c>
      <c r="I131" s="25">
        <v>1</v>
      </c>
      <c r="J131" s="56">
        <v>690</v>
      </c>
      <c r="K131" s="15">
        <v>520</v>
      </c>
      <c r="L131" s="24" t="s">
        <v>2062</v>
      </c>
      <c r="M131" s="24" t="s">
        <v>2020</v>
      </c>
      <c r="N131" s="1" t="s">
        <v>2013</v>
      </c>
      <c r="O131" s="15" t="s">
        <v>2082</v>
      </c>
      <c r="P131" s="15" t="s">
        <v>2442</v>
      </c>
      <c r="Q131" s="25" t="s">
        <v>2087</v>
      </c>
      <c r="R131" s="25" t="s">
        <v>2434</v>
      </c>
      <c r="S131" s="73" t="s">
        <v>2129</v>
      </c>
    </row>
    <row r="132" spans="1:19" x14ac:dyDescent="0.2">
      <c r="A132" s="1">
        <v>131</v>
      </c>
      <c r="B132" s="1" t="s">
        <v>13</v>
      </c>
      <c r="C132" s="1" t="s">
        <v>2445</v>
      </c>
      <c r="D132" s="1" t="s">
        <v>869</v>
      </c>
      <c r="E132" s="1" t="s">
        <v>824</v>
      </c>
      <c r="F132" s="66" t="s">
        <v>884</v>
      </c>
      <c r="G132" s="24" t="s">
        <v>1143</v>
      </c>
      <c r="H132" s="16">
        <v>55</v>
      </c>
      <c r="I132" s="25">
        <v>5</v>
      </c>
      <c r="J132" s="56">
        <v>790</v>
      </c>
      <c r="K132" s="15">
        <v>380</v>
      </c>
      <c r="L132" s="24" t="s">
        <v>2047</v>
      </c>
      <c r="M132" s="24" t="s">
        <v>2024</v>
      </c>
      <c r="N132" s="1" t="s">
        <v>2013</v>
      </c>
      <c r="O132" s="15" t="s">
        <v>2082</v>
      </c>
      <c r="P132" s="15" t="s">
        <v>2442</v>
      </c>
      <c r="Q132" s="25" t="s">
        <v>2086</v>
      </c>
      <c r="R132" s="25" t="s">
        <v>2437</v>
      </c>
      <c r="S132" s="73" t="s">
        <v>2197</v>
      </c>
    </row>
    <row r="133" spans="1:19" x14ac:dyDescent="0.2">
      <c r="A133" s="1">
        <v>132</v>
      </c>
      <c r="B133" s="1" t="s">
        <v>12</v>
      </c>
      <c r="C133" s="1" t="s">
        <v>2445</v>
      </c>
      <c r="D133" s="1" t="s">
        <v>869</v>
      </c>
      <c r="E133" s="1" t="s">
        <v>822</v>
      </c>
      <c r="F133" s="66" t="s">
        <v>928</v>
      </c>
      <c r="G133" s="24" t="s">
        <v>1144</v>
      </c>
      <c r="H133" s="16">
        <v>36</v>
      </c>
      <c r="I133" s="25">
        <v>3</v>
      </c>
      <c r="J133" s="56">
        <v>1595</v>
      </c>
      <c r="K133" s="15">
        <v>1000</v>
      </c>
      <c r="L133" s="24" t="s">
        <v>2058</v>
      </c>
      <c r="M133" s="24" t="s">
        <v>2020</v>
      </c>
      <c r="N133" s="1" t="s">
        <v>2013</v>
      </c>
      <c r="O133" s="15" t="s">
        <v>2082</v>
      </c>
      <c r="P133" s="15" t="s">
        <v>2442</v>
      </c>
      <c r="Q133" s="25" t="s">
        <v>2084</v>
      </c>
      <c r="R133" s="25" t="s">
        <v>2435</v>
      </c>
      <c r="S133" s="73" t="s">
        <v>2198</v>
      </c>
    </row>
    <row r="134" spans="1:19" x14ac:dyDescent="0.2">
      <c r="A134" s="1">
        <v>133</v>
      </c>
      <c r="B134" s="1" t="s">
        <v>5</v>
      </c>
      <c r="C134" s="1" t="s">
        <v>2445</v>
      </c>
      <c r="D134" s="1" t="s">
        <v>869</v>
      </c>
      <c r="E134" s="1" t="s">
        <v>828</v>
      </c>
      <c r="F134" s="66" t="s">
        <v>929</v>
      </c>
      <c r="G134" s="24" t="s">
        <v>1145</v>
      </c>
      <c r="H134" s="16">
        <v>28</v>
      </c>
      <c r="I134" s="25">
        <v>2</v>
      </c>
      <c r="J134" s="56">
        <v>890</v>
      </c>
      <c r="K134" s="15">
        <v>350</v>
      </c>
      <c r="L134" s="24" t="s">
        <v>2040</v>
      </c>
      <c r="M134" s="24" t="s">
        <v>2014</v>
      </c>
      <c r="N134" s="1" t="s">
        <v>2013</v>
      </c>
      <c r="O134" s="15" t="s">
        <v>2082</v>
      </c>
      <c r="P134" s="15" t="s">
        <v>2442</v>
      </c>
      <c r="Q134" s="25" t="s">
        <v>2084</v>
      </c>
      <c r="R134" s="25" t="s">
        <v>2434</v>
      </c>
      <c r="S134" s="73" t="s">
        <v>2199</v>
      </c>
    </row>
    <row r="135" spans="1:19" x14ac:dyDescent="0.2">
      <c r="A135" s="1">
        <v>134</v>
      </c>
      <c r="B135" s="1" t="s">
        <v>7</v>
      </c>
      <c r="C135" s="1" t="s">
        <v>2445</v>
      </c>
      <c r="D135" s="1" t="s">
        <v>869</v>
      </c>
      <c r="E135" s="1" t="s">
        <v>824</v>
      </c>
      <c r="F135" s="66" t="s">
        <v>882</v>
      </c>
      <c r="G135" s="24" t="s">
        <v>1146</v>
      </c>
      <c r="H135" s="16">
        <v>50</v>
      </c>
      <c r="I135" s="25">
        <v>4</v>
      </c>
      <c r="J135" s="56">
        <v>990</v>
      </c>
      <c r="K135" s="15">
        <v>450</v>
      </c>
      <c r="L135" s="24" t="s">
        <v>2033</v>
      </c>
      <c r="M135" s="24" t="s">
        <v>2016</v>
      </c>
      <c r="N135" s="1" t="s">
        <v>2013</v>
      </c>
      <c r="O135" s="15" t="s">
        <v>2082</v>
      </c>
      <c r="P135" s="15" t="s">
        <v>2442</v>
      </c>
      <c r="Q135" s="25" t="s">
        <v>2086</v>
      </c>
      <c r="R135" s="25" t="s">
        <v>2436</v>
      </c>
      <c r="S135" s="73" t="s">
        <v>2124</v>
      </c>
    </row>
    <row r="136" spans="1:19" x14ac:dyDescent="0.2">
      <c r="A136" s="1">
        <v>135</v>
      </c>
      <c r="B136" s="1" t="s">
        <v>7</v>
      </c>
      <c r="C136" s="1" t="s">
        <v>2445</v>
      </c>
      <c r="D136" s="1" t="s">
        <v>869</v>
      </c>
      <c r="E136" s="1" t="s">
        <v>823</v>
      </c>
      <c r="F136" s="66" t="s">
        <v>930</v>
      </c>
      <c r="G136" s="24" t="s">
        <v>1147</v>
      </c>
      <c r="H136" s="16">
        <v>39</v>
      </c>
      <c r="I136" s="25">
        <v>1</v>
      </c>
      <c r="J136" s="56">
        <v>990</v>
      </c>
      <c r="K136" s="15">
        <v>400</v>
      </c>
      <c r="L136" s="24" t="s">
        <v>2054</v>
      </c>
      <c r="M136" s="24" t="s">
        <v>2016</v>
      </c>
      <c r="N136" s="1" t="s">
        <v>2013</v>
      </c>
      <c r="O136" s="15" t="s">
        <v>2082</v>
      </c>
      <c r="P136" s="15" t="s">
        <v>2442</v>
      </c>
      <c r="Q136" s="25" t="s">
        <v>2089</v>
      </c>
      <c r="R136" s="25" t="s">
        <v>2437</v>
      </c>
      <c r="S136" s="73" t="s">
        <v>2200</v>
      </c>
    </row>
    <row r="137" spans="1:19" x14ac:dyDescent="0.2">
      <c r="A137" s="3">
        <v>136</v>
      </c>
      <c r="B137" s="3" t="s">
        <v>2</v>
      </c>
      <c r="C137" s="1" t="s">
        <v>2445</v>
      </c>
      <c r="D137" s="1" t="s">
        <v>869</v>
      </c>
      <c r="E137" s="3" t="s">
        <v>824</v>
      </c>
      <c r="F137" s="67" t="s">
        <v>915</v>
      </c>
      <c r="G137" s="24" t="s">
        <v>1148</v>
      </c>
      <c r="H137" s="16">
        <v>31</v>
      </c>
      <c r="I137" s="25">
        <v>5</v>
      </c>
      <c r="J137" s="57">
        <v>1040</v>
      </c>
      <c r="K137" s="29">
        <v>500</v>
      </c>
      <c r="L137" s="24" t="s">
        <v>2040</v>
      </c>
      <c r="M137" s="24" t="s">
        <v>2020</v>
      </c>
      <c r="N137" s="1" t="s">
        <v>2013</v>
      </c>
      <c r="O137" s="15" t="s">
        <v>2082</v>
      </c>
      <c r="P137" s="15" t="s">
        <v>2442</v>
      </c>
      <c r="Q137" s="25" t="s">
        <v>2088</v>
      </c>
      <c r="R137" s="25" t="s">
        <v>2435</v>
      </c>
      <c r="S137" s="73" t="s">
        <v>2201</v>
      </c>
    </row>
    <row r="138" spans="1:19" x14ac:dyDescent="0.2">
      <c r="A138" s="3">
        <v>137</v>
      </c>
      <c r="B138" s="3" t="s">
        <v>17</v>
      </c>
      <c r="C138" s="1" t="s">
        <v>2445</v>
      </c>
      <c r="D138" s="1" t="s">
        <v>869</v>
      </c>
      <c r="E138" s="3" t="s">
        <v>817</v>
      </c>
      <c r="F138" s="66" t="s">
        <v>920</v>
      </c>
      <c r="G138" s="24" t="s">
        <v>1149</v>
      </c>
      <c r="H138" s="16">
        <v>44</v>
      </c>
      <c r="I138" s="25">
        <v>2</v>
      </c>
      <c r="J138" s="57">
        <v>6270</v>
      </c>
      <c r="K138" s="29">
        <v>3150</v>
      </c>
      <c r="L138" s="24" t="s">
        <v>2036</v>
      </c>
      <c r="M138" s="24" t="s">
        <v>2014</v>
      </c>
      <c r="N138" s="1" t="s">
        <v>2013</v>
      </c>
      <c r="O138" s="15" t="s">
        <v>2082</v>
      </c>
      <c r="P138" s="15" t="s">
        <v>2442</v>
      </c>
      <c r="Q138" s="25" t="s">
        <v>2083</v>
      </c>
      <c r="R138" s="25" t="s">
        <v>2436</v>
      </c>
      <c r="S138" s="73" t="s">
        <v>2202</v>
      </c>
    </row>
    <row r="139" spans="1:19" x14ac:dyDescent="0.2">
      <c r="A139" s="7">
        <v>138</v>
      </c>
      <c r="B139" s="7" t="s">
        <v>6</v>
      </c>
      <c r="C139" s="1" t="s">
        <v>2445</v>
      </c>
      <c r="D139" s="1" t="s">
        <v>869</v>
      </c>
      <c r="E139" s="7" t="s">
        <v>823</v>
      </c>
      <c r="F139" s="67" t="s">
        <v>921</v>
      </c>
      <c r="G139" s="24" t="s">
        <v>1150</v>
      </c>
      <c r="H139" s="16">
        <v>26</v>
      </c>
      <c r="I139" s="25">
        <v>3</v>
      </c>
      <c r="J139" s="59"/>
      <c r="K139" s="31"/>
      <c r="L139" s="24" t="s">
        <v>2032</v>
      </c>
      <c r="M139" s="24" t="s">
        <v>2024</v>
      </c>
      <c r="N139" s="1" t="s">
        <v>2013</v>
      </c>
      <c r="O139" s="15" t="s">
        <v>2082</v>
      </c>
      <c r="P139" s="15" t="s">
        <v>2442</v>
      </c>
      <c r="Q139" s="25" t="s">
        <v>2087</v>
      </c>
      <c r="R139" s="25" t="s">
        <v>2434</v>
      </c>
      <c r="S139" s="73" t="s">
        <v>2203</v>
      </c>
    </row>
    <row r="140" spans="1:19" x14ac:dyDescent="0.2">
      <c r="A140" s="7">
        <v>139</v>
      </c>
      <c r="B140" s="7" t="s">
        <v>12</v>
      </c>
      <c r="C140" s="1" t="s">
        <v>2445</v>
      </c>
      <c r="D140" s="1" t="s">
        <v>869</v>
      </c>
      <c r="E140" s="7" t="s">
        <v>824</v>
      </c>
      <c r="F140" s="67" t="s">
        <v>922</v>
      </c>
      <c r="G140" s="24" t="s">
        <v>1151</v>
      </c>
      <c r="H140" s="16">
        <v>48</v>
      </c>
      <c r="I140" s="25">
        <v>4</v>
      </c>
      <c r="J140" s="59"/>
      <c r="K140" s="31"/>
      <c r="L140" s="24" t="s">
        <v>2017</v>
      </c>
      <c r="M140" s="24" t="s">
        <v>2016</v>
      </c>
      <c r="N140" s="1" t="s">
        <v>2013</v>
      </c>
      <c r="O140" s="15" t="s">
        <v>2082</v>
      </c>
      <c r="P140" s="15" t="s">
        <v>2442</v>
      </c>
      <c r="Q140" s="25" t="s">
        <v>2083</v>
      </c>
      <c r="R140" s="25" t="s">
        <v>2437</v>
      </c>
      <c r="S140" s="73" t="s">
        <v>2204</v>
      </c>
    </row>
    <row r="141" spans="1:19" x14ac:dyDescent="0.2">
      <c r="A141" s="1">
        <v>140</v>
      </c>
      <c r="B141" s="1" t="s">
        <v>17</v>
      </c>
      <c r="C141" s="1" t="s">
        <v>2445</v>
      </c>
      <c r="D141" s="1" t="s">
        <v>869</v>
      </c>
      <c r="E141" s="1" t="s">
        <v>822</v>
      </c>
      <c r="F141" s="67" t="s">
        <v>923</v>
      </c>
      <c r="G141" s="24" t="s">
        <v>1152</v>
      </c>
      <c r="H141" s="16">
        <v>53</v>
      </c>
      <c r="I141" s="25">
        <v>3</v>
      </c>
      <c r="J141" s="56">
        <v>1635</v>
      </c>
      <c r="K141" s="15">
        <v>1000</v>
      </c>
      <c r="L141" s="24" t="s">
        <v>2042</v>
      </c>
      <c r="M141" s="24" t="s">
        <v>2016</v>
      </c>
      <c r="N141" s="1" t="s">
        <v>2013</v>
      </c>
      <c r="O141" s="15" t="s">
        <v>2082</v>
      </c>
      <c r="P141" s="15" t="s">
        <v>2442</v>
      </c>
      <c r="Q141" s="25" t="s">
        <v>2084</v>
      </c>
      <c r="R141" s="25" t="s">
        <v>2435</v>
      </c>
      <c r="S141" s="73" t="s">
        <v>2139</v>
      </c>
    </row>
    <row r="142" spans="1:19" x14ac:dyDescent="0.2">
      <c r="A142" s="1">
        <v>141</v>
      </c>
      <c r="B142" s="1" t="s">
        <v>7</v>
      </c>
      <c r="C142" s="1" t="s">
        <v>2445</v>
      </c>
      <c r="D142" s="1" t="s">
        <v>869</v>
      </c>
      <c r="E142" s="1" t="s">
        <v>826</v>
      </c>
      <c r="F142" s="67" t="s">
        <v>924</v>
      </c>
      <c r="G142" s="24" t="s">
        <v>1153</v>
      </c>
      <c r="H142" s="16">
        <v>30</v>
      </c>
      <c r="I142" s="25">
        <v>1</v>
      </c>
      <c r="J142" s="56">
        <v>990</v>
      </c>
      <c r="K142" s="15">
        <v>450</v>
      </c>
      <c r="L142" s="24" t="s">
        <v>2055</v>
      </c>
      <c r="M142" s="24" t="s">
        <v>2014</v>
      </c>
      <c r="N142" s="1" t="s">
        <v>2013</v>
      </c>
      <c r="O142" s="15" t="s">
        <v>2082</v>
      </c>
      <c r="P142" s="15" t="s">
        <v>2442</v>
      </c>
      <c r="Q142" s="25" t="s">
        <v>2086</v>
      </c>
      <c r="R142" s="25" t="s">
        <v>2434</v>
      </c>
      <c r="S142" s="73" t="s">
        <v>2205</v>
      </c>
    </row>
    <row r="143" spans="1:19" x14ac:dyDescent="0.2">
      <c r="A143" s="1">
        <v>142</v>
      </c>
      <c r="B143" s="1" t="s">
        <v>2</v>
      </c>
      <c r="C143" s="1" t="s">
        <v>2445</v>
      </c>
      <c r="D143" s="1" t="s">
        <v>869</v>
      </c>
      <c r="E143" s="1" t="s">
        <v>818</v>
      </c>
      <c r="F143" s="67" t="s">
        <v>925</v>
      </c>
      <c r="G143" s="24" t="s">
        <v>1154</v>
      </c>
      <c r="H143" s="16">
        <v>37</v>
      </c>
      <c r="I143" s="25">
        <v>4</v>
      </c>
      <c r="J143" s="56">
        <v>1040</v>
      </c>
      <c r="K143" s="15">
        <v>500</v>
      </c>
      <c r="L143" s="24" t="s">
        <v>2047</v>
      </c>
      <c r="M143" s="24" t="s">
        <v>2024</v>
      </c>
      <c r="N143" s="1" t="s">
        <v>2013</v>
      </c>
      <c r="O143" s="15" t="s">
        <v>2082</v>
      </c>
      <c r="P143" s="15" t="s">
        <v>2442</v>
      </c>
      <c r="Q143" s="25" t="s">
        <v>2086</v>
      </c>
      <c r="R143" s="25" t="s">
        <v>2436</v>
      </c>
      <c r="S143" s="73" t="s">
        <v>2158</v>
      </c>
    </row>
    <row r="144" spans="1:19" x14ac:dyDescent="0.2">
      <c r="A144" s="1">
        <v>143</v>
      </c>
      <c r="B144" s="1" t="s">
        <v>7</v>
      </c>
      <c r="C144" s="1" t="s">
        <v>2445</v>
      </c>
      <c r="D144" s="1" t="s">
        <v>869</v>
      </c>
      <c r="E144" s="1" t="s">
        <v>818</v>
      </c>
      <c r="F144" s="69" t="s">
        <v>904</v>
      </c>
      <c r="G144" s="24" t="s">
        <v>1155</v>
      </c>
      <c r="H144" s="16">
        <v>42</v>
      </c>
      <c r="I144" s="25">
        <v>5</v>
      </c>
      <c r="J144" s="56">
        <v>1840</v>
      </c>
      <c r="K144" s="15">
        <v>900</v>
      </c>
      <c r="L144" s="24" t="s">
        <v>2025</v>
      </c>
      <c r="M144" s="24" t="s">
        <v>2024</v>
      </c>
      <c r="N144" s="1" t="s">
        <v>2013</v>
      </c>
      <c r="O144" s="15" t="s">
        <v>2082</v>
      </c>
      <c r="P144" s="15" t="s">
        <v>2442</v>
      </c>
      <c r="Q144" s="25" t="s">
        <v>2086</v>
      </c>
      <c r="R144" s="25" t="s">
        <v>2437</v>
      </c>
      <c r="S144" s="73" t="s">
        <v>2206</v>
      </c>
    </row>
    <row r="145" spans="1:19" x14ac:dyDescent="0.2">
      <c r="A145" s="1">
        <v>144</v>
      </c>
      <c r="B145" s="1" t="s">
        <v>13</v>
      </c>
      <c r="C145" s="1" t="s">
        <v>2445</v>
      </c>
      <c r="D145" s="1" t="s">
        <v>869</v>
      </c>
      <c r="E145" s="1" t="s">
        <v>821</v>
      </c>
      <c r="F145" s="66" t="s">
        <v>926</v>
      </c>
      <c r="G145" s="24" t="s">
        <v>1156</v>
      </c>
      <c r="H145" s="16">
        <v>24</v>
      </c>
      <c r="I145" s="25">
        <v>3</v>
      </c>
      <c r="J145" s="56">
        <v>940</v>
      </c>
      <c r="K145" s="15">
        <v>420</v>
      </c>
      <c r="L145" s="24" t="s">
        <v>2050</v>
      </c>
      <c r="M145" s="24" t="s">
        <v>2024</v>
      </c>
      <c r="N145" s="1" t="s">
        <v>2013</v>
      </c>
      <c r="O145" s="15" t="s">
        <v>2082</v>
      </c>
      <c r="P145" s="15" t="s">
        <v>2442</v>
      </c>
      <c r="Q145" s="25" t="s">
        <v>2088</v>
      </c>
      <c r="R145" s="25" t="s">
        <v>2435</v>
      </c>
      <c r="S145" s="73" t="s">
        <v>2207</v>
      </c>
    </row>
    <row r="146" spans="1:19" x14ac:dyDescent="0.2">
      <c r="A146" s="1">
        <v>145</v>
      </c>
      <c r="B146" s="3" t="s">
        <v>13</v>
      </c>
      <c r="C146" s="1" t="s">
        <v>2445</v>
      </c>
      <c r="D146" s="1" t="s">
        <v>869</v>
      </c>
      <c r="E146" s="1" t="s">
        <v>828</v>
      </c>
      <c r="F146" s="66" t="s">
        <v>927</v>
      </c>
      <c r="G146" s="24" t="s">
        <v>1157</v>
      </c>
      <c r="H146" s="16">
        <v>57</v>
      </c>
      <c r="I146" s="25">
        <v>2</v>
      </c>
      <c r="J146" s="56">
        <v>940</v>
      </c>
      <c r="K146" s="15">
        <v>350</v>
      </c>
      <c r="L146" s="24" t="s">
        <v>2051</v>
      </c>
      <c r="M146" s="24" t="s">
        <v>2020</v>
      </c>
      <c r="N146" s="1" t="s">
        <v>2013</v>
      </c>
      <c r="O146" s="15" t="s">
        <v>2082</v>
      </c>
      <c r="P146" s="15" t="s">
        <v>2442</v>
      </c>
      <c r="Q146" s="25" t="s">
        <v>2085</v>
      </c>
      <c r="R146" s="25" t="s">
        <v>2436</v>
      </c>
      <c r="S146" s="73" t="s">
        <v>2204</v>
      </c>
    </row>
    <row r="147" spans="1:19" x14ac:dyDescent="0.2">
      <c r="A147" s="1">
        <v>146</v>
      </c>
      <c r="B147" s="1" t="s">
        <v>13</v>
      </c>
      <c r="C147" s="1" t="s">
        <v>2445</v>
      </c>
      <c r="D147" s="1" t="s">
        <v>869</v>
      </c>
      <c r="E147" s="1" t="s">
        <v>824</v>
      </c>
      <c r="F147" s="66" t="s">
        <v>877</v>
      </c>
      <c r="G147" s="24" t="s">
        <v>1158</v>
      </c>
      <c r="H147" s="16">
        <v>35</v>
      </c>
      <c r="I147" s="25">
        <v>4</v>
      </c>
      <c r="J147" s="56">
        <v>790</v>
      </c>
      <c r="K147" s="15">
        <v>380</v>
      </c>
      <c r="L147" s="24" t="s">
        <v>2038</v>
      </c>
      <c r="M147" s="24" t="s">
        <v>2016</v>
      </c>
      <c r="N147" s="1" t="s">
        <v>2013</v>
      </c>
      <c r="O147" s="15" t="s">
        <v>2763</v>
      </c>
      <c r="P147" s="15" t="s">
        <v>2442</v>
      </c>
      <c r="Q147" s="25" t="s">
        <v>2089</v>
      </c>
      <c r="R147" s="25" t="s">
        <v>2434</v>
      </c>
      <c r="S147" s="73" t="s">
        <v>2150</v>
      </c>
    </row>
    <row r="148" spans="1:19" x14ac:dyDescent="0.2">
      <c r="A148" s="1">
        <v>147</v>
      </c>
      <c r="B148" s="1" t="s">
        <v>2</v>
      </c>
      <c r="C148" s="1" t="s">
        <v>2445</v>
      </c>
      <c r="D148" s="1" t="s">
        <v>869</v>
      </c>
      <c r="E148" s="1" t="s">
        <v>821</v>
      </c>
      <c r="F148" s="66" t="s">
        <v>878</v>
      </c>
      <c r="G148" s="24" t="s">
        <v>1159</v>
      </c>
      <c r="H148" s="16">
        <v>40</v>
      </c>
      <c r="I148" s="25">
        <v>1</v>
      </c>
      <c r="J148" s="56">
        <v>890</v>
      </c>
      <c r="K148" s="15">
        <v>400</v>
      </c>
      <c r="L148" s="24" t="s">
        <v>2054</v>
      </c>
      <c r="M148" s="24" t="s">
        <v>2016</v>
      </c>
      <c r="N148" s="1" t="s">
        <v>2013</v>
      </c>
      <c r="O148" s="15" t="s">
        <v>2082</v>
      </c>
      <c r="P148" s="15" t="s">
        <v>2442</v>
      </c>
      <c r="Q148" s="25" t="s">
        <v>2089</v>
      </c>
      <c r="R148" s="25" t="s">
        <v>2437</v>
      </c>
      <c r="S148" s="73" t="s">
        <v>2208</v>
      </c>
    </row>
    <row r="149" spans="1:19" x14ac:dyDescent="0.2">
      <c r="A149" s="1">
        <v>148</v>
      </c>
      <c r="B149" s="1" t="s">
        <v>844</v>
      </c>
      <c r="C149" s="1" t="s">
        <v>2445</v>
      </c>
      <c r="D149" s="1" t="s">
        <v>869</v>
      </c>
      <c r="E149" s="1" t="s">
        <v>821</v>
      </c>
      <c r="F149" s="66" t="s">
        <v>879</v>
      </c>
      <c r="G149" s="24" t="s">
        <v>1160</v>
      </c>
      <c r="H149" s="16">
        <v>21</v>
      </c>
      <c r="I149" s="25">
        <v>5</v>
      </c>
      <c r="J149" s="56">
        <v>2185</v>
      </c>
      <c r="K149" s="15">
        <v>1100</v>
      </c>
      <c r="L149" s="24" t="s">
        <v>2058</v>
      </c>
      <c r="M149" s="24" t="s">
        <v>2020</v>
      </c>
      <c r="N149" s="1" t="s">
        <v>2013</v>
      </c>
      <c r="O149" s="15" t="s">
        <v>2082</v>
      </c>
      <c r="P149" s="15" t="s">
        <v>2442</v>
      </c>
      <c r="Q149" s="25" t="s">
        <v>2089</v>
      </c>
      <c r="R149" s="25" t="s">
        <v>2435</v>
      </c>
      <c r="S149" s="73" t="s">
        <v>2209</v>
      </c>
    </row>
    <row r="150" spans="1:19" x14ac:dyDescent="0.2">
      <c r="A150" s="1">
        <v>149</v>
      </c>
      <c r="B150" s="1" t="s">
        <v>5</v>
      </c>
      <c r="C150" s="1" t="s">
        <v>2445</v>
      </c>
      <c r="D150" s="1" t="s">
        <v>869</v>
      </c>
      <c r="E150" s="1" t="s">
        <v>824</v>
      </c>
      <c r="F150" s="66" t="s">
        <v>880</v>
      </c>
      <c r="G150" s="24" t="s">
        <v>1161</v>
      </c>
      <c r="H150" s="16">
        <v>36</v>
      </c>
      <c r="I150" s="25">
        <v>2</v>
      </c>
      <c r="J150" s="56">
        <v>890</v>
      </c>
      <c r="K150" s="15">
        <v>400</v>
      </c>
      <c r="L150" s="24" t="s">
        <v>2047</v>
      </c>
      <c r="M150" s="24" t="s">
        <v>2024</v>
      </c>
      <c r="N150" s="1" t="s">
        <v>2013</v>
      </c>
      <c r="O150" s="15" t="s">
        <v>2082</v>
      </c>
      <c r="P150" s="15" t="s">
        <v>2442</v>
      </c>
      <c r="Q150" s="25" t="s">
        <v>2083</v>
      </c>
      <c r="R150" s="25" t="s">
        <v>2434</v>
      </c>
      <c r="S150" s="73" t="s">
        <v>2210</v>
      </c>
    </row>
    <row r="151" spans="1:19" x14ac:dyDescent="0.2">
      <c r="A151" s="1">
        <v>150</v>
      </c>
      <c r="B151" s="1" t="s">
        <v>8</v>
      </c>
      <c r="C151" s="1" t="s">
        <v>2445</v>
      </c>
      <c r="D151" s="1" t="s">
        <v>869</v>
      </c>
      <c r="E151" s="1" t="s">
        <v>824</v>
      </c>
      <c r="F151" s="66" t="s">
        <v>878</v>
      </c>
      <c r="G151" s="24" t="s">
        <v>1162</v>
      </c>
      <c r="H151" s="16">
        <v>28</v>
      </c>
      <c r="I151" s="25">
        <v>3</v>
      </c>
      <c r="J151" s="56">
        <v>840</v>
      </c>
      <c r="K151" s="15">
        <v>380</v>
      </c>
      <c r="L151" s="24" t="s">
        <v>2052</v>
      </c>
      <c r="M151" s="24" t="s">
        <v>2016</v>
      </c>
      <c r="N151" s="1" t="s">
        <v>2013</v>
      </c>
      <c r="O151" s="15" t="s">
        <v>2082</v>
      </c>
      <c r="P151" s="15" t="s">
        <v>2442</v>
      </c>
      <c r="Q151" s="25" t="s">
        <v>2088</v>
      </c>
      <c r="R151" s="25" t="s">
        <v>2436</v>
      </c>
      <c r="S151" s="73" t="s">
        <v>2206</v>
      </c>
    </row>
    <row r="152" spans="1:19" x14ac:dyDescent="0.2">
      <c r="A152" s="1">
        <v>151</v>
      </c>
      <c r="B152" s="1" t="s">
        <v>7</v>
      </c>
      <c r="C152" s="1" t="s">
        <v>2445</v>
      </c>
      <c r="D152" s="1" t="s">
        <v>869</v>
      </c>
      <c r="E152" s="1" t="s">
        <v>826</v>
      </c>
      <c r="F152" s="66" t="s">
        <v>879</v>
      </c>
      <c r="G152" s="24" t="s">
        <v>1163</v>
      </c>
      <c r="H152" s="16">
        <v>50</v>
      </c>
      <c r="I152" s="25">
        <v>4</v>
      </c>
      <c r="J152" s="56">
        <v>990</v>
      </c>
      <c r="K152" s="15">
        <v>500</v>
      </c>
      <c r="L152" s="24" t="s">
        <v>2041</v>
      </c>
      <c r="M152" s="24" t="s">
        <v>2024</v>
      </c>
      <c r="N152" s="1" t="s">
        <v>2013</v>
      </c>
      <c r="O152" s="15" t="s">
        <v>2082</v>
      </c>
      <c r="P152" s="15" t="s">
        <v>2442</v>
      </c>
      <c r="Q152" s="25" t="s">
        <v>2089</v>
      </c>
      <c r="R152" s="25" t="s">
        <v>2437</v>
      </c>
      <c r="S152" s="73" t="s">
        <v>2211</v>
      </c>
    </row>
    <row r="153" spans="1:19" x14ac:dyDescent="0.2">
      <c r="A153" s="1">
        <v>152</v>
      </c>
      <c r="B153" s="1" t="s">
        <v>7</v>
      </c>
      <c r="C153" s="1" t="s">
        <v>2445</v>
      </c>
      <c r="D153" s="1" t="s">
        <v>869</v>
      </c>
      <c r="E153" s="1" t="s">
        <v>818</v>
      </c>
      <c r="F153" s="66" t="s">
        <v>880</v>
      </c>
      <c r="G153" s="24" t="s">
        <v>1164</v>
      </c>
      <c r="H153" s="16">
        <v>39</v>
      </c>
      <c r="I153" s="25">
        <v>1</v>
      </c>
      <c r="J153" s="56">
        <v>700</v>
      </c>
      <c r="K153" s="15">
        <v>500</v>
      </c>
      <c r="L153" s="24" t="s">
        <v>2041</v>
      </c>
      <c r="M153" s="24" t="s">
        <v>2016</v>
      </c>
      <c r="N153" s="1" t="s">
        <v>2013</v>
      </c>
      <c r="O153" s="15" t="s">
        <v>2082</v>
      </c>
      <c r="P153" s="15" t="s">
        <v>2442</v>
      </c>
      <c r="Q153" s="25" t="s">
        <v>2086</v>
      </c>
      <c r="R153" s="25" t="s">
        <v>2435</v>
      </c>
      <c r="S153" s="73" t="s">
        <v>2212</v>
      </c>
    </row>
    <row r="154" spans="1:19" x14ac:dyDescent="0.2">
      <c r="A154" s="1">
        <v>153</v>
      </c>
      <c r="B154" s="1" t="s">
        <v>12</v>
      </c>
      <c r="C154" s="1" t="s">
        <v>2445</v>
      </c>
      <c r="D154" s="1" t="s">
        <v>869</v>
      </c>
      <c r="E154" s="1" t="s">
        <v>818</v>
      </c>
      <c r="F154" s="66" t="s">
        <v>881</v>
      </c>
      <c r="G154" s="24" t="s">
        <v>1165</v>
      </c>
      <c r="H154" s="16">
        <v>31</v>
      </c>
      <c r="I154" s="25">
        <v>5</v>
      </c>
      <c r="J154" s="56">
        <v>1530</v>
      </c>
      <c r="K154" s="15">
        <v>800</v>
      </c>
      <c r="L154" s="24" t="s">
        <v>2035</v>
      </c>
      <c r="M154" s="24" t="s">
        <v>2016</v>
      </c>
      <c r="N154" s="1" t="s">
        <v>2013</v>
      </c>
      <c r="O154" s="15" t="s">
        <v>2082</v>
      </c>
      <c r="P154" s="15" t="s">
        <v>2442</v>
      </c>
      <c r="Q154" s="25" t="s">
        <v>2085</v>
      </c>
      <c r="R154" s="25" t="s">
        <v>2436</v>
      </c>
      <c r="S154" s="73" t="s">
        <v>2213</v>
      </c>
    </row>
    <row r="155" spans="1:19" x14ac:dyDescent="0.2">
      <c r="A155" s="3">
        <v>154</v>
      </c>
      <c r="B155" s="3" t="s">
        <v>8</v>
      </c>
      <c r="C155" s="1" t="s">
        <v>2445</v>
      </c>
      <c r="D155" s="1" t="s">
        <v>869</v>
      </c>
      <c r="E155" s="3" t="s">
        <v>824</v>
      </c>
      <c r="F155" s="66" t="s">
        <v>882</v>
      </c>
      <c r="G155" s="24" t="s">
        <v>1166</v>
      </c>
      <c r="H155" s="16">
        <v>44</v>
      </c>
      <c r="I155" s="25">
        <v>3</v>
      </c>
      <c r="J155" s="57">
        <v>715</v>
      </c>
      <c r="K155" s="29">
        <v>350</v>
      </c>
      <c r="L155" s="24" t="s">
        <v>2018</v>
      </c>
      <c r="M155" s="24" t="s">
        <v>2020</v>
      </c>
      <c r="N155" s="1" t="s">
        <v>2013</v>
      </c>
      <c r="O155" s="15" t="s">
        <v>2082</v>
      </c>
      <c r="P155" s="15" t="s">
        <v>2442</v>
      </c>
      <c r="Q155" s="25" t="s">
        <v>2084</v>
      </c>
      <c r="R155" s="25" t="s">
        <v>2434</v>
      </c>
      <c r="S155" s="73" t="s">
        <v>2214</v>
      </c>
    </row>
    <row r="156" spans="1:19" x14ac:dyDescent="0.2">
      <c r="A156" s="3">
        <v>155</v>
      </c>
      <c r="B156" s="3" t="s">
        <v>13</v>
      </c>
      <c r="C156" s="1" t="s">
        <v>2445</v>
      </c>
      <c r="D156" s="1" t="s">
        <v>869</v>
      </c>
      <c r="E156" s="3" t="s">
        <v>824</v>
      </c>
      <c r="F156" s="66" t="s">
        <v>881</v>
      </c>
      <c r="G156" s="24" t="s">
        <v>1167</v>
      </c>
      <c r="H156" s="16">
        <v>26</v>
      </c>
      <c r="I156" s="25">
        <v>2</v>
      </c>
      <c r="J156" s="57">
        <v>670</v>
      </c>
      <c r="K156" s="29">
        <v>380</v>
      </c>
      <c r="L156" s="24" t="s">
        <v>2037</v>
      </c>
      <c r="M156" s="24" t="s">
        <v>2014</v>
      </c>
      <c r="N156" s="1" t="s">
        <v>2013</v>
      </c>
      <c r="O156" s="15" t="s">
        <v>2082</v>
      </c>
      <c r="P156" s="15" t="s">
        <v>2442</v>
      </c>
      <c r="Q156" s="25" t="s">
        <v>2087</v>
      </c>
      <c r="R156" s="25" t="s">
        <v>2437</v>
      </c>
      <c r="S156" s="73" t="s">
        <v>2215</v>
      </c>
    </row>
    <row r="157" spans="1:19" x14ac:dyDescent="0.2">
      <c r="A157" s="1">
        <v>156</v>
      </c>
      <c r="B157" s="1" t="s">
        <v>5</v>
      </c>
      <c r="C157" s="1" t="s">
        <v>2445</v>
      </c>
      <c r="D157" s="1" t="s">
        <v>869</v>
      </c>
      <c r="E157" s="1" t="s">
        <v>818</v>
      </c>
      <c r="F157" s="66" t="s">
        <v>883</v>
      </c>
      <c r="G157" s="24" t="s">
        <v>1168</v>
      </c>
      <c r="H157" s="16">
        <v>48</v>
      </c>
      <c r="I157" s="25">
        <v>4</v>
      </c>
      <c r="J157" s="56">
        <v>940</v>
      </c>
      <c r="K157" s="15">
        <v>500</v>
      </c>
      <c r="L157" s="24" t="s">
        <v>2046</v>
      </c>
      <c r="M157" s="24" t="s">
        <v>2016</v>
      </c>
      <c r="N157" s="1" t="s">
        <v>2013</v>
      </c>
      <c r="O157" s="15" t="s">
        <v>2082</v>
      </c>
      <c r="P157" s="15" t="s">
        <v>2442</v>
      </c>
      <c r="Q157" s="25" t="s">
        <v>2083</v>
      </c>
      <c r="R157" s="25" t="s">
        <v>2435</v>
      </c>
      <c r="S157" s="73" t="s">
        <v>2216</v>
      </c>
    </row>
    <row r="158" spans="1:19" x14ac:dyDescent="0.2">
      <c r="A158" s="1">
        <v>157</v>
      </c>
      <c r="B158" s="1" t="s">
        <v>7</v>
      </c>
      <c r="C158" s="1" t="s">
        <v>2445</v>
      </c>
      <c r="D158" s="1" t="s">
        <v>869</v>
      </c>
      <c r="E158" s="1" t="s">
        <v>824</v>
      </c>
      <c r="F158" s="66" t="s">
        <v>884</v>
      </c>
      <c r="G158" s="24" t="s">
        <v>1169</v>
      </c>
      <c r="H158" s="16">
        <v>53</v>
      </c>
      <c r="I158" s="25">
        <v>1</v>
      </c>
      <c r="J158" s="56">
        <v>990</v>
      </c>
      <c r="K158" s="15">
        <v>500</v>
      </c>
      <c r="L158" s="24" t="s">
        <v>2029</v>
      </c>
      <c r="M158" s="24" t="s">
        <v>2016</v>
      </c>
      <c r="N158" s="1" t="s">
        <v>2013</v>
      </c>
      <c r="O158" s="15" t="s">
        <v>2082</v>
      </c>
      <c r="P158" s="15" t="s">
        <v>2442</v>
      </c>
      <c r="Q158" s="25" t="s">
        <v>2090</v>
      </c>
      <c r="R158" s="25" t="s">
        <v>2434</v>
      </c>
      <c r="S158" s="73" t="s">
        <v>2217</v>
      </c>
    </row>
    <row r="159" spans="1:19" x14ac:dyDescent="0.2">
      <c r="A159" s="3">
        <v>158</v>
      </c>
      <c r="B159" s="3" t="s">
        <v>7</v>
      </c>
      <c r="C159" s="1" t="s">
        <v>2445</v>
      </c>
      <c r="D159" s="1" t="s">
        <v>869</v>
      </c>
      <c r="E159" s="3" t="s">
        <v>821</v>
      </c>
      <c r="F159" s="67" t="s">
        <v>931</v>
      </c>
      <c r="G159" s="24" t="s">
        <v>1170</v>
      </c>
      <c r="H159" s="16">
        <v>30</v>
      </c>
      <c r="I159" s="25">
        <v>5</v>
      </c>
      <c r="J159" s="57">
        <v>990</v>
      </c>
      <c r="K159" s="29">
        <v>500</v>
      </c>
      <c r="L159" s="24" t="s">
        <v>2038</v>
      </c>
      <c r="M159" s="24" t="s">
        <v>2020</v>
      </c>
      <c r="N159" s="1" t="s">
        <v>2013</v>
      </c>
      <c r="O159" s="15" t="s">
        <v>2082</v>
      </c>
      <c r="P159" s="15" t="s">
        <v>2442</v>
      </c>
      <c r="Q159" s="25" t="s">
        <v>2083</v>
      </c>
      <c r="R159" s="25" t="s">
        <v>2436</v>
      </c>
      <c r="S159" s="73" t="s">
        <v>2093</v>
      </c>
    </row>
    <row r="160" spans="1:19" x14ac:dyDescent="0.2">
      <c r="A160" s="3">
        <v>159</v>
      </c>
      <c r="B160" s="3" t="s">
        <v>7</v>
      </c>
      <c r="C160" s="1" t="s">
        <v>2445</v>
      </c>
      <c r="D160" s="1" t="s">
        <v>869</v>
      </c>
      <c r="E160" s="3" t="s">
        <v>821</v>
      </c>
      <c r="F160" s="66" t="s">
        <v>929</v>
      </c>
      <c r="G160" s="24" t="s">
        <v>1171</v>
      </c>
      <c r="H160" s="16">
        <v>37</v>
      </c>
      <c r="I160" s="25">
        <v>2</v>
      </c>
      <c r="J160" s="57">
        <v>900</v>
      </c>
      <c r="K160" s="29">
        <v>500</v>
      </c>
      <c r="L160" s="24" t="s">
        <v>2053</v>
      </c>
      <c r="M160" s="24" t="s">
        <v>2014</v>
      </c>
      <c r="N160" s="1" t="s">
        <v>2013</v>
      </c>
      <c r="O160" s="15" t="s">
        <v>2082</v>
      </c>
      <c r="P160" s="15" t="s">
        <v>2442</v>
      </c>
      <c r="Q160" s="25" t="s">
        <v>2083</v>
      </c>
      <c r="R160" s="25" t="s">
        <v>2437</v>
      </c>
      <c r="S160" s="73" t="s">
        <v>2218</v>
      </c>
    </row>
    <row r="161" spans="1:19" x14ac:dyDescent="0.2">
      <c r="A161" s="3">
        <v>160</v>
      </c>
      <c r="B161" s="3" t="s">
        <v>2</v>
      </c>
      <c r="C161" s="1" t="s">
        <v>2445</v>
      </c>
      <c r="D161" s="1" t="s">
        <v>869</v>
      </c>
      <c r="E161" s="3" t="s">
        <v>826</v>
      </c>
      <c r="F161" s="66" t="s">
        <v>882</v>
      </c>
      <c r="G161" s="24" t="s">
        <v>1172</v>
      </c>
      <c r="H161" s="16">
        <v>42</v>
      </c>
      <c r="I161" s="25">
        <v>3</v>
      </c>
      <c r="J161" s="57">
        <v>890</v>
      </c>
      <c r="K161" s="29">
        <v>400</v>
      </c>
      <c r="L161" s="24" t="s">
        <v>2018</v>
      </c>
      <c r="M161" s="24" t="s">
        <v>2020</v>
      </c>
      <c r="N161" s="1" t="s">
        <v>2013</v>
      </c>
      <c r="O161" s="15" t="s">
        <v>2082</v>
      </c>
      <c r="P161" s="15" t="s">
        <v>2442</v>
      </c>
      <c r="Q161" s="25" t="s">
        <v>2083</v>
      </c>
      <c r="R161" s="25" t="s">
        <v>2435</v>
      </c>
      <c r="S161" s="73" t="s">
        <v>2181</v>
      </c>
    </row>
    <row r="162" spans="1:19" x14ac:dyDescent="0.2">
      <c r="A162" s="3">
        <v>161</v>
      </c>
      <c r="B162" s="3" t="s">
        <v>5</v>
      </c>
      <c r="C162" s="1" t="s">
        <v>2445</v>
      </c>
      <c r="D162" s="1" t="s">
        <v>869</v>
      </c>
      <c r="E162" s="3" t="s">
        <v>821</v>
      </c>
      <c r="F162" s="66" t="s">
        <v>930</v>
      </c>
      <c r="G162" s="24" t="s">
        <v>1173</v>
      </c>
      <c r="H162" s="16">
        <v>24</v>
      </c>
      <c r="I162" s="25">
        <v>4</v>
      </c>
      <c r="J162" s="57">
        <v>1040</v>
      </c>
      <c r="K162" s="29">
        <v>500</v>
      </c>
      <c r="L162" s="24" t="s">
        <v>2041</v>
      </c>
      <c r="M162" s="24" t="s">
        <v>2024</v>
      </c>
      <c r="N162" s="1" t="s">
        <v>2013</v>
      </c>
      <c r="O162" s="15" t="s">
        <v>2082</v>
      </c>
      <c r="P162" s="15" t="s">
        <v>2442</v>
      </c>
      <c r="Q162" s="25" t="s">
        <v>2088</v>
      </c>
      <c r="R162" s="25" t="s">
        <v>2436</v>
      </c>
      <c r="S162" s="73" t="s">
        <v>2219</v>
      </c>
    </row>
    <row r="163" spans="1:19" x14ac:dyDescent="0.2">
      <c r="A163" s="1">
        <v>162</v>
      </c>
      <c r="B163" s="1" t="s">
        <v>13</v>
      </c>
      <c r="C163" s="1" t="s">
        <v>2445</v>
      </c>
      <c r="D163" s="1" t="s">
        <v>869</v>
      </c>
      <c r="E163" s="1" t="s">
        <v>817</v>
      </c>
      <c r="F163" s="67" t="s">
        <v>915</v>
      </c>
      <c r="G163" s="24" t="s">
        <v>1174</v>
      </c>
      <c r="H163" s="16">
        <v>57</v>
      </c>
      <c r="I163" s="25">
        <v>1</v>
      </c>
      <c r="J163" s="56">
        <v>1040</v>
      </c>
      <c r="K163" s="15">
        <v>350</v>
      </c>
      <c r="L163" s="24" t="s">
        <v>2060</v>
      </c>
      <c r="M163" s="24" t="s">
        <v>2024</v>
      </c>
      <c r="N163" s="1" t="s">
        <v>2013</v>
      </c>
      <c r="O163" s="15" t="s">
        <v>2082</v>
      </c>
      <c r="P163" s="15" t="s">
        <v>2442</v>
      </c>
      <c r="Q163" s="25" t="s">
        <v>2085</v>
      </c>
      <c r="R163" s="25" t="s">
        <v>2434</v>
      </c>
      <c r="S163" s="73" t="s">
        <v>2220</v>
      </c>
    </row>
    <row r="164" spans="1:19" x14ac:dyDescent="0.2">
      <c r="A164" s="1">
        <v>163</v>
      </c>
      <c r="B164" s="1" t="s">
        <v>7</v>
      </c>
      <c r="C164" s="1" t="s">
        <v>2445</v>
      </c>
      <c r="D164" s="1" t="s">
        <v>869</v>
      </c>
      <c r="E164" s="1" t="s">
        <v>826</v>
      </c>
      <c r="F164" s="66" t="s">
        <v>920</v>
      </c>
      <c r="G164" s="24" t="s">
        <v>1175</v>
      </c>
      <c r="H164" s="16">
        <v>35</v>
      </c>
      <c r="I164" s="25">
        <v>5</v>
      </c>
      <c r="J164" s="56">
        <v>990</v>
      </c>
      <c r="K164" s="15">
        <v>500</v>
      </c>
      <c r="L164" s="24" t="s">
        <v>2049</v>
      </c>
      <c r="M164" s="24" t="s">
        <v>2016</v>
      </c>
      <c r="N164" s="1" t="s">
        <v>2013</v>
      </c>
      <c r="O164" s="15" t="s">
        <v>2082</v>
      </c>
      <c r="P164" s="15" t="s">
        <v>2442</v>
      </c>
      <c r="Q164" s="25" t="s">
        <v>2084</v>
      </c>
      <c r="R164" s="25" t="s">
        <v>2437</v>
      </c>
      <c r="S164" s="73" t="s">
        <v>2221</v>
      </c>
    </row>
    <row r="165" spans="1:19" x14ac:dyDescent="0.2">
      <c r="A165" s="1">
        <v>164</v>
      </c>
      <c r="B165" s="1" t="s">
        <v>11</v>
      </c>
      <c r="C165" s="1" t="s">
        <v>2445</v>
      </c>
      <c r="D165" s="1" t="s">
        <v>869</v>
      </c>
      <c r="E165" s="1" t="s">
        <v>817</v>
      </c>
      <c r="F165" s="67" t="s">
        <v>921</v>
      </c>
      <c r="G165" s="24" t="s">
        <v>1176</v>
      </c>
      <c r="H165" s="16">
        <v>40</v>
      </c>
      <c r="I165" s="25">
        <v>3</v>
      </c>
      <c r="J165" s="56">
        <v>4470</v>
      </c>
      <c r="K165" s="15">
        <v>3100</v>
      </c>
      <c r="L165" s="24" t="s">
        <v>2021</v>
      </c>
      <c r="M165" s="24" t="s">
        <v>2020</v>
      </c>
      <c r="N165" s="1" t="s">
        <v>2013</v>
      </c>
      <c r="O165" s="15" t="s">
        <v>2082</v>
      </c>
      <c r="P165" s="15" t="s">
        <v>2442</v>
      </c>
      <c r="Q165" s="25" t="s">
        <v>2090</v>
      </c>
      <c r="R165" s="25" t="s">
        <v>2435</v>
      </c>
      <c r="S165" s="73" t="s">
        <v>2100</v>
      </c>
    </row>
    <row r="166" spans="1:19" x14ac:dyDescent="0.2">
      <c r="A166" s="3">
        <v>165</v>
      </c>
      <c r="B166" s="3" t="s">
        <v>2</v>
      </c>
      <c r="C166" s="1" t="s">
        <v>2445</v>
      </c>
      <c r="D166" s="1" t="s">
        <v>869</v>
      </c>
      <c r="E166" s="3" t="s">
        <v>817</v>
      </c>
      <c r="F166" s="67" t="s">
        <v>922</v>
      </c>
      <c r="G166" s="24" t="s">
        <v>1177</v>
      </c>
      <c r="H166" s="16">
        <v>21</v>
      </c>
      <c r="I166" s="25">
        <v>2</v>
      </c>
      <c r="J166" s="57">
        <v>1240</v>
      </c>
      <c r="K166" s="29">
        <v>750</v>
      </c>
      <c r="L166" s="24" t="s">
        <v>2029</v>
      </c>
      <c r="M166" s="24" t="s">
        <v>2016</v>
      </c>
      <c r="N166" s="1" t="s">
        <v>2013</v>
      </c>
      <c r="O166" s="15" t="s">
        <v>2082</v>
      </c>
      <c r="P166" s="15" t="s">
        <v>2442</v>
      </c>
      <c r="Q166" s="25" t="s">
        <v>2086</v>
      </c>
      <c r="R166" s="25" t="s">
        <v>2434</v>
      </c>
      <c r="S166" s="73" t="s">
        <v>2218</v>
      </c>
    </row>
    <row r="167" spans="1:19" x14ac:dyDescent="0.2">
      <c r="A167" s="1">
        <v>166</v>
      </c>
      <c r="B167" s="1" t="s">
        <v>16</v>
      </c>
      <c r="C167" s="1" t="s">
        <v>2445</v>
      </c>
      <c r="D167" s="1" t="s">
        <v>869</v>
      </c>
      <c r="E167" s="1" t="s">
        <v>817</v>
      </c>
      <c r="F167" s="67" t="s">
        <v>923</v>
      </c>
      <c r="G167" s="24" t="s">
        <v>1178</v>
      </c>
      <c r="H167" s="16">
        <v>59</v>
      </c>
      <c r="I167" s="25">
        <v>4</v>
      </c>
      <c r="J167" s="56">
        <v>1500</v>
      </c>
      <c r="K167" s="15">
        <v>750</v>
      </c>
      <c r="L167" s="24" t="s">
        <v>2019</v>
      </c>
      <c r="M167" s="24" t="s">
        <v>2014</v>
      </c>
      <c r="N167" s="1" t="s">
        <v>2013</v>
      </c>
      <c r="O167" s="15" t="s">
        <v>2762</v>
      </c>
      <c r="P167" s="15" t="s">
        <v>2442</v>
      </c>
      <c r="Q167" s="25" t="s">
        <v>2088</v>
      </c>
      <c r="R167" s="25" t="s">
        <v>2436</v>
      </c>
      <c r="S167" s="73" t="s">
        <v>2222</v>
      </c>
    </row>
    <row r="168" spans="1:19" x14ac:dyDescent="0.2">
      <c r="A168" s="1">
        <v>167</v>
      </c>
      <c r="B168" s="1" t="s">
        <v>8</v>
      </c>
      <c r="C168" s="1" t="s">
        <v>2445</v>
      </c>
      <c r="D168" s="1" t="s">
        <v>869</v>
      </c>
      <c r="E168" s="1" t="s">
        <v>826</v>
      </c>
      <c r="F168" s="67" t="s">
        <v>924</v>
      </c>
      <c r="G168" s="24" t="s">
        <v>1179</v>
      </c>
      <c r="H168" s="16">
        <v>32</v>
      </c>
      <c r="I168" s="25">
        <v>1</v>
      </c>
      <c r="J168" s="56">
        <v>1655</v>
      </c>
      <c r="K168" s="15">
        <v>1000</v>
      </c>
      <c r="L168" s="24" t="s">
        <v>2033</v>
      </c>
      <c r="M168" s="24" t="s">
        <v>2016</v>
      </c>
      <c r="N168" s="1" t="s">
        <v>2013</v>
      </c>
      <c r="O168" s="15" t="s">
        <v>2082</v>
      </c>
      <c r="P168" s="15" t="s">
        <v>2442</v>
      </c>
      <c r="Q168" s="25" t="s">
        <v>2090</v>
      </c>
      <c r="R168" s="25" t="s">
        <v>2437</v>
      </c>
      <c r="S168" s="73" t="s">
        <v>2092</v>
      </c>
    </row>
    <row r="169" spans="1:19" x14ac:dyDescent="0.2">
      <c r="A169" s="1">
        <v>168</v>
      </c>
      <c r="B169" s="1" t="s">
        <v>5</v>
      </c>
      <c r="C169" s="1" t="s">
        <v>2445</v>
      </c>
      <c r="D169" s="1" t="s">
        <v>869</v>
      </c>
      <c r="E169" s="1" t="s">
        <v>817</v>
      </c>
      <c r="F169" s="67" t="s">
        <v>925</v>
      </c>
      <c r="G169" s="24" t="s">
        <v>1180</v>
      </c>
      <c r="H169" s="16">
        <v>46</v>
      </c>
      <c r="I169" s="25">
        <v>5</v>
      </c>
      <c r="J169" s="56">
        <v>890</v>
      </c>
      <c r="K169" s="15">
        <v>350</v>
      </c>
      <c r="L169" s="24" t="s">
        <v>2055</v>
      </c>
      <c r="M169" s="24" t="s">
        <v>2014</v>
      </c>
      <c r="N169" s="1" t="s">
        <v>2013</v>
      </c>
      <c r="O169" s="15" t="s">
        <v>2082</v>
      </c>
      <c r="P169" s="15" t="s">
        <v>2442</v>
      </c>
      <c r="Q169" s="25" t="s">
        <v>2083</v>
      </c>
      <c r="R169" s="25" t="s">
        <v>2435</v>
      </c>
      <c r="S169" s="73" t="s">
        <v>2223</v>
      </c>
    </row>
    <row r="170" spans="1:19" x14ac:dyDescent="0.2">
      <c r="A170" s="1">
        <v>168</v>
      </c>
      <c r="B170" s="1" t="s">
        <v>3</v>
      </c>
      <c r="C170" s="1" t="s">
        <v>2445</v>
      </c>
      <c r="D170" s="1" t="s">
        <v>869</v>
      </c>
      <c r="E170" s="1" t="s">
        <v>824</v>
      </c>
      <c r="F170" s="69" t="s">
        <v>904</v>
      </c>
      <c r="G170" s="24" t="s">
        <v>1181</v>
      </c>
      <c r="H170" s="16">
        <v>54</v>
      </c>
      <c r="I170" s="25">
        <v>2</v>
      </c>
      <c r="J170" s="56">
        <v>790</v>
      </c>
      <c r="K170" s="15">
        <v>790</v>
      </c>
      <c r="L170" s="24" t="s">
        <v>2062</v>
      </c>
      <c r="M170" s="24" t="s">
        <v>2024</v>
      </c>
      <c r="N170" s="1" t="s">
        <v>2013</v>
      </c>
      <c r="O170" s="15" t="s">
        <v>2082</v>
      </c>
      <c r="P170" s="15" t="s">
        <v>2442</v>
      </c>
      <c r="Q170" s="25" t="s">
        <v>2086</v>
      </c>
      <c r="R170" s="25" t="s">
        <v>2436</v>
      </c>
      <c r="S170" s="73" t="s">
        <v>2224</v>
      </c>
    </row>
    <row r="171" spans="1:19" x14ac:dyDescent="0.2">
      <c r="A171" s="1">
        <v>169</v>
      </c>
      <c r="B171" s="1" t="s">
        <v>2</v>
      </c>
      <c r="C171" s="1" t="s">
        <v>2445</v>
      </c>
      <c r="D171" s="1" t="s">
        <v>869</v>
      </c>
      <c r="E171" s="1" t="s">
        <v>818</v>
      </c>
      <c r="F171" s="66" t="s">
        <v>926</v>
      </c>
      <c r="G171" s="24" t="s">
        <v>1182</v>
      </c>
      <c r="H171" s="16">
        <v>25</v>
      </c>
      <c r="I171" s="25">
        <v>3</v>
      </c>
      <c r="J171" s="56">
        <v>1650</v>
      </c>
      <c r="K171" s="15">
        <v>800</v>
      </c>
      <c r="L171" s="24" t="s">
        <v>2057</v>
      </c>
      <c r="M171" s="24" t="s">
        <v>2020</v>
      </c>
      <c r="N171" s="1" t="s">
        <v>2013</v>
      </c>
      <c r="O171" s="15" t="s">
        <v>2082</v>
      </c>
      <c r="P171" s="15" t="s">
        <v>2442</v>
      </c>
      <c r="Q171" s="25" t="s">
        <v>2089</v>
      </c>
      <c r="R171" s="25" t="s">
        <v>2434</v>
      </c>
      <c r="S171" s="73" t="s">
        <v>2128</v>
      </c>
    </row>
    <row r="172" spans="1:19" x14ac:dyDescent="0.2">
      <c r="A172" s="1">
        <v>170</v>
      </c>
      <c r="B172" s="1" t="s">
        <v>7</v>
      </c>
      <c r="C172" s="1" t="s">
        <v>2445</v>
      </c>
      <c r="D172" s="1" t="s">
        <v>869</v>
      </c>
      <c r="E172" s="1" t="s">
        <v>826</v>
      </c>
      <c r="F172" s="66" t="s">
        <v>927</v>
      </c>
      <c r="G172" s="24" t="s">
        <v>1183</v>
      </c>
      <c r="H172" s="16">
        <v>43</v>
      </c>
      <c r="I172" s="25">
        <v>4</v>
      </c>
      <c r="J172" s="56">
        <v>1100</v>
      </c>
      <c r="K172" s="15">
        <v>700</v>
      </c>
      <c r="L172" s="24" t="s">
        <v>2058</v>
      </c>
      <c r="M172" s="24" t="s">
        <v>2020</v>
      </c>
      <c r="N172" s="1" t="s">
        <v>2013</v>
      </c>
      <c r="O172" s="15" t="s">
        <v>2082</v>
      </c>
      <c r="P172" s="15" t="s">
        <v>2442</v>
      </c>
      <c r="Q172" s="25" t="s">
        <v>2085</v>
      </c>
      <c r="R172" s="25" t="s">
        <v>2437</v>
      </c>
      <c r="S172" s="73" t="s">
        <v>2109</v>
      </c>
    </row>
    <row r="173" spans="1:19" x14ac:dyDescent="0.2">
      <c r="A173" s="1">
        <v>171</v>
      </c>
      <c r="B173" s="1" t="s">
        <v>8</v>
      </c>
      <c r="C173" s="1" t="s">
        <v>2445</v>
      </c>
      <c r="D173" s="1" t="s">
        <v>869</v>
      </c>
      <c r="E173" s="1" t="s">
        <v>817</v>
      </c>
      <c r="F173" s="66" t="s">
        <v>877</v>
      </c>
      <c r="G173" s="24" t="s">
        <v>1184</v>
      </c>
      <c r="H173" s="16">
        <v>58</v>
      </c>
      <c r="I173" s="25">
        <v>5</v>
      </c>
      <c r="J173" s="56">
        <v>1190</v>
      </c>
      <c r="K173" s="15">
        <v>650</v>
      </c>
      <c r="L173" s="24" t="s">
        <v>2019</v>
      </c>
      <c r="M173" s="24" t="s">
        <v>2014</v>
      </c>
      <c r="N173" s="1" t="s">
        <v>2013</v>
      </c>
      <c r="O173" s="15" t="s">
        <v>2082</v>
      </c>
      <c r="P173" s="15" t="s">
        <v>2442</v>
      </c>
      <c r="Q173" s="25" t="s">
        <v>2090</v>
      </c>
      <c r="R173" s="25" t="s">
        <v>2435</v>
      </c>
      <c r="S173" s="73" t="s">
        <v>2225</v>
      </c>
    </row>
    <row r="174" spans="1:19" x14ac:dyDescent="0.2">
      <c r="A174" s="1">
        <v>172</v>
      </c>
      <c r="B174" s="1" t="s">
        <v>7</v>
      </c>
      <c r="C174" s="1" t="s">
        <v>2445</v>
      </c>
      <c r="D174" s="1" t="s">
        <v>869</v>
      </c>
      <c r="E174" s="1" t="s">
        <v>817</v>
      </c>
      <c r="F174" s="66" t="s">
        <v>878</v>
      </c>
      <c r="G174" s="24" t="s">
        <v>1185</v>
      </c>
      <c r="H174" s="16">
        <v>20</v>
      </c>
      <c r="I174" s="25">
        <v>2</v>
      </c>
      <c r="J174" s="56">
        <v>990</v>
      </c>
      <c r="K174" s="15">
        <v>400</v>
      </c>
      <c r="L174" s="24" t="s">
        <v>2046</v>
      </c>
      <c r="M174" s="24" t="s">
        <v>2016</v>
      </c>
      <c r="N174" s="1" t="s">
        <v>2013</v>
      </c>
      <c r="O174" s="15" t="s">
        <v>2082</v>
      </c>
      <c r="P174" s="15" t="s">
        <v>2442</v>
      </c>
      <c r="Q174" s="25" t="s">
        <v>2087</v>
      </c>
      <c r="R174" s="25" t="s">
        <v>2434</v>
      </c>
      <c r="S174" s="73" t="s">
        <v>2226</v>
      </c>
    </row>
    <row r="175" spans="1:19" x14ac:dyDescent="0.2">
      <c r="A175" s="1">
        <v>173</v>
      </c>
      <c r="B175" s="1" t="s">
        <v>7</v>
      </c>
      <c r="C175" s="1" t="s">
        <v>2445</v>
      </c>
      <c r="D175" s="1" t="s">
        <v>869</v>
      </c>
      <c r="E175" s="1" t="s">
        <v>824</v>
      </c>
      <c r="F175" s="66" t="s">
        <v>879</v>
      </c>
      <c r="G175" s="24" t="s">
        <v>1186</v>
      </c>
      <c r="H175" s="16">
        <v>49</v>
      </c>
      <c r="I175" s="25">
        <v>3</v>
      </c>
      <c r="J175" s="56">
        <v>890</v>
      </c>
      <c r="K175" s="15">
        <v>500</v>
      </c>
      <c r="L175" s="24" t="s">
        <v>2028</v>
      </c>
      <c r="M175" s="24" t="s">
        <v>2014</v>
      </c>
      <c r="N175" s="1" t="s">
        <v>2013</v>
      </c>
      <c r="O175" s="15" t="s">
        <v>2082</v>
      </c>
      <c r="P175" s="15" t="s">
        <v>2442</v>
      </c>
      <c r="Q175" s="25" t="s">
        <v>2090</v>
      </c>
      <c r="R175" s="25" t="s">
        <v>2436</v>
      </c>
      <c r="S175" s="73" t="s">
        <v>2102</v>
      </c>
    </row>
    <row r="176" spans="1:19" x14ac:dyDescent="0.2">
      <c r="A176" s="3">
        <v>174</v>
      </c>
      <c r="B176" s="3" t="s">
        <v>12</v>
      </c>
      <c r="C176" s="1" t="s">
        <v>2445</v>
      </c>
      <c r="D176" s="1" t="s">
        <v>869</v>
      </c>
      <c r="E176" s="3" t="s">
        <v>817</v>
      </c>
      <c r="F176" s="66" t="s">
        <v>880</v>
      </c>
      <c r="G176" s="24" t="s">
        <v>1187</v>
      </c>
      <c r="H176" s="16">
        <v>34</v>
      </c>
      <c r="I176" s="25">
        <v>4</v>
      </c>
      <c r="J176" s="57">
        <v>1650</v>
      </c>
      <c r="K176" s="29">
        <v>1000</v>
      </c>
      <c r="L176" s="24" t="s">
        <v>2058</v>
      </c>
      <c r="M176" s="24" t="s">
        <v>2020</v>
      </c>
      <c r="N176" s="1" t="s">
        <v>2013</v>
      </c>
      <c r="O176" s="15" t="s">
        <v>2082</v>
      </c>
      <c r="P176" s="15" t="s">
        <v>2442</v>
      </c>
      <c r="Q176" s="25" t="s">
        <v>2083</v>
      </c>
      <c r="R176" s="25" t="s">
        <v>2437</v>
      </c>
      <c r="S176" s="73" t="s">
        <v>2136</v>
      </c>
    </row>
    <row r="177" spans="1:19" x14ac:dyDescent="0.2">
      <c r="A177" s="1">
        <v>175</v>
      </c>
      <c r="B177" s="1" t="s">
        <v>845</v>
      </c>
      <c r="C177" s="1" t="s">
        <v>2445</v>
      </c>
      <c r="D177" s="1" t="s">
        <v>869</v>
      </c>
      <c r="E177" s="1" t="s">
        <v>823</v>
      </c>
      <c r="F177" s="66" t="s">
        <v>878</v>
      </c>
      <c r="G177" s="24" t="s">
        <v>1188</v>
      </c>
      <c r="H177" s="16">
        <v>27</v>
      </c>
      <c r="I177" s="25">
        <v>3</v>
      </c>
      <c r="J177" s="56">
        <v>890</v>
      </c>
      <c r="K177" s="15">
        <v>400</v>
      </c>
      <c r="L177" s="24" t="s">
        <v>2033</v>
      </c>
      <c r="M177" s="24" t="s">
        <v>2016</v>
      </c>
      <c r="N177" s="1" t="s">
        <v>2013</v>
      </c>
      <c r="O177" s="15" t="s">
        <v>2082</v>
      </c>
      <c r="P177" s="15" t="s">
        <v>2442</v>
      </c>
      <c r="Q177" s="25" t="s">
        <v>2084</v>
      </c>
      <c r="R177" s="25" t="s">
        <v>2435</v>
      </c>
      <c r="S177" s="73" t="s">
        <v>2227</v>
      </c>
    </row>
    <row r="178" spans="1:19" x14ac:dyDescent="0.2">
      <c r="A178" s="8">
        <v>176</v>
      </c>
      <c r="B178" s="8" t="s">
        <v>5</v>
      </c>
      <c r="C178" s="1" t="s">
        <v>2445</v>
      </c>
      <c r="D178" s="1" t="s">
        <v>869</v>
      </c>
      <c r="E178" s="8" t="s">
        <v>826</v>
      </c>
      <c r="F178" s="66" t="s">
        <v>926</v>
      </c>
      <c r="G178" s="24" t="s">
        <v>1189</v>
      </c>
      <c r="H178" s="16">
        <v>45</v>
      </c>
      <c r="I178" s="25">
        <v>1</v>
      </c>
      <c r="J178" s="60">
        <v>1240</v>
      </c>
      <c r="K178" s="32">
        <v>600</v>
      </c>
      <c r="L178" s="24" t="s">
        <v>2046</v>
      </c>
      <c r="M178" s="24" t="s">
        <v>2016</v>
      </c>
      <c r="N178" s="1" t="s">
        <v>2013</v>
      </c>
      <c r="O178" s="15" t="s">
        <v>2082</v>
      </c>
      <c r="P178" s="15" t="s">
        <v>2442</v>
      </c>
      <c r="Q178" s="25" t="s">
        <v>2085</v>
      </c>
      <c r="R178" s="25" t="s">
        <v>2436</v>
      </c>
      <c r="S178" s="73" t="s">
        <v>2178</v>
      </c>
    </row>
    <row r="179" spans="1:19" x14ac:dyDescent="0.2">
      <c r="A179" s="3">
        <v>177</v>
      </c>
      <c r="B179" s="3" t="s">
        <v>5</v>
      </c>
      <c r="C179" s="1" t="s">
        <v>2445</v>
      </c>
      <c r="D179" s="1" t="s">
        <v>869</v>
      </c>
      <c r="E179" s="3" t="s">
        <v>824</v>
      </c>
      <c r="F179" s="66" t="s">
        <v>927</v>
      </c>
      <c r="G179" s="24" t="s">
        <v>1190</v>
      </c>
      <c r="H179" s="16">
        <v>52</v>
      </c>
      <c r="I179" s="25">
        <v>4</v>
      </c>
      <c r="J179" s="57">
        <v>1090</v>
      </c>
      <c r="K179" s="29">
        <v>600</v>
      </c>
      <c r="L179" s="24" t="s">
        <v>2061</v>
      </c>
      <c r="M179" s="24" t="s">
        <v>2014</v>
      </c>
      <c r="N179" s="1" t="s">
        <v>2013</v>
      </c>
      <c r="O179" s="15" t="s">
        <v>2082</v>
      </c>
      <c r="P179" s="15" t="s">
        <v>2442</v>
      </c>
      <c r="Q179" s="25" t="s">
        <v>2087</v>
      </c>
      <c r="R179" s="25" t="s">
        <v>2434</v>
      </c>
      <c r="S179" s="73" t="s">
        <v>2228</v>
      </c>
    </row>
    <row r="180" spans="1:19" x14ac:dyDescent="0.2">
      <c r="A180" s="1">
        <v>178</v>
      </c>
      <c r="B180" s="1" t="s">
        <v>7</v>
      </c>
      <c r="C180" s="1" t="s">
        <v>2445</v>
      </c>
      <c r="D180" s="1" t="s">
        <v>869</v>
      </c>
      <c r="E180" s="1" t="s">
        <v>824</v>
      </c>
      <c r="F180" s="66" t="s">
        <v>877</v>
      </c>
      <c r="G180" s="24" t="s">
        <v>1191</v>
      </c>
      <c r="H180" s="16">
        <v>23</v>
      </c>
      <c r="I180" s="25">
        <v>5</v>
      </c>
      <c r="J180" s="56">
        <v>990</v>
      </c>
      <c r="K180" s="15">
        <v>500</v>
      </c>
      <c r="L180" s="24" t="s">
        <v>2025</v>
      </c>
      <c r="M180" s="24" t="s">
        <v>2024</v>
      </c>
      <c r="N180" s="1" t="s">
        <v>2013</v>
      </c>
      <c r="O180" s="15" t="s">
        <v>2082</v>
      </c>
      <c r="P180" s="15" t="s">
        <v>2442</v>
      </c>
      <c r="Q180" s="25" t="s">
        <v>2083</v>
      </c>
      <c r="R180" s="25" t="s">
        <v>2437</v>
      </c>
      <c r="S180" s="73" t="s">
        <v>2119</v>
      </c>
    </row>
    <row r="181" spans="1:19" x14ac:dyDescent="0.2">
      <c r="A181" s="3">
        <v>179</v>
      </c>
      <c r="B181" s="3" t="s">
        <v>7</v>
      </c>
      <c r="C181" s="1" t="s">
        <v>2445</v>
      </c>
      <c r="D181" s="1" t="s">
        <v>869</v>
      </c>
      <c r="E181" s="3" t="s">
        <v>817</v>
      </c>
      <c r="F181" s="66" t="s">
        <v>878</v>
      </c>
      <c r="G181" s="24" t="s">
        <v>1192</v>
      </c>
      <c r="H181" s="16">
        <v>38</v>
      </c>
      <c r="I181" s="25">
        <v>3</v>
      </c>
      <c r="J181" s="57">
        <v>990</v>
      </c>
      <c r="K181" s="29">
        <v>400</v>
      </c>
      <c r="L181" s="24" t="s">
        <v>2022</v>
      </c>
      <c r="M181" s="24" t="s">
        <v>2016</v>
      </c>
      <c r="N181" s="1" t="s">
        <v>2013</v>
      </c>
      <c r="O181" s="15" t="s">
        <v>2082</v>
      </c>
      <c r="P181" s="15" t="s">
        <v>2442</v>
      </c>
      <c r="Q181" s="25" t="s">
        <v>2083</v>
      </c>
      <c r="R181" s="25" t="s">
        <v>2435</v>
      </c>
      <c r="S181" s="73" t="s">
        <v>2121</v>
      </c>
    </row>
    <row r="182" spans="1:19" x14ac:dyDescent="0.2">
      <c r="A182" s="3">
        <v>180</v>
      </c>
      <c r="B182" s="3" t="s">
        <v>51</v>
      </c>
      <c r="C182" s="1" t="s">
        <v>2445</v>
      </c>
      <c r="D182" s="1" t="s">
        <v>869</v>
      </c>
      <c r="E182" s="3" t="s">
        <v>817</v>
      </c>
      <c r="F182" s="66" t="s">
        <v>879</v>
      </c>
      <c r="G182" s="24" t="s">
        <v>1193</v>
      </c>
      <c r="H182" s="16">
        <v>41</v>
      </c>
      <c r="I182" s="25">
        <v>2</v>
      </c>
      <c r="J182" s="57">
        <v>1800</v>
      </c>
      <c r="K182" s="29">
        <v>1000</v>
      </c>
      <c r="L182" s="24" t="s">
        <v>2028</v>
      </c>
      <c r="M182" s="24" t="s">
        <v>2016</v>
      </c>
      <c r="N182" s="1" t="s">
        <v>2013</v>
      </c>
      <c r="O182" s="15" t="s">
        <v>2082</v>
      </c>
      <c r="P182" s="15" t="s">
        <v>2442</v>
      </c>
      <c r="Q182" s="25" t="s">
        <v>2086</v>
      </c>
      <c r="R182" s="25" t="s">
        <v>2434</v>
      </c>
      <c r="S182" s="73" t="s">
        <v>2132</v>
      </c>
    </row>
    <row r="183" spans="1:19" x14ac:dyDescent="0.2">
      <c r="A183" s="1">
        <v>181</v>
      </c>
      <c r="B183" s="1" t="s">
        <v>5</v>
      </c>
      <c r="C183" s="1" t="s">
        <v>2445</v>
      </c>
      <c r="D183" s="1" t="s">
        <v>869</v>
      </c>
      <c r="E183" s="1" t="s">
        <v>823</v>
      </c>
      <c r="F183" s="66" t="s">
        <v>880</v>
      </c>
      <c r="G183" s="24" t="s">
        <v>1194</v>
      </c>
      <c r="H183" s="16">
        <v>29</v>
      </c>
      <c r="I183" s="25">
        <v>4</v>
      </c>
      <c r="J183" s="56">
        <v>1090</v>
      </c>
      <c r="K183" s="15">
        <v>600</v>
      </c>
      <c r="L183" s="24" t="s">
        <v>2055</v>
      </c>
      <c r="M183" s="24" t="s">
        <v>2014</v>
      </c>
      <c r="N183" s="1" t="s">
        <v>2013</v>
      </c>
      <c r="O183" s="15" t="s">
        <v>2082</v>
      </c>
      <c r="P183" s="15" t="s">
        <v>2442</v>
      </c>
      <c r="Q183" s="25" t="s">
        <v>2084</v>
      </c>
      <c r="R183" s="25" t="s">
        <v>2436</v>
      </c>
      <c r="S183" s="73" t="s">
        <v>2209</v>
      </c>
    </row>
    <row r="184" spans="1:19" x14ac:dyDescent="0.2">
      <c r="A184" s="3">
        <v>182</v>
      </c>
      <c r="B184" s="3" t="s">
        <v>5</v>
      </c>
      <c r="C184" s="1" t="s">
        <v>2445</v>
      </c>
      <c r="D184" s="1" t="s">
        <v>869</v>
      </c>
      <c r="E184" s="3" t="s">
        <v>824</v>
      </c>
      <c r="F184" s="66" t="s">
        <v>878</v>
      </c>
      <c r="G184" s="24" t="s">
        <v>1195</v>
      </c>
      <c r="H184" s="16">
        <v>60</v>
      </c>
      <c r="I184" s="25">
        <v>1</v>
      </c>
      <c r="J184" s="57">
        <v>1090</v>
      </c>
      <c r="K184" s="29">
        <v>600</v>
      </c>
      <c r="L184" s="24" t="s">
        <v>2022</v>
      </c>
      <c r="M184" s="24" t="s">
        <v>2016</v>
      </c>
      <c r="N184" s="1" t="s">
        <v>2013</v>
      </c>
      <c r="O184" s="15" t="s">
        <v>2082</v>
      </c>
      <c r="P184" s="15" t="s">
        <v>2442</v>
      </c>
      <c r="Q184" s="25" t="s">
        <v>2085</v>
      </c>
      <c r="R184" s="25" t="s">
        <v>2437</v>
      </c>
      <c r="S184" s="73" t="s">
        <v>2229</v>
      </c>
    </row>
    <row r="185" spans="1:19" x14ac:dyDescent="0.2">
      <c r="A185" s="4">
        <v>183</v>
      </c>
      <c r="B185" s="4" t="s">
        <v>5</v>
      </c>
      <c r="C185" s="1" t="s">
        <v>2445</v>
      </c>
      <c r="D185" s="1" t="s">
        <v>869</v>
      </c>
      <c r="E185" s="4" t="s">
        <v>826</v>
      </c>
      <c r="F185" s="66" t="s">
        <v>879</v>
      </c>
      <c r="G185" s="24" t="s">
        <v>1196</v>
      </c>
      <c r="H185" s="16">
        <v>33</v>
      </c>
      <c r="I185" s="25">
        <v>5</v>
      </c>
      <c r="J185" s="61">
        <f>1090+150</f>
        <v>1240</v>
      </c>
      <c r="K185" s="33">
        <v>600</v>
      </c>
      <c r="L185" s="24" t="s">
        <v>2052</v>
      </c>
      <c r="M185" s="24" t="s">
        <v>2016</v>
      </c>
      <c r="N185" s="1" t="s">
        <v>2013</v>
      </c>
      <c r="O185" s="15" t="s">
        <v>2082</v>
      </c>
      <c r="P185" s="15" t="s">
        <v>2442</v>
      </c>
      <c r="Q185" s="25" t="s">
        <v>2089</v>
      </c>
      <c r="R185" s="25" t="s">
        <v>2435</v>
      </c>
      <c r="S185" s="73" t="s">
        <v>2093</v>
      </c>
    </row>
    <row r="186" spans="1:19" x14ac:dyDescent="0.2">
      <c r="A186" s="3">
        <v>184</v>
      </c>
      <c r="B186" s="3" t="s">
        <v>846</v>
      </c>
      <c r="C186" s="1" t="s">
        <v>2445</v>
      </c>
      <c r="D186" s="1" t="s">
        <v>869</v>
      </c>
      <c r="E186" s="3" t="s">
        <v>817</v>
      </c>
      <c r="F186" s="66" t="s">
        <v>880</v>
      </c>
      <c r="G186" s="24" t="s">
        <v>1197</v>
      </c>
      <c r="H186" s="16">
        <v>22</v>
      </c>
      <c r="I186" s="25">
        <v>2</v>
      </c>
      <c r="J186" s="57">
        <v>1700</v>
      </c>
      <c r="K186" s="29">
        <v>650</v>
      </c>
      <c r="L186" s="24" t="s">
        <v>2035</v>
      </c>
      <c r="M186" s="24" t="s">
        <v>2014</v>
      </c>
      <c r="N186" s="1" t="s">
        <v>2013</v>
      </c>
      <c r="O186" s="15" t="s">
        <v>2082</v>
      </c>
      <c r="P186" s="15" t="s">
        <v>2442</v>
      </c>
      <c r="Q186" s="25" t="s">
        <v>2086</v>
      </c>
      <c r="R186" s="25" t="s">
        <v>2436</v>
      </c>
      <c r="S186" s="73" t="s">
        <v>2139</v>
      </c>
    </row>
    <row r="187" spans="1:19" x14ac:dyDescent="0.2">
      <c r="A187" s="1">
        <v>185</v>
      </c>
      <c r="B187" s="1" t="s">
        <v>13</v>
      </c>
      <c r="C187" s="1" t="s">
        <v>2445</v>
      </c>
      <c r="D187" s="1" t="s">
        <v>869</v>
      </c>
      <c r="E187" s="3" t="s">
        <v>824</v>
      </c>
      <c r="F187" s="66" t="s">
        <v>881</v>
      </c>
      <c r="G187" s="24" t="s">
        <v>1198</v>
      </c>
      <c r="H187" s="16">
        <v>47</v>
      </c>
      <c r="I187" s="25">
        <v>3</v>
      </c>
      <c r="J187" s="56">
        <v>790</v>
      </c>
      <c r="K187" s="15">
        <v>380</v>
      </c>
      <c r="L187" s="24" t="s">
        <v>2041</v>
      </c>
      <c r="M187" s="24" t="s">
        <v>2024</v>
      </c>
      <c r="N187" s="1" t="s">
        <v>2013</v>
      </c>
      <c r="O187" s="15" t="s">
        <v>2082</v>
      </c>
      <c r="P187" s="15" t="s">
        <v>2442</v>
      </c>
      <c r="Q187" s="25" t="s">
        <v>2090</v>
      </c>
      <c r="R187" s="25" t="s">
        <v>2434</v>
      </c>
      <c r="S187" s="73" t="s">
        <v>2230</v>
      </c>
    </row>
    <row r="188" spans="1:19" x14ac:dyDescent="0.2">
      <c r="A188" s="1">
        <v>186</v>
      </c>
      <c r="B188" s="1" t="s">
        <v>1</v>
      </c>
      <c r="C188" s="1" t="s">
        <v>2445</v>
      </c>
      <c r="D188" s="1" t="s">
        <v>869</v>
      </c>
      <c r="E188" s="3" t="s">
        <v>826</v>
      </c>
      <c r="F188" s="66" t="s">
        <v>882</v>
      </c>
      <c r="G188" s="24" t="s">
        <v>1199</v>
      </c>
      <c r="H188" s="16">
        <v>55</v>
      </c>
      <c r="I188" s="25">
        <v>4</v>
      </c>
      <c r="J188" s="56">
        <v>890</v>
      </c>
      <c r="K188" s="15">
        <v>500</v>
      </c>
      <c r="L188" s="24" t="s">
        <v>2035</v>
      </c>
      <c r="M188" s="24" t="s">
        <v>2014</v>
      </c>
      <c r="N188" s="1" t="s">
        <v>2013</v>
      </c>
      <c r="O188" s="15" t="s">
        <v>2762</v>
      </c>
      <c r="P188" s="15" t="s">
        <v>2442</v>
      </c>
      <c r="Q188" s="25" t="s">
        <v>2084</v>
      </c>
      <c r="R188" s="25" t="s">
        <v>2437</v>
      </c>
      <c r="S188" s="73" t="s">
        <v>2200</v>
      </c>
    </row>
    <row r="189" spans="1:19" x14ac:dyDescent="0.2">
      <c r="A189" s="1">
        <v>187</v>
      </c>
      <c r="B189" s="1" t="s">
        <v>9</v>
      </c>
      <c r="C189" s="1" t="s">
        <v>2445</v>
      </c>
      <c r="D189" s="1" t="s">
        <v>869</v>
      </c>
      <c r="E189" s="1" t="s">
        <v>826</v>
      </c>
      <c r="F189" s="66" t="s">
        <v>881</v>
      </c>
      <c r="G189" s="24" t="s">
        <v>1200</v>
      </c>
      <c r="H189" s="16">
        <v>36</v>
      </c>
      <c r="I189" s="25">
        <v>1</v>
      </c>
      <c r="J189" s="56">
        <v>990</v>
      </c>
      <c r="K189" s="15">
        <v>500</v>
      </c>
      <c r="L189" s="24" t="s">
        <v>2046</v>
      </c>
      <c r="M189" s="24" t="s">
        <v>2016</v>
      </c>
      <c r="N189" s="1" t="s">
        <v>2013</v>
      </c>
      <c r="O189" s="15" t="s">
        <v>2082</v>
      </c>
      <c r="P189" s="15" t="s">
        <v>2442</v>
      </c>
      <c r="Q189" s="25" t="s">
        <v>2088</v>
      </c>
      <c r="R189" s="25" t="s">
        <v>2435</v>
      </c>
      <c r="S189" s="73" t="s">
        <v>2231</v>
      </c>
    </row>
    <row r="190" spans="1:19" x14ac:dyDescent="0.2">
      <c r="A190" s="1">
        <v>188</v>
      </c>
      <c r="B190" s="1" t="s">
        <v>13</v>
      </c>
      <c r="C190" s="1" t="s">
        <v>2445</v>
      </c>
      <c r="D190" s="1" t="s">
        <v>869</v>
      </c>
      <c r="E190" s="1" t="s">
        <v>818</v>
      </c>
      <c r="F190" s="66" t="s">
        <v>883</v>
      </c>
      <c r="G190" s="24" t="s">
        <v>1201</v>
      </c>
      <c r="H190" s="16">
        <v>28</v>
      </c>
      <c r="I190" s="25">
        <v>5</v>
      </c>
      <c r="J190" s="56">
        <v>940</v>
      </c>
      <c r="K190" s="15">
        <v>500</v>
      </c>
      <c r="L190" s="24" t="s">
        <v>2058</v>
      </c>
      <c r="M190" s="24" t="s">
        <v>2020</v>
      </c>
      <c r="N190" s="1" t="s">
        <v>2013</v>
      </c>
      <c r="O190" s="15" t="s">
        <v>2082</v>
      </c>
      <c r="P190" s="15" t="s">
        <v>2442</v>
      </c>
      <c r="Q190" s="25" t="s">
        <v>2085</v>
      </c>
      <c r="R190" s="25" t="s">
        <v>2434</v>
      </c>
      <c r="S190" s="73" t="s">
        <v>2149</v>
      </c>
    </row>
    <row r="191" spans="1:19" x14ac:dyDescent="0.2">
      <c r="A191" s="1">
        <v>189</v>
      </c>
      <c r="B191" s="1" t="s">
        <v>1</v>
      </c>
      <c r="C191" s="1" t="s">
        <v>2445</v>
      </c>
      <c r="D191" s="1" t="s">
        <v>869</v>
      </c>
      <c r="E191" s="1" t="s">
        <v>818</v>
      </c>
      <c r="F191" s="66" t="s">
        <v>884</v>
      </c>
      <c r="G191" s="24" t="s">
        <v>1202</v>
      </c>
      <c r="H191" s="16">
        <v>50</v>
      </c>
      <c r="I191" s="25">
        <v>3</v>
      </c>
      <c r="J191" s="56">
        <v>690</v>
      </c>
      <c r="K191" s="15">
        <v>380</v>
      </c>
      <c r="L191" s="24" t="s">
        <v>2039</v>
      </c>
      <c r="M191" s="24" t="s">
        <v>2014</v>
      </c>
      <c r="N191" s="1" t="s">
        <v>2013</v>
      </c>
      <c r="O191" s="15" t="s">
        <v>2082</v>
      </c>
      <c r="P191" s="15" t="s">
        <v>2442</v>
      </c>
      <c r="Q191" s="25" t="s">
        <v>2084</v>
      </c>
      <c r="R191" s="25" t="s">
        <v>2436</v>
      </c>
      <c r="S191" s="73" t="s">
        <v>2232</v>
      </c>
    </row>
    <row r="192" spans="1:19" x14ac:dyDescent="0.2">
      <c r="A192" s="1">
        <v>190</v>
      </c>
      <c r="B192" s="1" t="s">
        <v>12</v>
      </c>
      <c r="C192" s="1" t="s">
        <v>2445</v>
      </c>
      <c r="D192" s="1" t="s">
        <v>869</v>
      </c>
      <c r="E192" s="1" t="s">
        <v>817</v>
      </c>
      <c r="F192" s="67" t="s">
        <v>931</v>
      </c>
      <c r="G192" s="24" t="s">
        <v>1203</v>
      </c>
      <c r="H192" s="16">
        <v>39</v>
      </c>
      <c r="I192" s="25">
        <v>2</v>
      </c>
      <c r="J192" s="56">
        <v>1000</v>
      </c>
      <c r="K192" s="15">
        <v>300</v>
      </c>
      <c r="L192" s="24" t="s">
        <v>2047</v>
      </c>
      <c r="M192" s="24" t="s">
        <v>2024</v>
      </c>
      <c r="N192" s="1" t="s">
        <v>2013</v>
      </c>
      <c r="O192" s="15" t="s">
        <v>2082</v>
      </c>
      <c r="P192" s="15" t="s">
        <v>2442</v>
      </c>
      <c r="Q192" s="25" t="s">
        <v>2083</v>
      </c>
      <c r="R192" s="25" t="s">
        <v>2437</v>
      </c>
      <c r="S192" s="73" t="s">
        <v>2233</v>
      </c>
    </row>
    <row r="193" spans="1:19" x14ac:dyDescent="0.2">
      <c r="A193" s="1">
        <v>191</v>
      </c>
      <c r="B193" s="1" t="s">
        <v>5</v>
      </c>
      <c r="C193" s="1" t="s">
        <v>2445</v>
      </c>
      <c r="D193" s="1" t="s">
        <v>869</v>
      </c>
      <c r="E193" s="1" t="s">
        <v>817</v>
      </c>
      <c r="F193" s="66" t="s">
        <v>929</v>
      </c>
      <c r="G193" s="24" t="s">
        <v>1204</v>
      </c>
      <c r="H193" s="16">
        <v>31</v>
      </c>
      <c r="I193" s="25">
        <v>4</v>
      </c>
      <c r="J193" s="56">
        <v>2000</v>
      </c>
      <c r="K193" s="15">
        <v>1400</v>
      </c>
      <c r="L193" s="24" t="s">
        <v>2043</v>
      </c>
      <c r="M193" s="24" t="s">
        <v>2016</v>
      </c>
      <c r="N193" s="1" t="s">
        <v>2013</v>
      </c>
      <c r="O193" s="15" t="s">
        <v>2082</v>
      </c>
      <c r="P193" s="15" t="s">
        <v>2442</v>
      </c>
      <c r="Q193" s="25" t="s">
        <v>2086</v>
      </c>
      <c r="R193" s="25" t="s">
        <v>2435</v>
      </c>
      <c r="S193" s="73" t="s">
        <v>2234</v>
      </c>
    </row>
    <row r="194" spans="1:19" x14ac:dyDescent="0.2">
      <c r="A194" s="3">
        <v>192</v>
      </c>
      <c r="B194" s="3" t="s">
        <v>16</v>
      </c>
      <c r="C194" s="1" t="s">
        <v>2445</v>
      </c>
      <c r="D194" s="1" t="s">
        <v>869</v>
      </c>
      <c r="E194" s="3" t="s">
        <v>818</v>
      </c>
      <c r="F194" s="66" t="s">
        <v>882</v>
      </c>
      <c r="G194" s="24" t="s">
        <v>1205</v>
      </c>
      <c r="H194" s="16">
        <v>44</v>
      </c>
      <c r="I194" s="25">
        <v>1</v>
      </c>
      <c r="J194" s="57">
        <v>890</v>
      </c>
      <c r="K194" s="29">
        <v>400</v>
      </c>
      <c r="L194" s="24" t="s">
        <v>2035</v>
      </c>
      <c r="M194" s="24" t="s">
        <v>2014</v>
      </c>
      <c r="N194" s="1" t="s">
        <v>2013</v>
      </c>
      <c r="O194" s="15" t="s">
        <v>2082</v>
      </c>
      <c r="P194" s="15" t="s">
        <v>2442</v>
      </c>
      <c r="Q194" s="25" t="s">
        <v>2089</v>
      </c>
      <c r="R194" s="25" t="s">
        <v>2436</v>
      </c>
      <c r="S194" s="73" t="s">
        <v>2235</v>
      </c>
    </row>
    <row r="195" spans="1:19" x14ac:dyDescent="0.2">
      <c r="A195" s="3">
        <v>193</v>
      </c>
      <c r="B195" s="3" t="s">
        <v>5</v>
      </c>
      <c r="C195" s="1" t="s">
        <v>2445</v>
      </c>
      <c r="D195" s="1" t="s">
        <v>869</v>
      </c>
      <c r="E195" s="3" t="s">
        <v>826</v>
      </c>
      <c r="F195" s="66" t="s">
        <v>930</v>
      </c>
      <c r="G195" s="24" t="s">
        <v>1206</v>
      </c>
      <c r="H195" s="16">
        <v>26</v>
      </c>
      <c r="I195" s="25">
        <v>5</v>
      </c>
      <c r="J195" s="57"/>
      <c r="K195" s="29"/>
      <c r="L195" s="24" t="s">
        <v>2060</v>
      </c>
      <c r="M195" s="24" t="s">
        <v>2024</v>
      </c>
      <c r="N195" s="1" t="s">
        <v>2013</v>
      </c>
      <c r="O195" s="15" t="s">
        <v>2082</v>
      </c>
      <c r="P195" s="15" t="s">
        <v>2442</v>
      </c>
      <c r="Q195" s="25" t="s">
        <v>2090</v>
      </c>
      <c r="R195" s="25" t="s">
        <v>2434</v>
      </c>
      <c r="S195" s="73" t="s">
        <v>2236</v>
      </c>
    </row>
    <row r="196" spans="1:19" x14ac:dyDescent="0.2">
      <c r="A196" s="3">
        <v>194</v>
      </c>
      <c r="B196" s="3" t="s">
        <v>2</v>
      </c>
      <c r="C196" s="1" t="s">
        <v>2445</v>
      </c>
      <c r="D196" s="1" t="s">
        <v>869</v>
      </c>
      <c r="E196" s="3" t="s">
        <v>824</v>
      </c>
      <c r="F196" s="67" t="s">
        <v>915</v>
      </c>
      <c r="G196" s="24" t="s">
        <v>1207</v>
      </c>
      <c r="H196" s="16">
        <v>48</v>
      </c>
      <c r="I196" s="25">
        <v>2</v>
      </c>
      <c r="J196" s="57">
        <v>930</v>
      </c>
      <c r="K196" s="29">
        <v>600</v>
      </c>
      <c r="L196" s="24" t="s">
        <v>2062</v>
      </c>
      <c r="M196" s="24" t="s">
        <v>2016</v>
      </c>
      <c r="N196" s="1" t="s">
        <v>2013</v>
      </c>
      <c r="O196" s="15" t="s">
        <v>2082</v>
      </c>
      <c r="P196" s="15" t="s">
        <v>2442</v>
      </c>
      <c r="Q196" s="25" t="s">
        <v>2089</v>
      </c>
      <c r="R196" s="25" t="s">
        <v>2437</v>
      </c>
      <c r="S196" s="73" t="s">
        <v>2237</v>
      </c>
    </row>
    <row r="197" spans="1:19" x14ac:dyDescent="0.2">
      <c r="A197" s="3">
        <v>195</v>
      </c>
      <c r="B197" s="3" t="s">
        <v>18</v>
      </c>
      <c r="C197" s="1" t="s">
        <v>2445</v>
      </c>
      <c r="D197" s="1" t="s">
        <v>869</v>
      </c>
      <c r="E197" s="3" t="s">
        <v>817</v>
      </c>
      <c r="F197" s="66" t="s">
        <v>920</v>
      </c>
      <c r="G197" s="24" t="s">
        <v>1208</v>
      </c>
      <c r="H197" s="16">
        <v>53</v>
      </c>
      <c r="I197" s="25">
        <v>3</v>
      </c>
      <c r="J197" s="57"/>
      <c r="K197" s="29"/>
      <c r="L197" s="24" t="s">
        <v>2052</v>
      </c>
      <c r="M197" s="24" t="s">
        <v>2020</v>
      </c>
      <c r="N197" s="1" t="s">
        <v>2013</v>
      </c>
      <c r="O197" s="15" t="s">
        <v>2082</v>
      </c>
      <c r="P197" s="15" t="s">
        <v>2442</v>
      </c>
      <c r="Q197" s="25" t="s">
        <v>2089</v>
      </c>
      <c r="R197" s="25" t="s">
        <v>2435</v>
      </c>
      <c r="S197" s="73" t="s">
        <v>2208</v>
      </c>
    </row>
    <row r="198" spans="1:19" x14ac:dyDescent="0.2">
      <c r="A198" s="3">
        <v>196</v>
      </c>
      <c r="B198" s="3" t="s">
        <v>862</v>
      </c>
      <c r="C198" s="1" t="s">
        <v>2445</v>
      </c>
      <c r="D198" s="1" t="s">
        <v>869</v>
      </c>
      <c r="E198" s="3" t="s">
        <v>817</v>
      </c>
      <c r="F198" s="67" t="s">
        <v>921</v>
      </c>
      <c r="G198" s="24" t="s">
        <v>1209</v>
      </c>
      <c r="H198" s="16">
        <v>30</v>
      </c>
      <c r="I198" s="25">
        <v>4</v>
      </c>
      <c r="J198" s="57">
        <v>1150</v>
      </c>
      <c r="K198" s="29">
        <v>700</v>
      </c>
      <c r="L198" s="24" t="s">
        <v>2046</v>
      </c>
      <c r="M198" s="24" t="s">
        <v>2016</v>
      </c>
      <c r="N198" s="1" t="s">
        <v>2013</v>
      </c>
      <c r="O198" s="15" t="s">
        <v>2082</v>
      </c>
      <c r="P198" s="15" t="s">
        <v>2442</v>
      </c>
      <c r="Q198" s="25" t="s">
        <v>2089</v>
      </c>
      <c r="R198" s="25" t="s">
        <v>2434</v>
      </c>
      <c r="S198" s="73" t="s">
        <v>2238</v>
      </c>
    </row>
    <row r="199" spans="1:19" x14ac:dyDescent="0.2">
      <c r="A199" s="3">
        <v>198</v>
      </c>
      <c r="B199" s="3" t="s">
        <v>2</v>
      </c>
      <c r="C199" s="1" t="s">
        <v>2445</v>
      </c>
      <c r="D199" s="1" t="s">
        <v>869</v>
      </c>
      <c r="E199" s="3" t="s">
        <v>824</v>
      </c>
      <c r="F199" s="67" t="s">
        <v>922</v>
      </c>
      <c r="G199" s="24" t="s">
        <v>1210</v>
      </c>
      <c r="H199" s="16">
        <v>37</v>
      </c>
      <c r="I199" s="25">
        <v>1</v>
      </c>
      <c r="J199" s="57">
        <v>670</v>
      </c>
      <c r="K199" s="29">
        <v>400</v>
      </c>
      <c r="L199" s="24" t="s">
        <v>2032</v>
      </c>
      <c r="M199" s="24" t="s">
        <v>2014</v>
      </c>
      <c r="N199" s="1" t="s">
        <v>2013</v>
      </c>
      <c r="O199" s="15" t="s">
        <v>2082</v>
      </c>
      <c r="P199" s="15" t="s">
        <v>2442</v>
      </c>
      <c r="Q199" s="25" t="s">
        <v>2086</v>
      </c>
      <c r="R199" s="25" t="s">
        <v>2436</v>
      </c>
      <c r="S199" s="73" t="s">
        <v>2110</v>
      </c>
    </row>
    <row r="200" spans="1:19" x14ac:dyDescent="0.2">
      <c r="A200" s="3">
        <v>199</v>
      </c>
      <c r="B200" s="3" t="s">
        <v>19</v>
      </c>
      <c r="C200" s="1" t="s">
        <v>2445</v>
      </c>
      <c r="D200" s="1" t="s">
        <v>869</v>
      </c>
      <c r="E200" s="3" t="s">
        <v>824</v>
      </c>
      <c r="F200" s="67" t="s">
        <v>923</v>
      </c>
      <c r="G200" s="24" t="s">
        <v>1211</v>
      </c>
      <c r="H200" s="16">
        <v>42</v>
      </c>
      <c r="I200" s="25">
        <v>5</v>
      </c>
      <c r="J200" s="57">
        <v>250</v>
      </c>
      <c r="K200" s="29">
        <v>100</v>
      </c>
      <c r="L200" s="24" t="s">
        <v>2043</v>
      </c>
      <c r="M200" s="24" t="s">
        <v>2016</v>
      </c>
      <c r="N200" s="1" t="s">
        <v>2013</v>
      </c>
      <c r="O200" s="15" t="s">
        <v>2082</v>
      </c>
      <c r="P200" s="15" t="s">
        <v>2442</v>
      </c>
      <c r="Q200" s="25" t="s">
        <v>2084</v>
      </c>
      <c r="R200" s="25" t="s">
        <v>2437</v>
      </c>
      <c r="S200" s="73" t="s">
        <v>2135</v>
      </c>
    </row>
    <row r="201" spans="1:19" x14ac:dyDescent="0.2">
      <c r="A201" s="3">
        <v>200</v>
      </c>
      <c r="B201" s="3" t="s">
        <v>20</v>
      </c>
      <c r="C201" s="1" t="s">
        <v>2445</v>
      </c>
      <c r="D201" s="1" t="s">
        <v>869</v>
      </c>
      <c r="E201" s="3" t="s">
        <v>817</v>
      </c>
      <c r="F201" s="67" t="s">
        <v>924</v>
      </c>
      <c r="G201" s="24" t="s">
        <v>1212</v>
      </c>
      <c r="H201" s="16">
        <v>24</v>
      </c>
      <c r="I201" s="25">
        <v>3</v>
      </c>
      <c r="J201" s="57">
        <v>1000</v>
      </c>
      <c r="K201" s="29">
        <v>500</v>
      </c>
      <c r="L201" s="24" t="s">
        <v>2026</v>
      </c>
      <c r="M201" s="24" t="s">
        <v>2020</v>
      </c>
      <c r="N201" s="1" t="s">
        <v>2013</v>
      </c>
      <c r="O201" s="15" t="s">
        <v>2082</v>
      </c>
      <c r="P201" s="15" t="s">
        <v>2442</v>
      </c>
      <c r="Q201" s="25" t="s">
        <v>2088</v>
      </c>
      <c r="R201" s="25" t="s">
        <v>2435</v>
      </c>
      <c r="S201" s="73" t="s">
        <v>2239</v>
      </c>
    </row>
    <row r="202" spans="1:19" x14ac:dyDescent="0.2">
      <c r="A202" s="3">
        <v>201</v>
      </c>
      <c r="B202" s="3" t="s">
        <v>6</v>
      </c>
      <c r="C202" s="1" t="s">
        <v>2445</v>
      </c>
      <c r="D202" s="1" t="s">
        <v>869</v>
      </c>
      <c r="E202" s="3" t="s">
        <v>818</v>
      </c>
      <c r="F202" s="67" t="s">
        <v>925</v>
      </c>
      <c r="G202" s="24" t="s">
        <v>1213</v>
      </c>
      <c r="H202" s="16">
        <v>28</v>
      </c>
      <c r="I202" s="25">
        <v>5</v>
      </c>
      <c r="J202" s="57">
        <v>1150</v>
      </c>
      <c r="K202" s="29">
        <v>700</v>
      </c>
      <c r="L202" s="24" t="s">
        <v>2044</v>
      </c>
      <c r="M202" s="24" t="s">
        <v>2020</v>
      </c>
      <c r="N202" s="1" t="s">
        <v>2013</v>
      </c>
      <c r="O202" s="15" t="s">
        <v>2082</v>
      </c>
      <c r="P202" s="15" t="s">
        <v>2442</v>
      </c>
      <c r="Q202" s="25" t="s">
        <v>2089</v>
      </c>
      <c r="R202" s="25" t="s">
        <v>2436</v>
      </c>
      <c r="S202" s="73" t="s">
        <v>2101</v>
      </c>
    </row>
    <row r="203" spans="1:19" x14ac:dyDescent="0.2">
      <c r="A203" s="3">
        <v>202</v>
      </c>
      <c r="B203" s="3" t="s">
        <v>13</v>
      </c>
      <c r="C203" s="1" t="s">
        <v>2445</v>
      </c>
      <c r="D203" s="1" t="s">
        <v>869</v>
      </c>
      <c r="E203" s="3" t="s">
        <v>818</v>
      </c>
      <c r="F203" s="69" t="s">
        <v>904</v>
      </c>
      <c r="G203" s="24" t="s">
        <v>1214</v>
      </c>
      <c r="H203" s="16">
        <v>50</v>
      </c>
      <c r="I203" s="25">
        <v>2</v>
      </c>
      <c r="J203" s="57">
        <v>790</v>
      </c>
      <c r="K203" s="29">
        <v>380</v>
      </c>
      <c r="L203" s="24" t="s">
        <v>2039</v>
      </c>
      <c r="M203" s="24" t="s">
        <v>2014</v>
      </c>
      <c r="N203" s="1" t="s">
        <v>2013</v>
      </c>
      <c r="O203" s="15" t="s">
        <v>2082</v>
      </c>
      <c r="P203" s="15" t="s">
        <v>2442</v>
      </c>
      <c r="Q203" s="25" t="s">
        <v>2088</v>
      </c>
      <c r="R203" s="25" t="s">
        <v>2434</v>
      </c>
      <c r="S203" s="73" t="s">
        <v>2202</v>
      </c>
    </row>
    <row r="204" spans="1:19" x14ac:dyDescent="0.2">
      <c r="A204" s="3">
        <v>203</v>
      </c>
      <c r="B204" s="3" t="s">
        <v>847</v>
      </c>
      <c r="C204" s="1" t="s">
        <v>2445</v>
      </c>
      <c r="D204" s="1" t="s">
        <v>869</v>
      </c>
      <c r="E204" s="3" t="s">
        <v>818</v>
      </c>
      <c r="F204" s="66" t="s">
        <v>926</v>
      </c>
      <c r="G204" s="24" t="s">
        <v>1215</v>
      </c>
      <c r="H204" s="16">
        <v>39</v>
      </c>
      <c r="I204" s="25">
        <v>1</v>
      </c>
      <c r="J204" s="57">
        <v>1265</v>
      </c>
      <c r="K204" s="29">
        <v>700</v>
      </c>
      <c r="L204" s="24" t="s">
        <v>2039</v>
      </c>
      <c r="M204" s="24" t="s">
        <v>2014</v>
      </c>
      <c r="N204" s="1" t="s">
        <v>2013</v>
      </c>
      <c r="O204" s="15" t="s">
        <v>2762</v>
      </c>
      <c r="P204" s="15" t="s">
        <v>2442</v>
      </c>
      <c r="Q204" s="25" t="s">
        <v>2089</v>
      </c>
      <c r="R204" s="25" t="s">
        <v>2437</v>
      </c>
      <c r="S204" s="73" t="s">
        <v>2240</v>
      </c>
    </row>
    <row r="205" spans="1:19" x14ac:dyDescent="0.2">
      <c r="A205" s="3">
        <v>204</v>
      </c>
      <c r="B205" s="3" t="s">
        <v>5</v>
      </c>
      <c r="C205" s="1" t="s">
        <v>2445</v>
      </c>
      <c r="D205" s="1" t="s">
        <v>869</v>
      </c>
      <c r="E205" s="3" t="s">
        <v>822</v>
      </c>
      <c r="F205" s="66" t="s">
        <v>927</v>
      </c>
      <c r="G205" s="24" t="s">
        <v>1216</v>
      </c>
      <c r="H205" s="16">
        <v>31</v>
      </c>
      <c r="I205" s="25">
        <v>3</v>
      </c>
      <c r="J205" s="57">
        <v>1090</v>
      </c>
      <c r="K205" s="29">
        <v>600</v>
      </c>
      <c r="L205" s="24" t="s">
        <v>2050</v>
      </c>
      <c r="M205" s="24" t="s">
        <v>2024</v>
      </c>
      <c r="N205" s="1" t="s">
        <v>2013</v>
      </c>
      <c r="O205" s="15" t="s">
        <v>2082</v>
      </c>
      <c r="P205" s="15" t="s">
        <v>2442</v>
      </c>
      <c r="Q205" s="25" t="s">
        <v>2084</v>
      </c>
      <c r="R205" s="25" t="s">
        <v>2435</v>
      </c>
      <c r="S205" s="73" t="s">
        <v>2241</v>
      </c>
    </row>
    <row r="206" spans="1:19" x14ac:dyDescent="0.2">
      <c r="A206" s="3">
        <v>205</v>
      </c>
      <c r="B206" s="3" t="s">
        <v>5</v>
      </c>
      <c r="C206" s="1" t="s">
        <v>2445</v>
      </c>
      <c r="D206" s="1" t="s">
        <v>869</v>
      </c>
      <c r="E206" s="3" t="s">
        <v>817</v>
      </c>
      <c r="F206" s="67" t="s">
        <v>932</v>
      </c>
      <c r="G206" s="24" t="s">
        <v>1217</v>
      </c>
      <c r="H206" s="16">
        <v>44</v>
      </c>
      <c r="I206" s="25">
        <v>4</v>
      </c>
      <c r="J206" s="57">
        <v>1090</v>
      </c>
      <c r="K206" s="29">
        <v>600</v>
      </c>
      <c r="L206" s="24" t="s">
        <v>2031</v>
      </c>
      <c r="M206" s="24" t="s">
        <v>2016</v>
      </c>
      <c r="N206" s="1" t="s">
        <v>2013</v>
      </c>
      <c r="O206" s="15" t="s">
        <v>2082</v>
      </c>
      <c r="P206" s="15" t="s">
        <v>2442</v>
      </c>
      <c r="Q206" s="25" t="s">
        <v>2087</v>
      </c>
      <c r="R206" s="25" t="s">
        <v>2434</v>
      </c>
      <c r="S206" s="73" t="s">
        <v>2117</v>
      </c>
    </row>
    <row r="207" spans="1:19" x14ac:dyDescent="0.2">
      <c r="A207" s="1">
        <v>206</v>
      </c>
      <c r="B207" s="1" t="s">
        <v>5</v>
      </c>
      <c r="C207" s="1" t="s">
        <v>2445</v>
      </c>
      <c r="D207" s="1" t="s">
        <v>869</v>
      </c>
      <c r="E207" s="1" t="s">
        <v>826</v>
      </c>
      <c r="F207" s="66" t="s">
        <v>933</v>
      </c>
      <c r="G207" s="24" t="s">
        <v>1218</v>
      </c>
      <c r="H207" s="16">
        <v>26</v>
      </c>
      <c r="I207" s="25">
        <v>5</v>
      </c>
      <c r="J207" s="56">
        <v>1150</v>
      </c>
      <c r="K207" s="15">
        <v>600</v>
      </c>
      <c r="L207" s="24" t="s">
        <v>2017</v>
      </c>
      <c r="M207" s="24" t="s">
        <v>2016</v>
      </c>
      <c r="N207" s="1" t="s">
        <v>2013</v>
      </c>
      <c r="O207" s="15" t="s">
        <v>2082</v>
      </c>
      <c r="P207" s="15" t="s">
        <v>2442</v>
      </c>
      <c r="Q207" s="25" t="s">
        <v>2089</v>
      </c>
      <c r="R207" s="25" t="s">
        <v>2436</v>
      </c>
      <c r="S207" s="73" t="s">
        <v>2167</v>
      </c>
    </row>
    <row r="208" spans="1:19" x14ac:dyDescent="0.2">
      <c r="A208" s="3">
        <v>207</v>
      </c>
      <c r="B208" s="3" t="s">
        <v>16</v>
      </c>
      <c r="C208" s="1" t="s">
        <v>2445</v>
      </c>
      <c r="D208" s="1" t="s">
        <v>869</v>
      </c>
      <c r="E208" s="3" t="s">
        <v>818</v>
      </c>
      <c r="F208" s="67" t="s">
        <v>934</v>
      </c>
      <c r="G208" s="24" t="s">
        <v>1219</v>
      </c>
      <c r="H208" s="16">
        <v>48</v>
      </c>
      <c r="I208" s="25">
        <v>2</v>
      </c>
      <c r="J208" s="57">
        <v>710</v>
      </c>
      <c r="K208" s="29">
        <v>400</v>
      </c>
      <c r="L208" s="24" t="s">
        <v>2047</v>
      </c>
      <c r="M208" s="24" t="s">
        <v>2024</v>
      </c>
      <c r="N208" s="1" t="s">
        <v>2013</v>
      </c>
      <c r="O208" s="15" t="s">
        <v>2082</v>
      </c>
      <c r="P208" s="15" t="s">
        <v>2442</v>
      </c>
      <c r="Q208" s="25" t="s">
        <v>2088</v>
      </c>
      <c r="R208" s="25" t="s">
        <v>2437</v>
      </c>
      <c r="S208" s="73" t="s">
        <v>2200</v>
      </c>
    </row>
    <row r="209" spans="1:19" x14ac:dyDescent="0.2">
      <c r="A209" s="3">
        <v>208</v>
      </c>
      <c r="B209" s="3" t="s">
        <v>7</v>
      </c>
      <c r="C209" s="1" t="s">
        <v>2445</v>
      </c>
      <c r="D209" s="1" t="s">
        <v>869</v>
      </c>
      <c r="E209" s="3" t="s">
        <v>824</v>
      </c>
      <c r="F209" s="67" t="s">
        <v>935</v>
      </c>
      <c r="G209" s="24" t="s">
        <v>1220</v>
      </c>
      <c r="H209" s="16">
        <v>53</v>
      </c>
      <c r="I209" s="25">
        <v>3</v>
      </c>
      <c r="J209" s="57">
        <v>790</v>
      </c>
      <c r="K209" s="29">
        <v>500</v>
      </c>
      <c r="L209" s="24" t="s">
        <v>2052</v>
      </c>
      <c r="M209" s="24" t="s">
        <v>2016</v>
      </c>
      <c r="N209" s="1" t="s">
        <v>2013</v>
      </c>
      <c r="O209" s="15" t="s">
        <v>2082</v>
      </c>
      <c r="P209" s="15" t="s">
        <v>2442</v>
      </c>
      <c r="Q209" s="25" t="s">
        <v>2090</v>
      </c>
      <c r="R209" s="25" t="s">
        <v>2435</v>
      </c>
      <c r="S209" s="73" t="s">
        <v>2242</v>
      </c>
    </row>
    <row r="210" spans="1:19" x14ac:dyDescent="0.2">
      <c r="A210" s="1">
        <v>209</v>
      </c>
      <c r="B210" s="1" t="s">
        <v>9</v>
      </c>
      <c r="C210" s="1" t="s">
        <v>2445</v>
      </c>
      <c r="D210" s="1" t="s">
        <v>869</v>
      </c>
      <c r="E210" s="1" t="s">
        <v>817</v>
      </c>
      <c r="F210" s="66" t="s">
        <v>881</v>
      </c>
      <c r="G210" s="24" t="s">
        <v>1221</v>
      </c>
      <c r="H210" s="16">
        <v>30</v>
      </c>
      <c r="I210" s="25">
        <v>1</v>
      </c>
      <c r="J210" s="56">
        <v>1040</v>
      </c>
      <c r="K210" s="15">
        <v>600</v>
      </c>
      <c r="L210" s="24" t="s">
        <v>2021</v>
      </c>
      <c r="M210" s="24" t="s">
        <v>2020</v>
      </c>
      <c r="N210" s="1" t="s">
        <v>2013</v>
      </c>
      <c r="O210" s="15" t="s">
        <v>2082</v>
      </c>
      <c r="P210" s="15" t="s">
        <v>2442</v>
      </c>
      <c r="Q210" s="25" t="s">
        <v>2086</v>
      </c>
      <c r="R210" s="25" t="s">
        <v>2436</v>
      </c>
      <c r="S210" s="73" t="s">
        <v>2243</v>
      </c>
    </row>
    <row r="211" spans="1:19" x14ac:dyDescent="0.2">
      <c r="A211" s="1">
        <v>210</v>
      </c>
      <c r="B211" s="1" t="s">
        <v>5</v>
      </c>
      <c r="C211" s="1" t="s">
        <v>2445</v>
      </c>
      <c r="D211" s="1" t="s">
        <v>869</v>
      </c>
      <c r="E211" s="1" t="s">
        <v>824</v>
      </c>
      <c r="F211" s="66" t="s">
        <v>882</v>
      </c>
      <c r="G211" s="24" t="s">
        <v>1222</v>
      </c>
      <c r="H211" s="16">
        <v>37</v>
      </c>
      <c r="I211" s="25">
        <v>4</v>
      </c>
      <c r="J211" s="56">
        <v>890</v>
      </c>
      <c r="K211" s="15">
        <v>400</v>
      </c>
      <c r="L211" s="24" t="s">
        <v>2041</v>
      </c>
      <c r="M211" s="24" t="s">
        <v>2014</v>
      </c>
      <c r="N211" s="1" t="s">
        <v>2013</v>
      </c>
      <c r="O211" s="15" t="s">
        <v>2082</v>
      </c>
      <c r="P211" s="15" t="s">
        <v>2442</v>
      </c>
      <c r="Q211" s="25" t="s">
        <v>2090</v>
      </c>
      <c r="R211" s="25" t="s">
        <v>2434</v>
      </c>
      <c r="S211" s="73" t="s">
        <v>2244</v>
      </c>
    </row>
    <row r="212" spans="1:19" x14ac:dyDescent="0.2">
      <c r="A212" s="1">
        <v>220</v>
      </c>
      <c r="B212" s="1" t="s">
        <v>5</v>
      </c>
      <c r="C212" s="1" t="s">
        <v>2445</v>
      </c>
      <c r="D212" s="1" t="s">
        <v>869</v>
      </c>
      <c r="E212" s="1" t="s">
        <v>818</v>
      </c>
      <c r="F212" s="66" t="s">
        <v>881</v>
      </c>
      <c r="G212" s="24" t="s">
        <v>1223</v>
      </c>
      <c r="H212" s="16">
        <v>42</v>
      </c>
      <c r="I212" s="25">
        <v>5</v>
      </c>
      <c r="J212" s="56">
        <v>1000</v>
      </c>
      <c r="K212" s="15">
        <v>600</v>
      </c>
      <c r="L212" s="24" t="s">
        <v>2022</v>
      </c>
      <c r="M212" s="24" t="s">
        <v>2016</v>
      </c>
      <c r="N212" s="1" t="s">
        <v>2013</v>
      </c>
      <c r="O212" s="15" t="s">
        <v>2082</v>
      </c>
      <c r="P212" s="15" t="s">
        <v>2442</v>
      </c>
      <c r="Q212" s="25" t="s">
        <v>2084</v>
      </c>
      <c r="R212" s="25" t="s">
        <v>2437</v>
      </c>
      <c r="S212" s="73" t="s">
        <v>2245</v>
      </c>
    </row>
    <row r="213" spans="1:19" x14ac:dyDescent="0.2">
      <c r="A213" s="1">
        <v>221</v>
      </c>
      <c r="B213" s="1" t="s">
        <v>2</v>
      </c>
      <c r="C213" s="1" t="s">
        <v>2445</v>
      </c>
      <c r="D213" s="1" t="s">
        <v>869</v>
      </c>
      <c r="E213" s="1" t="s">
        <v>817</v>
      </c>
      <c r="F213" s="66" t="s">
        <v>883</v>
      </c>
      <c r="G213" s="24" t="s">
        <v>1224</v>
      </c>
      <c r="H213" s="16">
        <v>24</v>
      </c>
      <c r="I213" s="25">
        <v>3</v>
      </c>
      <c r="J213" s="56">
        <v>1655</v>
      </c>
      <c r="K213" s="15">
        <v>800</v>
      </c>
      <c r="L213" s="24" t="s">
        <v>2062</v>
      </c>
      <c r="M213" s="24" t="s">
        <v>2016</v>
      </c>
      <c r="N213" s="1" t="s">
        <v>2013</v>
      </c>
      <c r="O213" s="15" t="s">
        <v>2082</v>
      </c>
      <c r="P213" s="15" t="s">
        <v>2442</v>
      </c>
      <c r="Q213" s="25" t="s">
        <v>2085</v>
      </c>
      <c r="R213" s="25" t="s">
        <v>2435</v>
      </c>
      <c r="S213" s="73" t="s">
        <v>2235</v>
      </c>
    </row>
    <row r="214" spans="1:19" x14ac:dyDescent="0.2">
      <c r="A214" s="1">
        <v>222</v>
      </c>
      <c r="B214" s="1" t="s">
        <v>5</v>
      </c>
      <c r="C214" s="1" t="s">
        <v>2445</v>
      </c>
      <c r="D214" s="1" t="s">
        <v>869</v>
      </c>
      <c r="E214" s="1" t="s">
        <v>817</v>
      </c>
      <c r="F214" s="66" t="s">
        <v>884</v>
      </c>
      <c r="G214" s="24" t="s">
        <v>1225</v>
      </c>
      <c r="H214" s="16">
        <v>57</v>
      </c>
      <c r="I214" s="25">
        <v>2</v>
      </c>
      <c r="J214" s="56">
        <v>1750</v>
      </c>
      <c r="K214" s="15">
        <v>850</v>
      </c>
      <c r="L214" s="24" t="s">
        <v>2043</v>
      </c>
      <c r="M214" s="24" t="s">
        <v>2016</v>
      </c>
      <c r="N214" s="1" t="s">
        <v>2013</v>
      </c>
      <c r="O214" s="15" t="s">
        <v>2082</v>
      </c>
      <c r="P214" s="15" t="s">
        <v>2442</v>
      </c>
      <c r="Q214" s="25" t="s">
        <v>2084</v>
      </c>
      <c r="R214" s="25" t="s">
        <v>2434</v>
      </c>
      <c r="S214" s="73" t="s">
        <v>2246</v>
      </c>
    </row>
    <row r="215" spans="1:19" x14ac:dyDescent="0.2">
      <c r="A215" s="1">
        <v>223</v>
      </c>
      <c r="B215" s="1" t="s">
        <v>2</v>
      </c>
      <c r="C215" s="1" t="s">
        <v>2445</v>
      </c>
      <c r="D215" s="1" t="s">
        <v>869</v>
      </c>
      <c r="E215" s="9" t="s">
        <v>817</v>
      </c>
      <c r="F215" s="67" t="s">
        <v>931</v>
      </c>
      <c r="G215" s="24" t="s">
        <v>1226</v>
      </c>
      <c r="H215" s="16">
        <v>35</v>
      </c>
      <c r="I215" s="25">
        <v>4</v>
      </c>
      <c r="J215" s="56">
        <v>890</v>
      </c>
      <c r="K215" s="15">
        <v>400</v>
      </c>
      <c r="L215" s="24" t="s">
        <v>2046</v>
      </c>
      <c r="M215" s="24" t="s">
        <v>2016</v>
      </c>
      <c r="N215" s="1" t="s">
        <v>2013</v>
      </c>
      <c r="O215" s="15" t="s">
        <v>2082</v>
      </c>
      <c r="P215" s="15" t="s">
        <v>2442</v>
      </c>
      <c r="Q215" s="25" t="s">
        <v>2087</v>
      </c>
      <c r="R215" s="25" t="s">
        <v>2436</v>
      </c>
      <c r="S215" s="73" t="s">
        <v>2247</v>
      </c>
    </row>
    <row r="216" spans="1:19" x14ac:dyDescent="0.2">
      <c r="A216" s="1">
        <v>224</v>
      </c>
      <c r="B216" s="1" t="s">
        <v>5</v>
      </c>
      <c r="C216" s="1" t="s">
        <v>2445</v>
      </c>
      <c r="D216" s="1" t="s">
        <v>869</v>
      </c>
      <c r="E216" s="1" t="s">
        <v>818</v>
      </c>
      <c r="F216" s="66" t="s">
        <v>929</v>
      </c>
      <c r="G216" s="24" t="s">
        <v>1227</v>
      </c>
      <c r="H216" s="16">
        <v>40</v>
      </c>
      <c r="I216" s="25">
        <v>1</v>
      </c>
      <c r="J216" s="56">
        <v>1650</v>
      </c>
      <c r="K216" s="15">
        <v>750</v>
      </c>
      <c r="L216" s="24" t="s">
        <v>2018</v>
      </c>
      <c r="M216" s="24" t="s">
        <v>2024</v>
      </c>
      <c r="N216" s="1" t="s">
        <v>2013</v>
      </c>
      <c r="O216" s="15" t="s">
        <v>2082</v>
      </c>
      <c r="P216" s="15" t="s">
        <v>2442</v>
      </c>
      <c r="Q216" s="25" t="s">
        <v>2090</v>
      </c>
      <c r="R216" s="25" t="s">
        <v>2437</v>
      </c>
      <c r="S216" s="73" t="s">
        <v>2116</v>
      </c>
    </row>
    <row r="217" spans="1:19" x14ac:dyDescent="0.2">
      <c r="A217" s="10">
        <v>225</v>
      </c>
      <c r="B217" s="10" t="s">
        <v>8</v>
      </c>
      <c r="C217" s="1" t="s">
        <v>2445</v>
      </c>
      <c r="D217" s="1" t="s">
        <v>869</v>
      </c>
      <c r="E217" s="10" t="s">
        <v>818</v>
      </c>
      <c r="F217" s="66" t="s">
        <v>882</v>
      </c>
      <c r="G217" s="24" t="s">
        <v>1228</v>
      </c>
      <c r="H217" s="16">
        <v>21</v>
      </c>
      <c r="I217" s="25">
        <v>5</v>
      </c>
      <c r="J217" s="62">
        <v>0</v>
      </c>
      <c r="K217" s="34">
        <v>0</v>
      </c>
      <c r="L217" s="24" t="s">
        <v>2044</v>
      </c>
      <c r="M217" s="24" t="s">
        <v>2020</v>
      </c>
      <c r="N217" s="1" t="s">
        <v>2013</v>
      </c>
      <c r="O217" s="15" t="s">
        <v>2082</v>
      </c>
      <c r="P217" s="15" t="s">
        <v>2442</v>
      </c>
      <c r="Q217" s="25" t="s">
        <v>2088</v>
      </c>
      <c r="R217" s="25" t="s">
        <v>2435</v>
      </c>
      <c r="S217" s="73" t="s">
        <v>2248</v>
      </c>
    </row>
    <row r="218" spans="1:19" x14ac:dyDescent="0.2">
      <c r="A218" s="1">
        <v>226</v>
      </c>
      <c r="B218" s="1" t="s">
        <v>2</v>
      </c>
      <c r="C218" s="1" t="s">
        <v>2445</v>
      </c>
      <c r="D218" s="1" t="s">
        <v>869</v>
      </c>
      <c r="E218" s="1" t="s">
        <v>824</v>
      </c>
      <c r="F218" s="66" t="s">
        <v>930</v>
      </c>
      <c r="G218" s="24" t="s">
        <v>1229</v>
      </c>
      <c r="H218" s="16">
        <v>36</v>
      </c>
      <c r="I218" s="25">
        <v>2</v>
      </c>
      <c r="J218" s="56">
        <v>2020</v>
      </c>
      <c r="K218" s="15">
        <v>1200</v>
      </c>
      <c r="L218" s="24" t="s">
        <v>2029</v>
      </c>
      <c r="M218" s="24" t="s">
        <v>2016</v>
      </c>
      <c r="N218" s="1" t="s">
        <v>2013</v>
      </c>
      <c r="O218" s="15" t="s">
        <v>2082</v>
      </c>
      <c r="P218" s="15" t="s">
        <v>2442</v>
      </c>
      <c r="Q218" s="25" t="s">
        <v>2085</v>
      </c>
      <c r="R218" s="25" t="s">
        <v>2436</v>
      </c>
      <c r="S218" s="73" t="s">
        <v>2178</v>
      </c>
    </row>
    <row r="219" spans="1:19" x14ac:dyDescent="0.2">
      <c r="A219" s="1">
        <v>227</v>
      </c>
      <c r="B219" s="1" t="s">
        <v>5</v>
      </c>
      <c r="C219" s="1" t="s">
        <v>2445</v>
      </c>
      <c r="D219" s="1" t="s">
        <v>869</v>
      </c>
      <c r="E219" s="1" t="s">
        <v>822</v>
      </c>
      <c r="F219" s="67" t="s">
        <v>915</v>
      </c>
      <c r="G219" s="24" t="s">
        <v>1230</v>
      </c>
      <c r="H219" s="16">
        <v>28</v>
      </c>
      <c r="I219" s="25">
        <v>3</v>
      </c>
      <c r="J219" s="56">
        <v>1035</v>
      </c>
      <c r="K219" s="15">
        <v>600</v>
      </c>
      <c r="L219" s="24" t="s">
        <v>2062</v>
      </c>
      <c r="M219" s="24" t="s">
        <v>2016</v>
      </c>
      <c r="N219" s="1" t="s">
        <v>2013</v>
      </c>
      <c r="O219" s="15" t="s">
        <v>2082</v>
      </c>
      <c r="P219" s="15" t="s">
        <v>2442</v>
      </c>
      <c r="Q219" s="25" t="s">
        <v>2088</v>
      </c>
      <c r="R219" s="25" t="s">
        <v>2434</v>
      </c>
      <c r="S219" s="73" t="s">
        <v>2249</v>
      </c>
    </row>
    <row r="220" spans="1:19" x14ac:dyDescent="0.2">
      <c r="A220" s="1">
        <v>228</v>
      </c>
      <c r="B220" s="1" t="s">
        <v>3</v>
      </c>
      <c r="C220" s="1" t="s">
        <v>2445</v>
      </c>
      <c r="D220" s="1" t="s">
        <v>869</v>
      </c>
      <c r="E220" s="1" t="s">
        <v>817</v>
      </c>
      <c r="F220" s="66" t="s">
        <v>920</v>
      </c>
      <c r="G220" s="24" t="s">
        <v>1231</v>
      </c>
      <c r="H220" s="16">
        <v>50</v>
      </c>
      <c r="I220" s="25">
        <v>4</v>
      </c>
      <c r="J220" s="56">
        <v>990</v>
      </c>
      <c r="K220" s="15">
        <v>500</v>
      </c>
      <c r="L220" s="24" t="s">
        <v>2022</v>
      </c>
      <c r="M220" s="24" t="s">
        <v>2016</v>
      </c>
      <c r="N220" s="1" t="s">
        <v>2013</v>
      </c>
      <c r="O220" s="15" t="s">
        <v>2082</v>
      </c>
      <c r="P220" s="15" t="s">
        <v>2442</v>
      </c>
      <c r="Q220" s="25" t="s">
        <v>2088</v>
      </c>
      <c r="R220" s="25" t="s">
        <v>2437</v>
      </c>
      <c r="S220" s="73" t="s">
        <v>2119</v>
      </c>
    </row>
    <row r="221" spans="1:19" x14ac:dyDescent="0.2">
      <c r="A221" s="1">
        <v>229</v>
      </c>
      <c r="B221" s="1" t="s">
        <v>2</v>
      </c>
      <c r="C221" s="1" t="s">
        <v>2445</v>
      </c>
      <c r="D221" s="1" t="s">
        <v>869</v>
      </c>
      <c r="E221" s="1" t="s">
        <v>817</v>
      </c>
      <c r="F221" s="67" t="s">
        <v>921</v>
      </c>
      <c r="G221" s="24" t="s">
        <v>1232</v>
      </c>
      <c r="H221" s="16">
        <v>39</v>
      </c>
      <c r="I221" s="25">
        <v>1</v>
      </c>
      <c r="J221" s="56">
        <v>890</v>
      </c>
      <c r="K221" s="15">
        <v>350</v>
      </c>
      <c r="L221" s="24" t="s">
        <v>2046</v>
      </c>
      <c r="M221" s="24" t="s">
        <v>2016</v>
      </c>
      <c r="N221" s="1" t="s">
        <v>2013</v>
      </c>
      <c r="O221" s="15" t="s">
        <v>2082</v>
      </c>
      <c r="P221" s="15" t="s">
        <v>2442</v>
      </c>
      <c r="Q221" s="25" t="s">
        <v>2086</v>
      </c>
      <c r="R221" s="25" t="s">
        <v>2435</v>
      </c>
      <c r="S221" s="73" t="s">
        <v>2250</v>
      </c>
    </row>
    <row r="222" spans="1:19" x14ac:dyDescent="0.2">
      <c r="A222" s="1">
        <v>230</v>
      </c>
      <c r="B222" s="1" t="s">
        <v>2</v>
      </c>
      <c r="C222" s="1" t="s">
        <v>2445</v>
      </c>
      <c r="D222" s="1" t="s">
        <v>869</v>
      </c>
      <c r="E222" s="1" t="s">
        <v>818</v>
      </c>
      <c r="F222" s="67" t="s">
        <v>922</v>
      </c>
      <c r="G222" s="24" t="s">
        <v>1233</v>
      </c>
      <c r="H222" s="16">
        <v>31</v>
      </c>
      <c r="I222" s="25">
        <v>5</v>
      </c>
      <c r="J222" s="56">
        <v>1340</v>
      </c>
      <c r="K222" s="15">
        <v>700</v>
      </c>
      <c r="L222" s="24" t="s">
        <v>2049</v>
      </c>
      <c r="M222" s="24" t="s">
        <v>2016</v>
      </c>
      <c r="N222" s="1" t="s">
        <v>2013</v>
      </c>
      <c r="O222" s="15" t="s">
        <v>2082</v>
      </c>
      <c r="P222" s="15" t="s">
        <v>2442</v>
      </c>
      <c r="Q222" s="25" t="s">
        <v>2087</v>
      </c>
      <c r="R222" s="25" t="s">
        <v>2434</v>
      </c>
      <c r="S222" s="73" t="s">
        <v>2097</v>
      </c>
    </row>
    <row r="223" spans="1:19" x14ac:dyDescent="0.2">
      <c r="A223" s="1">
        <v>231</v>
      </c>
      <c r="B223" s="1" t="s">
        <v>200</v>
      </c>
      <c r="C223" s="1" t="s">
        <v>2445</v>
      </c>
      <c r="D223" s="1" t="s">
        <v>869</v>
      </c>
      <c r="E223" s="1" t="s">
        <v>863</v>
      </c>
      <c r="F223" s="67" t="s">
        <v>923</v>
      </c>
      <c r="G223" s="24" t="s">
        <v>1234</v>
      </c>
      <c r="H223" s="16">
        <v>44</v>
      </c>
      <c r="I223" s="25">
        <v>3</v>
      </c>
      <c r="J223" s="56">
        <v>1500</v>
      </c>
      <c r="K223" s="15">
        <v>775</v>
      </c>
      <c r="L223" s="24" t="s">
        <v>2053</v>
      </c>
      <c r="M223" s="24" t="s">
        <v>2014</v>
      </c>
      <c r="N223" s="1" t="s">
        <v>2013</v>
      </c>
      <c r="O223" s="15" t="s">
        <v>2082</v>
      </c>
      <c r="P223" s="15" t="s">
        <v>2442</v>
      </c>
      <c r="Q223" s="25" t="s">
        <v>2084</v>
      </c>
      <c r="R223" s="25" t="s">
        <v>2436</v>
      </c>
      <c r="S223" s="73" t="s">
        <v>2251</v>
      </c>
    </row>
    <row r="224" spans="1:19" x14ac:dyDescent="0.2">
      <c r="A224" s="1">
        <v>232</v>
      </c>
      <c r="B224" s="1" t="s">
        <v>36</v>
      </c>
      <c r="C224" s="1" t="s">
        <v>2445</v>
      </c>
      <c r="D224" s="1" t="s">
        <v>869</v>
      </c>
      <c r="E224" s="1" t="s">
        <v>863</v>
      </c>
      <c r="F224" s="67" t="s">
        <v>924</v>
      </c>
      <c r="G224" s="24" t="s">
        <v>1235</v>
      </c>
      <c r="H224" s="16">
        <v>26</v>
      </c>
      <c r="I224" s="25">
        <v>2</v>
      </c>
      <c r="J224" s="56">
        <v>2400</v>
      </c>
      <c r="K224" s="15">
        <f>975+435+900</f>
        <v>2310</v>
      </c>
      <c r="L224" s="24" t="s">
        <v>2015</v>
      </c>
      <c r="M224" s="24" t="s">
        <v>2014</v>
      </c>
      <c r="N224" s="1" t="s">
        <v>2013</v>
      </c>
      <c r="O224" s="15" t="s">
        <v>2082</v>
      </c>
      <c r="P224" s="15" t="s">
        <v>2442</v>
      </c>
      <c r="Q224" s="25" t="s">
        <v>2086</v>
      </c>
      <c r="R224" s="25" t="s">
        <v>2437</v>
      </c>
      <c r="S224" s="73" t="s">
        <v>2252</v>
      </c>
    </row>
    <row r="225" spans="1:19" x14ac:dyDescent="0.2">
      <c r="A225" s="1">
        <v>233</v>
      </c>
      <c r="B225" s="1" t="s">
        <v>6</v>
      </c>
      <c r="C225" s="1" t="s">
        <v>2445</v>
      </c>
      <c r="D225" s="1" t="s">
        <v>869</v>
      </c>
      <c r="E225" s="1" t="s">
        <v>818</v>
      </c>
      <c r="F225" s="67" t="s">
        <v>925</v>
      </c>
      <c r="G225" s="24" t="s">
        <v>1236</v>
      </c>
      <c r="H225" s="16">
        <v>48</v>
      </c>
      <c r="I225" s="25">
        <v>4</v>
      </c>
      <c r="J225" s="56">
        <v>1140</v>
      </c>
      <c r="K225" s="15">
        <v>550</v>
      </c>
      <c r="L225" s="24" t="s">
        <v>2026</v>
      </c>
      <c r="M225" s="24" t="s">
        <v>2020</v>
      </c>
      <c r="N225" s="1" t="s">
        <v>2013</v>
      </c>
      <c r="O225" s="15" t="s">
        <v>2082</v>
      </c>
      <c r="P225" s="15" t="s">
        <v>2442</v>
      </c>
      <c r="Q225" s="25" t="s">
        <v>2090</v>
      </c>
      <c r="R225" s="25" t="s">
        <v>2435</v>
      </c>
      <c r="S225" s="73" t="s">
        <v>2253</v>
      </c>
    </row>
    <row r="226" spans="1:19" x14ac:dyDescent="0.2">
      <c r="A226" s="1">
        <v>234</v>
      </c>
      <c r="B226" s="1" t="s">
        <v>13</v>
      </c>
      <c r="C226" s="1" t="s">
        <v>2445</v>
      </c>
      <c r="D226" s="1" t="s">
        <v>869</v>
      </c>
      <c r="E226" s="1" t="s">
        <v>818</v>
      </c>
      <c r="F226" s="69" t="s">
        <v>904</v>
      </c>
      <c r="G226" s="24" t="s">
        <v>1237</v>
      </c>
      <c r="H226" s="16">
        <v>53</v>
      </c>
      <c r="I226" s="25">
        <v>1</v>
      </c>
      <c r="J226" s="56">
        <v>940</v>
      </c>
      <c r="K226" s="15">
        <v>650</v>
      </c>
      <c r="L226" s="24" t="s">
        <v>2033</v>
      </c>
      <c r="M226" s="24" t="s">
        <v>2016</v>
      </c>
      <c r="N226" s="1" t="s">
        <v>2013</v>
      </c>
      <c r="O226" s="15" t="s">
        <v>2082</v>
      </c>
      <c r="P226" s="15" t="s">
        <v>2442</v>
      </c>
      <c r="Q226" s="25" t="s">
        <v>2085</v>
      </c>
      <c r="R226" s="25" t="s">
        <v>2436</v>
      </c>
      <c r="S226" s="73" t="s">
        <v>2151</v>
      </c>
    </row>
    <row r="227" spans="1:19" x14ac:dyDescent="0.2">
      <c r="A227" s="1">
        <v>235</v>
      </c>
      <c r="B227" s="1" t="s">
        <v>831</v>
      </c>
      <c r="C227" s="1" t="s">
        <v>2445</v>
      </c>
      <c r="D227" s="1" t="s">
        <v>869</v>
      </c>
      <c r="E227" s="1" t="s">
        <v>863</v>
      </c>
      <c r="F227" s="66" t="s">
        <v>926</v>
      </c>
      <c r="G227" s="24" t="s">
        <v>1238</v>
      </c>
      <c r="H227" s="16">
        <v>30</v>
      </c>
      <c r="I227" s="25">
        <v>5</v>
      </c>
      <c r="J227" s="56">
        <v>1175</v>
      </c>
      <c r="K227" s="15">
        <f>8*89+30+220</f>
        <v>962</v>
      </c>
      <c r="L227" s="24" t="s">
        <v>2047</v>
      </c>
      <c r="M227" s="24" t="s">
        <v>2024</v>
      </c>
      <c r="N227" s="1" t="s">
        <v>2013</v>
      </c>
      <c r="O227" s="15" t="s">
        <v>2082</v>
      </c>
      <c r="P227" s="15" t="s">
        <v>2442</v>
      </c>
      <c r="Q227" s="25" t="s">
        <v>2084</v>
      </c>
      <c r="R227" s="25" t="s">
        <v>2434</v>
      </c>
      <c r="S227" s="73" t="s">
        <v>2254</v>
      </c>
    </row>
    <row r="228" spans="1:19" x14ac:dyDescent="0.2">
      <c r="A228" s="1">
        <v>236</v>
      </c>
      <c r="B228" s="1" t="s">
        <v>16</v>
      </c>
      <c r="C228" s="1" t="s">
        <v>2445</v>
      </c>
      <c r="D228" s="1" t="s">
        <v>869</v>
      </c>
      <c r="E228" s="1" t="s">
        <v>824</v>
      </c>
      <c r="F228" s="66" t="s">
        <v>927</v>
      </c>
      <c r="G228" s="24" t="s">
        <v>1239</v>
      </c>
      <c r="H228" s="16">
        <v>37</v>
      </c>
      <c r="I228" s="25">
        <v>2</v>
      </c>
      <c r="J228" s="56">
        <v>1090</v>
      </c>
      <c r="K228" s="15">
        <v>600</v>
      </c>
      <c r="L228" s="24" t="s">
        <v>2018</v>
      </c>
      <c r="M228" s="24" t="s">
        <v>2014</v>
      </c>
      <c r="N228" s="1" t="s">
        <v>2013</v>
      </c>
      <c r="O228" s="15" t="s">
        <v>2763</v>
      </c>
      <c r="P228" s="15" t="s">
        <v>2442</v>
      </c>
      <c r="Q228" s="25" t="s">
        <v>2083</v>
      </c>
      <c r="R228" s="25" t="s">
        <v>2437</v>
      </c>
      <c r="S228" s="73" t="s">
        <v>2255</v>
      </c>
    </row>
    <row r="229" spans="1:19" x14ac:dyDescent="0.2">
      <c r="A229" s="1">
        <v>237</v>
      </c>
      <c r="B229" s="1" t="s">
        <v>16</v>
      </c>
      <c r="C229" s="1" t="s">
        <v>2445</v>
      </c>
      <c r="D229" s="1" t="s">
        <v>869</v>
      </c>
      <c r="E229" s="1" t="s">
        <v>823</v>
      </c>
      <c r="F229" s="67" t="s">
        <v>932</v>
      </c>
      <c r="G229" s="24" t="s">
        <v>1240</v>
      </c>
      <c r="H229" s="16">
        <v>42</v>
      </c>
      <c r="I229" s="25">
        <v>3</v>
      </c>
      <c r="J229" s="56">
        <v>2175</v>
      </c>
      <c r="K229" s="15">
        <f>850+3.5*89+100</f>
        <v>1261.5</v>
      </c>
      <c r="L229" s="24" t="s">
        <v>2030</v>
      </c>
      <c r="M229" s="24" t="s">
        <v>2024</v>
      </c>
      <c r="N229" s="1" t="s">
        <v>2013</v>
      </c>
      <c r="O229" s="15" t="s">
        <v>2082</v>
      </c>
      <c r="P229" s="15" t="s">
        <v>2442</v>
      </c>
      <c r="Q229" s="25" t="s">
        <v>2084</v>
      </c>
      <c r="R229" s="25" t="s">
        <v>2435</v>
      </c>
      <c r="S229" s="73" t="s">
        <v>2183</v>
      </c>
    </row>
    <row r="230" spans="1:19" x14ac:dyDescent="0.2">
      <c r="A230" s="1">
        <v>238</v>
      </c>
      <c r="B230" s="1" t="s">
        <v>16</v>
      </c>
      <c r="C230" s="1" t="s">
        <v>2445</v>
      </c>
      <c r="D230" s="1" t="s">
        <v>869</v>
      </c>
      <c r="E230" s="1" t="s">
        <v>822</v>
      </c>
      <c r="F230" s="66" t="s">
        <v>881</v>
      </c>
      <c r="G230" s="24" t="s">
        <v>1241</v>
      </c>
      <c r="H230" s="16">
        <v>24</v>
      </c>
      <c r="I230" s="25">
        <v>4</v>
      </c>
      <c r="J230" s="56">
        <v>750</v>
      </c>
      <c r="K230" s="15">
        <v>750</v>
      </c>
      <c r="L230" s="24" t="s">
        <v>2053</v>
      </c>
      <c r="M230" s="24" t="s">
        <v>2014</v>
      </c>
      <c r="N230" s="1" t="s">
        <v>2013</v>
      </c>
      <c r="O230" s="15" t="s">
        <v>2082</v>
      </c>
      <c r="P230" s="15" t="s">
        <v>2442</v>
      </c>
      <c r="Q230" s="25" t="s">
        <v>2088</v>
      </c>
      <c r="R230" s="25" t="s">
        <v>2434</v>
      </c>
      <c r="S230" s="73" t="s">
        <v>2256</v>
      </c>
    </row>
    <row r="231" spans="1:19" x14ac:dyDescent="0.2">
      <c r="A231" s="1">
        <v>239</v>
      </c>
      <c r="B231" s="1" t="s">
        <v>16</v>
      </c>
      <c r="C231" s="1" t="s">
        <v>2445</v>
      </c>
      <c r="D231" s="1" t="s">
        <v>869</v>
      </c>
      <c r="E231" s="1" t="s">
        <v>863</v>
      </c>
      <c r="F231" s="66" t="s">
        <v>883</v>
      </c>
      <c r="G231" s="24" t="s">
        <v>1242</v>
      </c>
      <c r="H231" s="16">
        <v>57</v>
      </c>
      <c r="I231" s="25">
        <v>1</v>
      </c>
      <c r="J231" s="56">
        <v>2475</v>
      </c>
      <c r="K231" s="15">
        <f>780+89*2+90+20+20+40</f>
        <v>1128</v>
      </c>
      <c r="L231" s="24" t="s">
        <v>2027</v>
      </c>
      <c r="M231" s="24" t="s">
        <v>2014</v>
      </c>
      <c r="N231" s="1" t="s">
        <v>2013</v>
      </c>
      <c r="O231" s="15" t="s">
        <v>2082</v>
      </c>
      <c r="P231" s="15" t="s">
        <v>2442</v>
      </c>
      <c r="Q231" s="25" t="s">
        <v>2087</v>
      </c>
      <c r="R231" s="25" t="s">
        <v>2436</v>
      </c>
      <c r="S231" s="73" t="s">
        <v>2257</v>
      </c>
    </row>
    <row r="232" spans="1:19" x14ac:dyDescent="0.2">
      <c r="A232" s="1">
        <v>240</v>
      </c>
      <c r="B232" s="1" t="s">
        <v>7</v>
      </c>
      <c r="C232" s="1" t="s">
        <v>2445</v>
      </c>
      <c r="D232" s="1" t="s">
        <v>869</v>
      </c>
      <c r="E232" s="1" t="s">
        <v>864</v>
      </c>
      <c r="F232" s="66" t="s">
        <v>884</v>
      </c>
      <c r="G232" s="24" t="s">
        <v>1243</v>
      </c>
      <c r="H232" s="16">
        <v>35</v>
      </c>
      <c r="I232" s="25">
        <v>5</v>
      </c>
      <c r="J232" s="56">
        <v>2775</v>
      </c>
      <c r="K232" s="15">
        <f>870+2*89+90+60+40+40</f>
        <v>1278</v>
      </c>
      <c r="L232" s="24" t="s">
        <v>2022</v>
      </c>
      <c r="M232" s="24" t="s">
        <v>2016</v>
      </c>
      <c r="N232" s="1" t="s">
        <v>2013</v>
      </c>
      <c r="O232" s="15" t="s">
        <v>2082</v>
      </c>
      <c r="P232" s="15" t="s">
        <v>2442</v>
      </c>
      <c r="Q232" s="25" t="s">
        <v>2087</v>
      </c>
      <c r="R232" s="25" t="s">
        <v>2437</v>
      </c>
      <c r="S232" s="73" t="s">
        <v>2258</v>
      </c>
    </row>
    <row r="233" spans="1:19" x14ac:dyDescent="0.2">
      <c r="A233" s="1">
        <v>241</v>
      </c>
      <c r="B233" s="15" t="s">
        <v>7</v>
      </c>
      <c r="C233" s="1" t="s">
        <v>2445</v>
      </c>
      <c r="D233" s="1" t="s">
        <v>869</v>
      </c>
      <c r="E233" s="1" t="s">
        <v>824</v>
      </c>
      <c r="F233" s="67" t="s">
        <v>931</v>
      </c>
      <c r="G233" s="24" t="s">
        <v>1244</v>
      </c>
      <c r="H233" s="16">
        <v>40</v>
      </c>
      <c r="I233" s="25">
        <v>3</v>
      </c>
      <c r="J233" s="56">
        <v>1340</v>
      </c>
      <c r="K233" s="15">
        <v>700</v>
      </c>
      <c r="L233" s="24" t="s">
        <v>2036</v>
      </c>
      <c r="M233" s="24" t="s">
        <v>2014</v>
      </c>
      <c r="N233" s="1" t="s">
        <v>2013</v>
      </c>
      <c r="O233" s="15" t="s">
        <v>2082</v>
      </c>
      <c r="P233" s="15" t="s">
        <v>2442</v>
      </c>
      <c r="Q233" s="25" t="s">
        <v>2088</v>
      </c>
      <c r="R233" s="25" t="s">
        <v>2435</v>
      </c>
      <c r="S233" s="73" t="s">
        <v>2183</v>
      </c>
    </row>
    <row r="234" spans="1:19" x14ac:dyDescent="0.2">
      <c r="A234" s="1">
        <v>242</v>
      </c>
      <c r="B234" s="15" t="s">
        <v>12</v>
      </c>
      <c r="C234" s="1" t="s">
        <v>2445</v>
      </c>
      <c r="D234" s="1" t="s">
        <v>869</v>
      </c>
      <c r="E234" s="1" t="s">
        <v>818</v>
      </c>
      <c r="F234" s="66" t="s">
        <v>929</v>
      </c>
      <c r="G234" s="24" t="s">
        <v>1245</v>
      </c>
      <c r="H234" s="16">
        <v>21</v>
      </c>
      <c r="I234" s="25">
        <v>2</v>
      </c>
      <c r="J234" s="56">
        <v>1013</v>
      </c>
      <c r="K234" s="15">
        <v>650</v>
      </c>
      <c r="L234" s="24" t="s">
        <v>2056</v>
      </c>
      <c r="M234" s="24" t="s">
        <v>2024</v>
      </c>
      <c r="N234" s="1" t="s">
        <v>2013</v>
      </c>
      <c r="O234" s="15" t="s">
        <v>2082</v>
      </c>
      <c r="P234" s="15" t="s">
        <v>2442</v>
      </c>
      <c r="Q234" s="25" t="s">
        <v>2089</v>
      </c>
      <c r="R234" s="25" t="s">
        <v>2436</v>
      </c>
      <c r="S234" s="73" t="s">
        <v>2232</v>
      </c>
    </row>
    <row r="235" spans="1:19" x14ac:dyDescent="0.2">
      <c r="A235" s="1">
        <v>243</v>
      </c>
      <c r="B235" s="15" t="s">
        <v>5</v>
      </c>
      <c r="C235" s="1" t="s">
        <v>2445</v>
      </c>
      <c r="D235" s="1" t="s">
        <v>869</v>
      </c>
      <c r="E235" s="1" t="s">
        <v>821</v>
      </c>
      <c r="F235" s="66" t="s">
        <v>882</v>
      </c>
      <c r="G235" s="24" t="s">
        <v>1246</v>
      </c>
      <c r="H235" s="16">
        <v>59</v>
      </c>
      <c r="I235" s="25">
        <v>4</v>
      </c>
      <c r="J235" s="56">
        <v>1013</v>
      </c>
      <c r="K235" s="15">
        <v>600</v>
      </c>
      <c r="L235" s="24" t="s">
        <v>2052</v>
      </c>
      <c r="M235" s="24" t="s">
        <v>2016</v>
      </c>
      <c r="N235" s="1" t="s">
        <v>2013</v>
      </c>
      <c r="O235" s="15" t="s">
        <v>2082</v>
      </c>
      <c r="P235" s="15" t="s">
        <v>2442</v>
      </c>
      <c r="Q235" s="25" t="s">
        <v>2083</v>
      </c>
      <c r="R235" s="25" t="s">
        <v>2434</v>
      </c>
      <c r="S235" s="73" t="s">
        <v>2231</v>
      </c>
    </row>
    <row r="236" spans="1:19" x14ac:dyDescent="0.2">
      <c r="A236" s="1">
        <v>244</v>
      </c>
      <c r="B236" s="15" t="s">
        <v>5</v>
      </c>
      <c r="C236" s="1" t="s">
        <v>2445</v>
      </c>
      <c r="D236" s="1" t="s">
        <v>869</v>
      </c>
      <c r="E236" s="1" t="s">
        <v>818</v>
      </c>
      <c r="F236" s="66" t="s">
        <v>880</v>
      </c>
      <c r="G236" s="24" t="s">
        <v>1247</v>
      </c>
      <c r="H236" s="16">
        <v>34</v>
      </c>
      <c r="I236" s="25">
        <v>1</v>
      </c>
      <c r="J236" s="56">
        <v>1240</v>
      </c>
      <c r="K236" s="15">
        <v>650</v>
      </c>
      <c r="L236" s="24" t="s">
        <v>2042</v>
      </c>
      <c r="M236" s="24" t="s">
        <v>2016</v>
      </c>
      <c r="N236" s="1" t="s">
        <v>2013</v>
      </c>
      <c r="O236" s="15" t="s">
        <v>2082</v>
      </c>
      <c r="P236" s="15" t="s">
        <v>2442</v>
      </c>
      <c r="Q236" s="25" t="s">
        <v>2085</v>
      </c>
      <c r="R236" s="25" t="s">
        <v>2437</v>
      </c>
      <c r="S236" s="73" t="s">
        <v>2259</v>
      </c>
    </row>
    <row r="237" spans="1:19" x14ac:dyDescent="0.2">
      <c r="A237" s="1">
        <v>245</v>
      </c>
      <c r="B237" s="15" t="s">
        <v>13</v>
      </c>
      <c r="C237" s="1" t="s">
        <v>2445</v>
      </c>
      <c r="D237" s="1" t="s">
        <v>869</v>
      </c>
      <c r="E237" s="1" t="s">
        <v>818</v>
      </c>
      <c r="F237" s="66" t="s">
        <v>878</v>
      </c>
      <c r="G237" s="24" t="s">
        <v>1248</v>
      </c>
      <c r="H237" s="16">
        <v>27</v>
      </c>
      <c r="I237" s="25">
        <v>5</v>
      </c>
      <c r="J237" s="56">
        <v>990</v>
      </c>
      <c r="K237" s="15">
        <v>500</v>
      </c>
      <c r="L237" s="24" t="s">
        <v>2031</v>
      </c>
      <c r="M237" s="24" t="s">
        <v>2016</v>
      </c>
      <c r="N237" s="1" t="s">
        <v>2013</v>
      </c>
      <c r="O237" s="15" t="s">
        <v>2082</v>
      </c>
      <c r="P237" s="15" t="s">
        <v>2442</v>
      </c>
      <c r="Q237" s="25" t="s">
        <v>2088</v>
      </c>
      <c r="R237" s="25" t="s">
        <v>2435</v>
      </c>
      <c r="S237" s="73" t="s">
        <v>2232</v>
      </c>
    </row>
    <row r="238" spans="1:19" x14ac:dyDescent="0.2">
      <c r="A238" s="1">
        <v>246</v>
      </c>
      <c r="B238" s="15" t="s">
        <v>8</v>
      </c>
      <c r="C238" s="1" t="s">
        <v>2445</v>
      </c>
      <c r="D238" s="1" t="s">
        <v>869</v>
      </c>
      <c r="E238" s="1" t="s">
        <v>818</v>
      </c>
      <c r="F238" s="66" t="s">
        <v>879</v>
      </c>
      <c r="G238" s="24" t="s">
        <v>1249</v>
      </c>
      <c r="H238" s="16">
        <v>45</v>
      </c>
      <c r="I238" s="25">
        <v>3</v>
      </c>
      <c r="J238" s="56">
        <v>890</v>
      </c>
      <c r="K238" s="15">
        <v>450</v>
      </c>
      <c r="L238" s="24" t="s">
        <v>2038</v>
      </c>
      <c r="M238" s="24" t="s">
        <v>2020</v>
      </c>
      <c r="N238" s="1" t="s">
        <v>2013</v>
      </c>
      <c r="O238" s="15" t="s">
        <v>2082</v>
      </c>
      <c r="P238" s="15" t="s">
        <v>2442</v>
      </c>
      <c r="Q238" s="25" t="s">
        <v>2087</v>
      </c>
      <c r="R238" s="25" t="s">
        <v>2434</v>
      </c>
      <c r="S238" s="73" t="s">
        <v>2260</v>
      </c>
    </row>
    <row r="239" spans="1:19" x14ac:dyDescent="0.2">
      <c r="A239" s="1">
        <v>247</v>
      </c>
      <c r="B239" s="15" t="s">
        <v>832</v>
      </c>
      <c r="C239" s="1" t="s">
        <v>2445</v>
      </c>
      <c r="D239" s="1" t="s">
        <v>869</v>
      </c>
      <c r="E239" s="1" t="s">
        <v>864</v>
      </c>
      <c r="F239" s="66" t="s">
        <v>880</v>
      </c>
      <c r="G239" s="24" t="s">
        <v>1250</v>
      </c>
      <c r="H239" s="16">
        <v>52</v>
      </c>
      <c r="I239" s="25">
        <v>1</v>
      </c>
      <c r="J239" s="56">
        <f>33*14</f>
        <v>462</v>
      </c>
      <c r="K239" s="15">
        <f>20*15</f>
        <v>300</v>
      </c>
      <c r="L239" s="24" t="s">
        <v>2050</v>
      </c>
      <c r="M239" s="24" t="s">
        <v>2024</v>
      </c>
      <c r="N239" s="1" t="s">
        <v>2013</v>
      </c>
      <c r="O239" s="15" t="s">
        <v>2082</v>
      </c>
      <c r="P239" s="15" t="s">
        <v>2442</v>
      </c>
      <c r="Q239" s="25" t="s">
        <v>2084</v>
      </c>
      <c r="R239" s="25" t="s">
        <v>2436</v>
      </c>
      <c r="S239" s="73" t="s">
        <v>2261</v>
      </c>
    </row>
    <row r="240" spans="1:19" x14ac:dyDescent="0.2">
      <c r="A240" s="1">
        <v>248</v>
      </c>
      <c r="B240" s="15" t="s">
        <v>360</v>
      </c>
      <c r="C240" s="1" t="s">
        <v>2446</v>
      </c>
      <c r="D240" s="1" t="s">
        <v>2493</v>
      </c>
      <c r="E240" s="1" t="s">
        <v>863</v>
      </c>
      <c r="F240" s="66" t="s">
        <v>881</v>
      </c>
      <c r="G240" s="24" t="s">
        <v>1251</v>
      </c>
      <c r="H240" s="16">
        <v>23</v>
      </c>
      <c r="I240" s="25">
        <v>2</v>
      </c>
      <c r="J240" s="56">
        <v>1390</v>
      </c>
      <c r="K240" s="15">
        <v>550</v>
      </c>
      <c r="L240" s="24" t="s">
        <v>2060</v>
      </c>
      <c r="M240" s="24" t="s">
        <v>2024</v>
      </c>
      <c r="N240" s="1" t="s">
        <v>2013</v>
      </c>
      <c r="O240" s="15" t="s">
        <v>2082</v>
      </c>
      <c r="P240" s="15" t="s">
        <v>2442</v>
      </c>
      <c r="Q240" s="25" t="s">
        <v>2084</v>
      </c>
      <c r="R240" s="25" t="s">
        <v>2437</v>
      </c>
      <c r="S240" s="73" t="s">
        <v>2142</v>
      </c>
    </row>
    <row r="241" spans="1:19" x14ac:dyDescent="0.2">
      <c r="A241" s="1">
        <v>249</v>
      </c>
      <c r="B241" s="15" t="s">
        <v>633</v>
      </c>
      <c r="C241" s="1" t="s">
        <v>2446</v>
      </c>
      <c r="D241" s="1" t="s">
        <v>2455</v>
      </c>
      <c r="E241" s="1" t="s">
        <v>822</v>
      </c>
      <c r="F241" s="66" t="s">
        <v>882</v>
      </c>
      <c r="G241" s="24" t="s">
        <v>1252</v>
      </c>
      <c r="H241" s="16">
        <v>38</v>
      </c>
      <c r="I241" s="25">
        <v>4</v>
      </c>
      <c r="J241" s="56">
        <v>1830</v>
      </c>
      <c r="K241" s="15">
        <v>830</v>
      </c>
      <c r="L241" s="24" t="s">
        <v>2019</v>
      </c>
      <c r="M241" s="24" t="s">
        <v>2014</v>
      </c>
      <c r="N241" s="1" t="s">
        <v>2013</v>
      </c>
      <c r="O241" s="15" t="s">
        <v>2082</v>
      </c>
      <c r="P241" s="15" t="s">
        <v>2442</v>
      </c>
      <c r="Q241" s="25" t="s">
        <v>2083</v>
      </c>
      <c r="R241" s="25" t="s">
        <v>2435</v>
      </c>
      <c r="S241" s="73" t="s">
        <v>2249</v>
      </c>
    </row>
    <row r="242" spans="1:19" x14ac:dyDescent="0.2">
      <c r="A242" s="1">
        <v>250</v>
      </c>
      <c r="B242" s="15" t="s">
        <v>13</v>
      </c>
      <c r="C242" s="1" t="s">
        <v>2445</v>
      </c>
      <c r="D242" s="1" t="s">
        <v>869</v>
      </c>
      <c r="E242" s="1" t="s">
        <v>15</v>
      </c>
      <c r="F242" s="66" t="s">
        <v>881</v>
      </c>
      <c r="G242" s="24" t="s">
        <v>1253</v>
      </c>
      <c r="H242" s="16">
        <v>41</v>
      </c>
      <c r="I242" s="25">
        <v>5</v>
      </c>
      <c r="J242" s="56">
        <v>990</v>
      </c>
      <c r="K242" s="15">
        <v>500</v>
      </c>
      <c r="L242" s="24" t="s">
        <v>2025</v>
      </c>
      <c r="M242" s="24" t="s">
        <v>2024</v>
      </c>
      <c r="N242" s="1" t="s">
        <v>2013</v>
      </c>
      <c r="O242" s="15" t="s">
        <v>2082</v>
      </c>
      <c r="P242" s="15" t="s">
        <v>2442</v>
      </c>
      <c r="Q242" s="25" t="s">
        <v>2090</v>
      </c>
      <c r="R242" s="25" t="s">
        <v>2436</v>
      </c>
      <c r="S242" s="73" t="s">
        <v>2105</v>
      </c>
    </row>
    <row r="243" spans="1:19" x14ac:dyDescent="0.2">
      <c r="A243" s="1">
        <v>251</v>
      </c>
      <c r="B243" s="15" t="s">
        <v>833</v>
      </c>
      <c r="C243" s="1" t="s">
        <v>2445</v>
      </c>
      <c r="D243" s="1" t="s">
        <v>869</v>
      </c>
      <c r="E243" s="1" t="s">
        <v>821</v>
      </c>
      <c r="F243" s="66" t="s">
        <v>883</v>
      </c>
      <c r="G243" s="24" t="s">
        <v>1254</v>
      </c>
      <c r="H243" s="16">
        <v>29</v>
      </c>
      <c r="I243" s="25">
        <v>2</v>
      </c>
      <c r="J243" s="56">
        <v>850</v>
      </c>
      <c r="K243" s="15">
        <v>550</v>
      </c>
      <c r="L243" s="24" t="s">
        <v>2026</v>
      </c>
      <c r="M243" s="24" t="s">
        <v>2020</v>
      </c>
      <c r="N243" s="1" t="s">
        <v>2013</v>
      </c>
      <c r="O243" s="15" t="s">
        <v>2082</v>
      </c>
      <c r="P243" s="15" t="s">
        <v>2442</v>
      </c>
      <c r="Q243" s="25" t="s">
        <v>2088</v>
      </c>
      <c r="R243" s="25" t="s">
        <v>2434</v>
      </c>
      <c r="S243" s="73" t="s">
        <v>2262</v>
      </c>
    </row>
    <row r="244" spans="1:19" x14ac:dyDescent="0.2">
      <c r="A244" s="1">
        <v>252</v>
      </c>
      <c r="B244" s="15" t="s">
        <v>555</v>
      </c>
      <c r="C244" s="1" t="s">
        <v>2446</v>
      </c>
      <c r="D244" s="1" t="s">
        <v>2494</v>
      </c>
      <c r="E244" s="1" t="s">
        <v>822</v>
      </c>
      <c r="F244" s="66" t="s">
        <v>884</v>
      </c>
      <c r="G244" s="24" t="s">
        <v>1255</v>
      </c>
      <c r="H244" s="16">
        <v>60</v>
      </c>
      <c r="I244" s="25">
        <v>3</v>
      </c>
      <c r="J244" s="56">
        <v>1475</v>
      </c>
      <c r="K244" s="15">
        <v>475</v>
      </c>
      <c r="L244" s="24" t="s">
        <v>2059</v>
      </c>
      <c r="M244" s="24" t="s">
        <v>2016</v>
      </c>
      <c r="N244" s="1" t="s">
        <v>2013</v>
      </c>
      <c r="O244" s="15" t="s">
        <v>2082</v>
      </c>
      <c r="P244" s="15" t="s">
        <v>2442</v>
      </c>
      <c r="Q244" s="25" t="s">
        <v>2084</v>
      </c>
      <c r="R244" s="25" t="s">
        <v>2437</v>
      </c>
      <c r="S244" s="73" t="s">
        <v>2263</v>
      </c>
    </row>
    <row r="245" spans="1:19" x14ac:dyDescent="0.2">
      <c r="A245" s="1">
        <v>253</v>
      </c>
      <c r="B245" s="15" t="s">
        <v>848</v>
      </c>
      <c r="C245" s="1" t="s">
        <v>2446</v>
      </c>
      <c r="D245" s="1" t="s">
        <v>2495</v>
      </c>
      <c r="E245" s="1" t="s">
        <v>865</v>
      </c>
      <c r="F245" s="67" t="s">
        <v>931</v>
      </c>
      <c r="G245" s="24" t="s">
        <v>1256</v>
      </c>
      <c r="H245" s="16">
        <v>33</v>
      </c>
      <c r="I245" s="25">
        <v>1</v>
      </c>
      <c r="J245" s="56">
        <f>100*20.2+350*3</f>
        <v>3070</v>
      </c>
      <c r="K245" s="15">
        <f>85.5*21+427.5+142</f>
        <v>2365</v>
      </c>
      <c r="L245" s="24" t="s">
        <v>2023</v>
      </c>
      <c r="M245" s="24" t="s">
        <v>2024</v>
      </c>
      <c r="N245" s="1" t="s">
        <v>2013</v>
      </c>
      <c r="O245" s="15" t="s">
        <v>2082</v>
      </c>
      <c r="P245" s="15" t="s">
        <v>2442</v>
      </c>
      <c r="Q245" s="25" t="s">
        <v>2084</v>
      </c>
      <c r="R245" s="25" t="s">
        <v>2435</v>
      </c>
      <c r="S245" s="73" t="s">
        <v>2264</v>
      </c>
    </row>
    <row r="246" spans="1:19" x14ac:dyDescent="0.2">
      <c r="A246" s="1">
        <v>254</v>
      </c>
      <c r="B246" s="15" t="s">
        <v>524</v>
      </c>
      <c r="C246" s="1" t="s">
        <v>2446</v>
      </c>
      <c r="D246" s="1" t="s">
        <v>2496</v>
      </c>
      <c r="E246" s="1" t="s">
        <v>863</v>
      </c>
      <c r="F246" s="66" t="s">
        <v>929</v>
      </c>
      <c r="G246" s="24" t="s">
        <v>1257</v>
      </c>
      <c r="H246" s="16">
        <v>22</v>
      </c>
      <c r="I246" s="25">
        <v>4</v>
      </c>
      <c r="J246" s="56">
        <v>1500</v>
      </c>
      <c r="K246" s="15">
        <v>640</v>
      </c>
      <c r="L246" s="24" t="s">
        <v>2054</v>
      </c>
      <c r="M246" s="24" t="s">
        <v>2016</v>
      </c>
      <c r="N246" s="1" t="s">
        <v>2013</v>
      </c>
      <c r="O246" s="15" t="s">
        <v>2082</v>
      </c>
      <c r="P246" s="15" t="s">
        <v>2442</v>
      </c>
      <c r="Q246" s="25" t="s">
        <v>2084</v>
      </c>
      <c r="R246" s="25" t="s">
        <v>2434</v>
      </c>
      <c r="S246" s="73" t="s">
        <v>2096</v>
      </c>
    </row>
    <row r="247" spans="1:19" x14ac:dyDescent="0.2">
      <c r="A247" s="1">
        <v>255</v>
      </c>
      <c r="B247" s="15" t="s">
        <v>13</v>
      </c>
      <c r="C247" s="1" t="s">
        <v>2445</v>
      </c>
      <c r="D247" s="1" t="s">
        <v>869</v>
      </c>
      <c r="E247" s="1" t="s">
        <v>821</v>
      </c>
      <c r="F247" s="66" t="s">
        <v>882</v>
      </c>
      <c r="G247" s="24" t="s">
        <v>1258</v>
      </c>
      <c r="H247" s="16">
        <v>47</v>
      </c>
      <c r="I247" s="25">
        <v>5</v>
      </c>
      <c r="J247" s="56">
        <v>990</v>
      </c>
      <c r="K247" s="15">
        <v>500</v>
      </c>
      <c r="L247" s="24" t="s">
        <v>2047</v>
      </c>
      <c r="M247" s="24" t="s">
        <v>2024</v>
      </c>
      <c r="N247" s="1" t="s">
        <v>2013</v>
      </c>
      <c r="O247" s="15" t="s">
        <v>2082</v>
      </c>
      <c r="P247" s="15" t="s">
        <v>2442</v>
      </c>
      <c r="Q247" s="25" t="s">
        <v>2089</v>
      </c>
      <c r="R247" s="25" t="s">
        <v>2436</v>
      </c>
      <c r="S247" s="73" t="s">
        <v>2127</v>
      </c>
    </row>
    <row r="248" spans="1:19" x14ac:dyDescent="0.2">
      <c r="A248" s="1">
        <v>256</v>
      </c>
      <c r="B248" s="15" t="s">
        <v>13</v>
      </c>
      <c r="C248" s="1" t="s">
        <v>2445</v>
      </c>
      <c r="D248" s="1" t="s">
        <v>869</v>
      </c>
      <c r="E248" s="1" t="s">
        <v>824</v>
      </c>
      <c r="F248" s="66" t="s">
        <v>930</v>
      </c>
      <c r="G248" s="24" t="s">
        <v>1259</v>
      </c>
      <c r="H248" s="16">
        <v>55</v>
      </c>
      <c r="I248" s="25">
        <v>3</v>
      </c>
      <c r="J248" s="56">
        <v>790</v>
      </c>
      <c r="K248" s="15">
        <v>380</v>
      </c>
      <c r="L248" s="24" t="s">
        <v>2056</v>
      </c>
      <c r="M248" s="24" t="s">
        <v>2024</v>
      </c>
      <c r="N248" s="1" t="s">
        <v>2013</v>
      </c>
      <c r="O248" s="15" t="s">
        <v>2082</v>
      </c>
      <c r="P248" s="15" t="s">
        <v>2442</v>
      </c>
      <c r="Q248" s="25" t="s">
        <v>2088</v>
      </c>
      <c r="R248" s="25" t="s">
        <v>2437</v>
      </c>
      <c r="S248" s="73" t="s">
        <v>2265</v>
      </c>
    </row>
    <row r="249" spans="1:19" x14ac:dyDescent="0.2">
      <c r="A249" s="1">
        <v>257</v>
      </c>
      <c r="B249" s="15" t="s">
        <v>12</v>
      </c>
      <c r="C249" s="1" t="s">
        <v>2445</v>
      </c>
      <c r="D249" s="1" t="s">
        <v>869</v>
      </c>
      <c r="E249" s="1" t="s">
        <v>824</v>
      </c>
      <c r="F249" s="67" t="s">
        <v>915</v>
      </c>
      <c r="G249" s="24" t="s">
        <v>1260</v>
      </c>
      <c r="H249" s="16">
        <v>36</v>
      </c>
      <c r="I249" s="25">
        <v>2</v>
      </c>
      <c r="J249" s="56">
        <v>1240</v>
      </c>
      <c r="K249" s="15">
        <v>650</v>
      </c>
      <c r="L249" s="24" t="s">
        <v>2034</v>
      </c>
      <c r="M249" s="24" t="s">
        <v>2016</v>
      </c>
      <c r="N249" s="1" t="s">
        <v>2013</v>
      </c>
      <c r="O249" s="15" t="s">
        <v>2762</v>
      </c>
      <c r="P249" s="15" t="s">
        <v>2442</v>
      </c>
      <c r="Q249" s="25" t="s">
        <v>2085</v>
      </c>
      <c r="R249" s="25" t="s">
        <v>2435</v>
      </c>
      <c r="S249" s="73" t="s">
        <v>2168</v>
      </c>
    </row>
    <row r="250" spans="1:19" x14ac:dyDescent="0.2">
      <c r="A250" s="1">
        <v>258</v>
      </c>
      <c r="B250" s="15" t="s">
        <v>5</v>
      </c>
      <c r="C250" s="1" t="s">
        <v>2445</v>
      </c>
      <c r="D250" s="1" t="s">
        <v>869</v>
      </c>
      <c r="E250" s="1" t="s">
        <v>821</v>
      </c>
      <c r="F250" s="66" t="s">
        <v>920</v>
      </c>
      <c r="G250" s="24" t="s">
        <v>1261</v>
      </c>
      <c r="H250" s="16">
        <v>28</v>
      </c>
      <c r="I250" s="25">
        <v>4</v>
      </c>
      <c r="J250" s="56">
        <v>1240</v>
      </c>
      <c r="K250" s="15">
        <v>650</v>
      </c>
      <c r="L250" s="24" t="s">
        <v>2025</v>
      </c>
      <c r="M250" s="24" t="s">
        <v>2024</v>
      </c>
      <c r="N250" s="1" t="s">
        <v>2013</v>
      </c>
      <c r="O250" s="15" t="s">
        <v>2082</v>
      </c>
      <c r="P250" s="15" t="s">
        <v>2442</v>
      </c>
      <c r="Q250" s="25" t="s">
        <v>2086</v>
      </c>
      <c r="R250" s="25" t="s">
        <v>2436</v>
      </c>
      <c r="S250" s="73" t="s">
        <v>2266</v>
      </c>
    </row>
    <row r="251" spans="1:19" x14ac:dyDescent="0.2">
      <c r="A251" s="1">
        <v>259</v>
      </c>
      <c r="B251" s="15" t="s">
        <v>16</v>
      </c>
      <c r="C251" s="1" t="s">
        <v>2445</v>
      </c>
      <c r="D251" s="1" t="s">
        <v>869</v>
      </c>
      <c r="E251" s="1" t="s">
        <v>818</v>
      </c>
      <c r="F251" s="67" t="s">
        <v>921</v>
      </c>
      <c r="G251" s="24" t="s">
        <v>1262</v>
      </c>
      <c r="H251" s="16">
        <v>50</v>
      </c>
      <c r="I251" s="25">
        <v>1</v>
      </c>
      <c r="J251" s="56">
        <v>170</v>
      </c>
      <c r="K251" s="15">
        <v>50</v>
      </c>
      <c r="L251" s="24" t="s">
        <v>2043</v>
      </c>
      <c r="M251" s="24" t="s">
        <v>2016</v>
      </c>
      <c r="N251" s="1" t="s">
        <v>2013</v>
      </c>
      <c r="O251" s="15" t="s">
        <v>2082</v>
      </c>
      <c r="P251" s="15" t="s">
        <v>2442</v>
      </c>
      <c r="Q251" s="25" t="s">
        <v>2084</v>
      </c>
      <c r="R251" s="25" t="s">
        <v>2434</v>
      </c>
      <c r="S251" s="73" t="s">
        <v>2241</v>
      </c>
    </row>
    <row r="252" spans="1:19" x14ac:dyDescent="0.2">
      <c r="A252" s="1">
        <v>260</v>
      </c>
      <c r="B252" s="15" t="s">
        <v>6</v>
      </c>
      <c r="C252" s="1" t="s">
        <v>2445</v>
      </c>
      <c r="D252" s="1" t="s">
        <v>869</v>
      </c>
      <c r="E252" s="1" t="s">
        <v>821</v>
      </c>
      <c r="F252" s="66" t="s">
        <v>930</v>
      </c>
      <c r="G252" s="24" t="s">
        <v>1263</v>
      </c>
      <c r="H252" s="16">
        <v>39</v>
      </c>
      <c r="I252" s="25">
        <v>5</v>
      </c>
      <c r="J252" s="56">
        <v>920</v>
      </c>
      <c r="K252" s="15">
        <v>500</v>
      </c>
      <c r="L252" s="24" t="s">
        <v>2041</v>
      </c>
      <c r="M252" s="24" t="s">
        <v>2024</v>
      </c>
      <c r="N252" s="1" t="s">
        <v>2013</v>
      </c>
      <c r="O252" s="15" t="s">
        <v>2082</v>
      </c>
      <c r="P252" s="15" t="s">
        <v>2442</v>
      </c>
      <c r="Q252" s="25" t="s">
        <v>2088</v>
      </c>
      <c r="R252" s="25" t="s">
        <v>2437</v>
      </c>
      <c r="S252" s="73" t="s">
        <v>2236</v>
      </c>
    </row>
    <row r="253" spans="1:19" x14ac:dyDescent="0.2">
      <c r="A253" s="1">
        <v>261</v>
      </c>
      <c r="B253" s="15" t="s">
        <v>6</v>
      </c>
      <c r="C253" s="1" t="s">
        <v>2445</v>
      </c>
      <c r="D253" s="1" t="s">
        <v>869</v>
      </c>
      <c r="E253" s="1" t="s">
        <v>821</v>
      </c>
      <c r="F253" s="67" t="s">
        <v>915</v>
      </c>
      <c r="G253" s="24" t="s">
        <v>1264</v>
      </c>
      <c r="H253" s="16">
        <v>31</v>
      </c>
      <c r="I253" s="25">
        <v>2</v>
      </c>
      <c r="J253" s="56">
        <v>920</v>
      </c>
      <c r="K253" s="15">
        <v>500</v>
      </c>
      <c r="L253" s="24" t="s">
        <v>2032</v>
      </c>
      <c r="M253" s="24" t="s">
        <v>2016</v>
      </c>
      <c r="N253" s="1" t="s">
        <v>2013</v>
      </c>
      <c r="O253" s="15" t="s">
        <v>2082</v>
      </c>
      <c r="P253" s="15" t="s">
        <v>2442</v>
      </c>
      <c r="Q253" s="25" t="s">
        <v>2083</v>
      </c>
      <c r="R253" s="25" t="s">
        <v>2435</v>
      </c>
      <c r="S253" s="73" t="s">
        <v>2204</v>
      </c>
    </row>
    <row r="254" spans="1:19" x14ac:dyDescent="0.2">
      <c r="A254" s="1">
        <v>262</v>
      </c>
      <c r="B254" s="15" t="s">
        <v>22</v>
      </c>
      <c r="C254" s="1" t="s">
        <v>2446</v>
      </c>
      <c r="D254" s="1" t="s">
        <v>2465</v>
      </c>
      <c r="E254" s="1" t="s">
        <v>865</v>
      </c>
      <c r="F254" s="66" t="s">
        <v>920</v>
      </c>
      <c r="G254" s="24" t="s">
        <v>1265</v>
      </c>
      <c r="H254" s="16">
        <v>44</v>
      </c>
      <c r="I254" s="25">
        <v>3</v>
      </c>
      <c r="J254" s="56">
        <v>3740</v>
      </c>
      <c r="K254" s="15">
        <v>1500</v>
      </c>
      <c r="L254" s="24" t="s">
        <v>2062</v>
      </c>
      <c r="M254" s="24" t="s">
        <v>2016</v>
      </c>
      <c r="N254" s="1" t="s">
        <v>2013</v>
      </c>
      <c r="O254" s="15" t="s">
        <v>2082</v>
      </c>
      <c r="P254" s="15" t="s">
        <v>2442</v>
      </c>
      <c r="Q254" s="25" t="s">
        <v>2089</v>
      </c>
      <c r="R254" s="25" t="s">
        <v>2434</v>
      </c>
      <c r="S254" s="73" t="s">
        <v>2264</v>
      </c>
    </row>
    <row r="255" spans="1:19" x14ac:dyDescent="0.2">
      <c r="A255" s="1">
        <v>263</v>
      </c>
      <c r="B255" s="15" t="s">
        <v>633</v>
      </c>
      <c r="C255" s="1" t="s">
        <v>2446</v>
      </c>
      <c r="D255" s="1" t="s">
        <v>2497</v>
      </c>
      <c r="E255" s="1" t="s">
        <v>822</v>
      </c>
      <c r="F255" s="67" t="s">
        <v>921</v>
      </c>
      <c r="G255" s="24" t="s">
        <v>1266</v>
      </c>
      <c r="H255" s="16">
        <v>26</v>
      </c>
      <c r="I255" s="25">
        <v>4</v>
      </c>
      <c r="J255" s="56">
        <v>2300</v>
      </c>
      <c r="K255" s="15">
        <v>1700</v>
      </c>
      <c r="L255" s="24" t="s">
        <v>2032</v>
      </c>
      <c r="M255" s="24" t="s">
        <v>2020</v>
      </c>
      <c r="N255" s="1" t="s">
        <v>2013</v>
      </c>
      <c r="O255" s="15" t="s">
        <v>2082</v>
      </c>
      <c r="P255" s="15" t="s">
        <v>2442</v>
      </c>
      <c r="Q255" s="25" t="s">
        <v>2085</v>
      </c>
      <c r="R255" s="25" t="s">
        <v>2436</v>
      </c>
      <c r="S255" s="73" t="s">
        <v>2267</v>
      </c>
    </row>
    <row r="256" spans="1:19" x14ac:dyDescent="0.2">
      <c r="A256" s="1">
        <v>264</v>
      </c>
      <c r="B256" s="15" t="s">
        <v>849</v>
      </c>
      <c r="C256" s="1" t="s">
        <v>2446</v>
      </c>
      <c r="D256" s="1" t="s">
        <v>2498</v>
      </c>
      <c r="E256" s="1" t="s">
        <v>828</v>
      </c>
      <c r="F256" s="67" t="s">
        <v>2755</v>
      </c>
      <c r="G256" s="24" t="s">
        <v>1267</v>
      </c>
      <c r="H256" s="16">
        <v>48</v>
      </c>
      <c r="I256" s="25">
        <v>1</v>
      </c>
      <c r="J256" s="56">
        <v>1570</v>
      </c>
      <c r="K256" s="15">
        <v>630</v>
      </c>
      <c r="L256" s="24" t="s">
        <v>2033</v>
      </c>
      <c r="M256" s="24" t="s">
        <v>2016</v>
      </c>
      <c r="N256" s="1" t="s">
        <v>2013</v>
      </c>
      <c r="O256" s="15" t="s">
        <v>2082</v>
      </c>
      <c r="P256" s="15" t="s">
        <v>2442</v>
      </c>
      <c r="Q256" s="25" t="s">
        <v>2089</v>
      </c>
      <c r="R256" s="25" t="s">
        <v>2437</v>
      </c>
      <c r="S256" s="73" t="s">
        <v>2268</v>
      </c>
    </row>
    <row r="257" spans="1:19" x14ac:dyDescent="0.2">
      <c r="A257" s="1">
        <v>254</v>
      </c>
      <c r="B257" s="15" t="s">
        <v>117</v>
      </c>
      <c r="C257" s="1" t="s">
        <v>2446</v>
      </c>
      <c r="D257" s="1" t="s">
        <v>2466</v>
      </c>
      <c r="E257" s="1" t="s">
        <v>863</v>
      </c>
      <c r="F257" s="67" t="s">
        <v>923</v>
      </c>
      <c r="G257" s="24" t="s">
        <v>1268</v>
      </c>
      <c r="H257" s="16">
        <v>53</v>
      </c>
      <c r="I257" s="25">
        <v>5</v>
      </c>
      <c r="J257" s="56">
        <v>4400</v>
      </c>
      <c r="K257" s="15">
        <f>1430+5*86+110+30+40+80</f>
        <v>2120</v>
      </c>
      <c r="L257" s="24" t="s">
        <v>2056</v>
      </c>
      <c r="M257" s="24" t="s">
        <v>2024</v>
      </c>
      <c r="N257" s="1" t="s">
        <v>2013</v>
      </c>
      <c r="O257" s="15" t="s">
        <v>2082</v>
      </c>
      <c r="P257" s="15" t="s">
        <v>2442</v>
      </c>
      <c r="Q257" s="25" t="s">
        <v>2088</v>
      </c>
      <c r="R257" s="25" t="s">
        <v>2435</v>
      </c>
      <c r="S257" s="73" t="s">
        <v>2269</v>
      </c>
    </row>
    <row r="258" spans="1:19" x14ac:dyDescent="0.2">
      <c r="A258" s="1">
        <v>255</v>
      </c>
      <c r="B258" s="15" t="s">
        <v>200</v>
      </c>
      <c r="C258" s="1" t="s">
        <v>2446</v>
      </c>
      <c r="D258" s="1" t="s">
        <v>2467</v>
      </c>
      <c r="E258" s="1" t="s">
        <v>864</v>
      </c>
      <c r="F258" s="67" t="s">
        <v>924</v>
      </c>
      <c r="G258" s="24" t="s">
        <v>1269</v>
      </c>
      <c r="H258" s="16">
        <v>30</v>
      </c>
      <c r="I258" s="25">
        <v>3</v>
      </c>
      <c r="J258" s="56">
        <v>3950</v>
      </c>
      <c r="K258" s="15">
        <f>980+5*85+110+30+60+30</f>
        <v>1635</v>
      </c>
      <c r="L258" s="24" t="s">
        <v>2049</v>
      </c>
      <c r="M258" s="24" t="s">
        <v>2016</v>
      </c>
      <c r="N258" s="1" t="s">
        <v>2013</v>
      </c>
      <c r="O258" s="15" t="s">
        <v>2082</v>
      </c>
      <c r="P258" s="15" t="s">
        <v>2442</v>
      </c>
      <c r="Q258" s="25" t="s">
        <v>2090</v>
      </c>
      <c r="R258" s="25" t="s">
        <v>2436</v>
      </c>
      <c r="S258" s="73" t="s">
        <v>2270</v>
      </c>
    </row>
    <row r="259" spans="1:19" x14ac:dyDescent="0.2">
      <c r="A259" s="1">
        <v>256</v>
      </c>
      <c r="B259" s="15" t="s">
        <v>8</v>
      </c>
      <c r="C259" s="1" t="s">
        <v>2445</v>
      </c>
      <c r="D259" s="1" t="s">
        <v>869</v>
      </c>
      <c r="E259" s="1" t="s">
        <v>864</v>
      </c>
      <c r="F259" s="67" t="s">
        <v>925</v>
      </c>
      <c r="G259" s="24" t="s">
        <v>1270</v>
      </c>
      <c r="H259" s="16">
        <v>37</v>
      </c>
      <c r="I259" s="25">
        <v>2</v>
      </c>
      <c r="J259" s="56">
        <f>33*9</f>
        <v>297</v>
      </c>
      <c r="K259" s="15">
        <v>130</v>
      </c>
      <c r="L259" s="24" t="s">
        <v>2052</v>
      </c>
      <c r="M259" s="24" t="s">
        <v>2020</v>
      </c>
      <c r="N259" s="1" t="s">
        <v>2013</v>
      </c>
      <c r="O259" s="15" t="s">
        <v>2082</v>
      </c>
      <c r="P259" s="15" t="s">
        <v>2442</v>
      </c>
      <c r="Q259" s="25" t="s">
        <v>2085</v>
      </c>
      <c r="R259" s="25" t="s">
        <v>2434</v>
      </c>
      <c r="S259" s="73" t="s">
        <v>2271</v>
      </c>
    </row>
    <row r="260" spans="1:19" x14ac:dyDescent="0.2">
      <c r="A260" s="1">
        <v>257</v>
      </c>
      <c r="B260" s="15" t="s">
        <v>8</v>
      </c>
      <c r="C260" s="1" t="s">
        <v>2445</v>
      </c>
      <c r="D260" s="1" t="s">
        <v>869</v>
      </c>
      <c r="E260" s="1" t="s">
        <v>864</v>
      </c>
      <c r="F260" s="69" t="s">
        <v>904</v>
      </c>
      <c r="G260" s="24" t="s">
        <v>1271</v>
      </c>
      <c r="H260" s="16">
        <v>42</v>
      </c>
      <c r="I260" s="25">
        <v>4</v>
      </c>
      <c r="J260" s="56">
        <f>33*9</f>
        <v>297</v>
      </c>
      <c r="K260" s="15">
        <v>130</v>
      </c>
      <c r="L260" s="24" t="s">
        <v>2021</v>
      </c>
      <c r="M260" s="24" t="s">
        <v>2020</v>
      </c>
      <c r="N260" s="1" t="s">
        <v>2013</v>
      </c>
      <c r="O260" s="15" t="s">
        <v>2763</v>
      </c>
      <c r="P260" s="15" t="s">
        <v>2442</v>
      </c>
      <c r="Q260" s="25" t="s">
        <v>2083</v>
      </c>
      <c r="R260" s="25" t="s">
        <v>2437</v>
      </c>
      <c r="S260" s="73" t="s">
        <v>2257</v>
      </c>
    </row>
    <row r="261" spans="1:19" x14ac:dyDescent="0.2">
      <c r="A261" s="1">
        <v>258</v>
      </c>
      <c r="B261" s="15" t="s">
        <v>5</v>
      </c>
      <c r="C261" s="1" t="s">
        <v>2445</v>
      </c>
      <c r="D261" s="1" t="s">
        <v>869</v>
      </c>
      <c r="E261" s="1" t="s">
        <v>826</v>
      </c>
      <c r="F261" s="66" t="s">
        <v>926</v>
      </c>
      <c r="G261" s="24" t="s">
        <v>1272</v>
      </c>
      <c r="H261" s="16">
        <v>24</v>
      </c>
      <c r="I261" s="25">
        <v>1</v>
      </c>
      <c r="J261" s="56">
        <v>890</v>
      </c>
      <c r="K261" s="15">
        <v>400</v>
      </c>
      <c r="L261" s="24" t="s">
        <v>2028</v>
      </c>
      <c r="M261" s="24" t="s">
        <v>2024</v>
      </c>
      <c r="N261" s="1" t="s">
        <v>2013</v>
      </c>
      <c r="O261" s="15" t="s">
        <v>2082</v>
      </c>
      <c r="P261" s="15" t="s">
        <v>2442</v>
      </c>
      <c r="Q261" s="25" t="s">
        <v>2084</v>
      </c>
      <c r="R261" s="25" t="s">
        <v>2435</v>
      </c>
      <c r="S261" s="73" t="s">
        <v>2272</v>
      </c>
    </row>
    <row r="262" spans="1:19" x14ac:dyDescent="0.2">
      <c r="A262" s="1">
        <v>259</v>
      </c>
      <c r="B262" s="15" t="s">
        <v>5</v>
      </c>
      <c r="C262" s="1" t="s">
        <v>2445</v>
      </c>
      <c r="D262" s="1" t="s">
        <v>869</v>
      </c>
      <c r="E262" s="1" t="s">
        <v>822</v>
      </c>
      <c r="F262" s="66" t="s">
        <v>927</v>
      </c>
      <c r="G262" s="24" t="s">
        <v>1273</v>
      </c>
      <c r="H262" s="16">
        <v>57</v>
      </c>
      <c r="I262" s="25">
        <v>5</v>
      </c>
      <c r="J262" s="56">
        <v>1240</v>
      </c>
      <c r="K262" s="15">
        <v>650</v>
      </c>
      <c r="L262" s="24" t="s">
        <v>2060</v>
      </c>
      <c r="M262" s="24" t="s">
        <v>2024</v>
      </c>
      <c r="N262" s="1" t="s">
        <v>2013</v>
      </c>
      <c r="O262" s="15" t="s">
        <v>2082</v>
      </c>
      <c r="P262" s="15" t="s">
        <v>2442</v>
      </c>
      <c r="Q262" s="25" t="s">
        <v>2084</v>
      </c>
      <c r="R262" s="25" t="s">
        <v>2434</v>
      </c>
      <c r="S262" s="73" t="s">
        <v>2273</v>
      </c>
    </row>
    <row r="263" spans="1:19" x14ac:dyDescent="0.2">
      <c r="A263" s="1">
        <v>260</v>
      </c>
      <c r="B263" s="15" t="s">
        <v>13</v>
      </c>
      <c r="C263" s="1" t="s">
        <v>2445</v>
      </c>
      <c r="D263" s="1" t="s">
        <v>869</v>
      </c>
      <c r="E263" s="1" t="s">
        <v>824</v>
      </c>
      <c r="F263" s="67" t="s">
        <v>932</v>
      </c>
      <c r="G263" s="24" t="s">
        <v>1274</v>
      </c>
      <c r="H263" s="16">
        <v>35</v>
      </c>
      <c r="I263" s="25">
        <v>2</v>
      </c>
      <c r="J263" s="56">
        <f>990+250</f>
        <v>1240</v>
      </c>
      <c r="K263" s="15">
        <v>700</v>
      </c>
      <c r="L263" s="24" t="s">
        <v>2045</v>
      </c>
      <c r="M263" s="24" t="s">
        <v>2014</v>
      </c>
      <c r="N263" s="1" t="s">
        <v>2013</v>
      </c>
      <c r="O263" s="15" t="s">
        <v>2082</v>
      </c>
      <c r="P263" s="15" t="s">
        <v>2442</v>
      </c>
      <c r="Q263" s="25" t="s">
        <v>2083</v>
      </c>
      <c r="R263" s="25" t="s">
        <v>2436</v>
      </c>
      <c r="S263" s="73" t="s">
        <v>2274</v>
      </c>
    </row>
    <row r="264" spans="1:19" x14ac:dyDescent="0.2">
      <c r="A264" s="1">
        <v>261</v>
      </c>
      <c r="B264" s="15" t="s">
        <v>7</v>
      </c>
      <c r="C264" s="1" t="s">
        <v>2445</v>
      </c>
      <c r="D264" s="1" t="s">
        <v>869</v>
      </c>
      <c r="E264" s="1" t="s">
        <v>817</v>
      </c>
      <c r="F264" s="67" t="s">
        <v>922</v>
      </c>
      <c r="G264" s="24" t="s">
        <v>1275</v>
      </c>
      <c r="H264" s="16">
        <v>40</v>
      </c>
      <c r="I264" s="25">
        <v>3</v>
      </c>
      <c r="J264" s="56">
        <v>1190</v>
      </c>
      <c r="K264" s="15">
        <v>700</v>
      </c>
      <c r="L264" s="24" t="s">
        <v>2025</v>
      </c>
      <c r="M264" s="24" t="s">
        <v>2024</v>
      </c>
      <c r="N264" s="1" t="s">
        <v>2013</v>
      </c>
      <c r="O264" s="15" t="s">
        <v>2082</v>
      </c>
      <c r="P264" s="15" t="s">
        <v>2442</v>
      </c>
      <c r="Q264" s="25" t="s">
        <v>2089</v>
      </c>
      <c r="R264" s="25" t="s">
        <v>2437</v>
      </c>
      <c r="S264" s="73" t="s">
        <v>2266</v>
      </c>
    </row>
    <row r="265" spans="1:19" x14ac:dyDescent="0.2">
      <c r="A265" s="1">
        <v>262</v>
      </c>
      <c r="B265" s="15" t="s">
        <v>12</v>
      </c>
      <c r="C265" s="1" t="s">
        <v>2445</v>
      </c>
      <c r="D265" s="1" t="s">
        <v>869</v>
      </c>
      <c r="E265" s="1" t="s">
        <v>826</v>
      </c>
      <c r="F265" s="67" t="s">
        <v>923</v>
      </c>
      <c r="G265" s="24" t="s">
        <v>1276</v>
      </c>
      <c r="H265" s="16">
        <v>21</v>
      </c>
      <c r="I265" s="25">
        <v>4</v>
      </c>
      <c r="J265" s="56">
        <v>1090</v>
      </c>
      <c r="K265" s="15">
        <v>650</v>
      </c>
      <c r="L265" s="24" t="s">
        <v>2032</v>
      </c>
      <c r="M265" s="24" t="s">
        <v>2014</v>
      </c>
      <c r="N265" s="1" t="s">
        <v>2013</v>
      </c>
      <c r="O265" s="15" t="s">
        <v>2082</v>
      </c>
      <c r="P265" s="15" t="s">
        <v>2442</v>
      </c>
      <c r="Q265" s="25" t="s">
        <v>2088</v>
      </c>
      <c r="R265" s="25" t="s">
        <v>2435</v>
      </c>
      <c r="S265" s="73" t="s">
        <v>2149</v>
      </c>
    </row>
    <row r="266" spans="1:19" x14ac:dyDescent="0.2">
      <c r="A266" s="1">
        <v>263</v>
      </c>
      <c r="B266" s="15" t="s">
        <v>5</v>
      </c>
      <c r="C266" s="1" t="s">
        <v>2445</v>
      </c>
      <c r="D266" s="1" t="s">
        <v>869</v>
      </c>
      <c r="E266" s="1" t="s">
        <v>817</v>
      </c>
      <c r="F266" s="67" t="s">
        <v>924</v>
      </c>
      <c r="G266" s="24" t="s">
        <v>1277</v>
      </c>
      <c r="H266" s="16">
        <v>59</v>
      </c>
      <c r="I266" s="25">
        <v>1</v>
      </c>
      <c r="J266" s="56">
        <v>990</v>
      </c>
      <c r="K266" s="15">
        <v>600</v>
      </c>
      <c r="L266" s="24" t="s">
        <v>2059</v>
      </c>
      <c r="M266" s="24" t="s">
        <v>2016</v>
      </c>
      <c r="N266" s="1" t="s">
        <v>2013</v>
      </c>
      <c r="O266" s="15" t="s">
        <v>2082</v>
      </c>
      <c r="P266" s="15" t="s">
        <v>2442</v>
      </c>
      <c r="Q266" s="25" t="s">
        <v>2086</v>
      </c>
      <c r="R266" s="25" t="s">
        <v>2436</v>
      </c>
      <c r="S266" s="73" t="s">
        <v>2094</v>
      </c>
    </row>
    <row r="267" spans="1:19" x14ac:dyDescent="0.2">
      <c r="A267" s="1">
        <v>264</v>
      </c>
      <c r="B267" s="15" t="s">
        <v>23</v>
      </c>
      <c r="C267" s="1" t="s">
        <v>2446</v>
      </c>
      <c r="D267" s="1" t="s">
        <v>2468</v>
      </c>
      <c r="E267" s="1" t="s">
        <v>828</v>
      </c>
      <c r="F267" s="67" t="s">
        <v>925</v>
      </c>
      <c r="G267" s="24" t="s">
        <v>1278</v>
      </c>
      <c r="H267" s="16">
        <v>32</v>
      </c>
      <c r="I267" s="25">
        <v>5</v>
      </c>
      <c r="J267" s="56">
        <v>2940</v>
      </c>
      <c r="K267" s="15">
        <f>582+5*89+216+40+110+50</f>
        <v>1443</v>
      </c>
      <c r="L267" s="24" t="s">
        <v>2051</v>
      </c>
      <c r="M267" s="24" t="s">
        <v>2020</v>
      </c>
      <c r="N267" s="1" t="s">
        <v>2013</v>
      </c>
      <c r="O267" s="15" t="s">
        <v>2082</v>
      </c>
      <c r="P267" s="15" t="s">
        <v>2442</v>
      </c>
      <c r="Q267" s="25" t="s">
        <v>2090</v>
      </c>
      <c r="R267" s="25" t="s">
        <v>2434</v>
      </c>
      <c r="S267" s="73" t="s">
        <v>2275</v>
      </c>
    </row>
    <row r="268" spans="1:19" x14ac:dyDescent="0.2">
      <c r="A268" s="1">
        <v>265</v>
      </c>
      <c r="B268" s="15" t="s">
        <v>633</v>
      </c>
      <c r="C268" s="1" t="s">
        <v>2446</v>
      </c>
      <c r="D268" s="1" t="s">
        <v>2499</v>
      </c>
      <c r="E268" s="1" t="s">
        <v>864</v>
      </c>
      <c r="F268" s="69" t="s">
        <v>904</v>
      </c>
      <c r="G268" s="24" t="s">
        <v>1279</v>
      </c>
      <c r="H268" s="16">
        <v>46</v>
      </c>
      <c r="I268" s="25">
        <v>3</v>
      </c>
      <c r="J268" s="56">
        <v>1200</v>
      </c>
      <c r="K268" s="15">
        <v>200</v>
      </c>
      <c r="L268" s="24" t="s">
        <v>2048</v>
      </c>
      <c r="M268" s="24" t="s">
        <v>2014</v>
      </c>
      <c r="N268" s="1" t="s">
        <v>2013</v>
      </c>
      <c r="O268" s="15" t="s">
        <v>2082</v>
      </c>
      <c r="P268" s="15" t="s">
        <v>2442</v>
      </c>
      <c r="Q268" s="25" t="s">
        <v>2090</v>
      </c>
      <c r="R268" s="25" t="s">
        <v>2437</v>
      </c>
      <c r="S268" s="73" t="s">
        <v>2276</v>
      </c>
    </row>
    <row r="269" spans="1:19" x14ac:dyDescent="0.2">
      <c r="A269" s="1">
        <v>266</v>
      </c>
      <c r="B269" s="15" t="s">
        <v>7</v>
      </c>
      <c r="C269" s="1" t="s">
        <v>2445</v>
      </c>
      <c r="D269" s="1" t="s">
        <v>869</v>
      </c>
      <c r="E269" s="1" t="s">
        <v>828</v>
      </c>
      <c r="F269" s="66" t="s">
        <v>926</v>
      </c>
      <c r="G269" s="24" t="s">
        <v>1280</v>
      </c>
      <c r="H269" s="16">
        <v>54</v>
      </c>
      <c r="I269" s="25">
        <v>2</v>
      </c>
      <c r="J269" s="56">
        <v>1190</v>
      </c>
      <c r="K269" s="15">
        <v>700</v>
      </c>
      <c r="L269" s="24" t="s">
        <v>2018</v>
      </c>
      <c r="M269" s="24" t="s">
        <v>2016</v>
      </c>
      <c r="N269" s="1" t="s">
        <v>2013</v>
      </c>
      <c r="O269" s="15" t="s">
        <v>2082</v>
      </c>
      <c r="P269" s="15" t="s">
        <v>2442</v>
      </c>
      <c r="Q269" s="25" t="s">
        <v>2088</v>
      </c>
      <c r="R269" s="25" t="s">
        <v>2435</v>
      </c>
      <c r="S269" s="73" t="s">
        <v>2277</v>
      </c>
    </row>
    <row r="270" spans="1:19" x14ac:dyDescent="0.2">
      <c r="A270" s="1">
        <v>267</v>
      </c>
      <c r="B270" s="15" t="s">
        <v>850</v>
      </c>
      <c r="C270" s="1" t="s">
        <v>2446</v>
      </c>
      <c r="D270" s="1" t="s">
        <v>2500</v>
      </c>
      <c r="E270" s="1" t="s">
        <v>822</v>
      </c>
      <c r="F270" s="66" t="s">
        <v>927</v>
      </c>
      <c r="G270" s="24" t="s">
        <v>1281</v>
      </c>
      <c r="H270" s="16">
        <v>25</v>
      </c>
      <c r="I270" s="25">
        <v>4</v>
      </c>
      <c r="J270" s="56">
        <v>6800</v>
      </c>
      <c r="K270" s="15">
        <f>2179+1400+90</f>
        <v>3669</v>
      </c>
      <c r="L270" s="24" t="s">
        <v>2062</v>
      </c>
      <c r="M270" s="24" t="s">
        <v>2014</v>
      </c>
      <c r="N270" s="1" t="s">
        <v>2013</v>
      </c>
      <c r="O270" s="15" t="s">
        <v>2082</v>
      </c>
      <c r="P270" s="15" t="s">
        <v>2442</v>
      </c>
      <c r="Q270" s="25" t="s">
        <v>2089</v>
      </c>
      <c r="R270" s="25" t="s">
        <v>2434</v>
      </c>
      <c r="S270" s="73" t="s">
        <v>2103</v>
      </c>
    </row>
    <row r="271" spans="1:19" x14ac:dyDescent="0.2">
      <c r="A271" s="1">
        <v>268</v>
      </c>
      <c r="B271" s="15" t="s">
        <v>5</v>
      </c>
      <c r="C271" s="1" t="s">
        <v>2445</v>
      </c>
      <c r="D271" s="1" t="s">
        <v>869</v>
      </c>
      <c r="E271" s="1" t="s">
        <v>826</v>
      </c>
      <c r="F271" s="67" t="s">
        <v>932</v>
      </c>
      <c r="G271" s="24" t="s">
        <v>1282</v>
      </c>
      <c r="H271" s="16">
        <v>43</v>
      </c>
      <c r="I271" s="25">
        <v>1</v>
      </c>
      <c r="J271" s="56">
        <v>1090</v>
      </c>
      <c r="K271" s="15">
        <v>650</v>
      </c>
      <c r="L271" s="24" t="s">
        <v>2025</v>
      </c>
      <c r="M271" s="24" t="s">
        <v>2024</v>
      </c>
      <c r="N271" s="1" t="s">
        <v>2013</v>
      </c>
      <c r="O271" s="15" t="s">
        <v>2082</v>
      </c>
      <c r="P271" s="15" t="s">
        <v>2442</v>
      </c>
      <c r="Q271" s="25" t="s">
        <v>2083</v>
      </c>
      <c r="R271" s="25" t="s">
        <v>2436</v>
      </c>
      <c r="S271" s="73" t="s">
        <v>2278</v>
      </c>
    </row>
    <row r="272" spans="1:19" x14ac:dyDescent="0.2">
      <c r="A272" s="1">
        <v>269</v>
      </c>
      <c r="B272" s="15" t="s">
        <v>13</v>
      </c>
      <c r="C272" s="1" t="s">
        <v>2445</v>
      </c>
      <c r="D272" s="1" t="s">
        <v>869</v>
      </c>
      <c r="E272" s="1" t="s">
        <v>824</v>
      </c>
      <c r="F272" s="66" t="s">
        <v>933</v>
      </c>
      <c r="G272" s="24" t="s">
        <v>1283</v>
      </c>
      <c r="H272" s="16">
        <v>58</v>
      </c>
      <c r="I272" s="25">
        <v>5</v>
      </c>
      <c r="J272" s="56">
        <v>990</v>
      </c>
      <c r="K272" s="15">
        <v>500</v>
      </c>
      <c r="L272" s="24" t="s">
        <v>2021</v>
      </c>
      <c r="M272" s="24" t="s">
        <v>2020</v>
      </c>
      <c r="N272" s="1" t="s">
        <v>2013</v>
      </c>
      <c r="O272" s="15" t="s">
        <v>2082</v>
      </c>
      <c r="P272" s="15" t="s">
        <v>2442</v>
      </c>
      <c r="Q272" s="25" t="s">
        <v>2083</v>
      </c>
      <c r="R272" s="25" t="s">
        <v>2437</v>
      </c>
      <c r="S272" s="73" t="s">
        <v>2171</v>
      </c>
    </row>
    <row r="273" spans="1:19" x14ac:dyDescent="0.2">
      <c r="A273" s="1">
        <v>270</v>
      </c>
      <c r="B273" s="15" t="s">
        <v>91</v>
      </c>
      <c r="C273" s="1" t="s">
        <v>2446</v>
      </c>
      <c r="D273" s="1" t="s">
        <v>2501</v>
      </c>
      <c r="E273" s="1" t="s">
        <v>863</v>
      </c>
      <c r="F273" s="67" t="s">
        <v>934</v>
      </c>
      <c r="G273" s="24" t="s">
        <v>1284</v>
      </c>
      <c r="H273" s="16">
        <v>20</v>
      </c>
      <c r="I273" s="25">
        <v>2</v>
      </c>
      <c r="J273" s="56">
        <v>1800</v>
      </c>
      <c r="K273" s="15">
        <f>317+1.5*86+40+20+60+50+50</f>
        <v>666</v>
      </c>
      <c r="L273" s="24" t="s">
        <v>2031</v>
      </c>
      <c r="M273" s="24" t="s">
        <v>2016</v>
      </c>
      <c r="N273" s="1" t="s">
        <v>2013</v>
      </c>
      <c r="O273" s="15" t="s">
        <v>2082</v>
      </c>
      <c r="P273" s="15" t="s">
        <v>2442</v>
      </c>
      <c r="Q273" s="25" t="s">
        <v>2086</v>
      </c>
      <c r="R273" s="25" t="s">
        <v>2435</v>
      </c>
      <c r="S273" s="73" t="s">
        <v>2279</v>
      </c>
    </row>
    <row r="274" spans="1:19" x14ac:dyDescent="0.2">
      <c r="A274" s="1">
        <v>271</v>
      </c>
      <c r="B274" s="15" t="s">
        <v>13</v>
      </c>
      <c r="C274" s="1" t="s">
        <v>2445</v>
      </c>
      <c r="D274" s="1" t="s">
        <v>869</v>
      </c>
      <c r="E274" s="1" t="s">
        <v>824</v>
      </c>
      <c r="F274" s="67" t="s">
        <v>935</v>
      </c>
      <c r="G274" s="24" t="s">
        <v>1285</v>
      </c>
      <c r="H274" s="16">
        <v>49</v>
      </c>
      <c r="I274" s="25">
        <v>3</v>
      </c>
      <c r="J274" s="56">
        <v>990</v>
      </c>
      <c r="K274" s="15">
        <v>500</v>
      </c>
      <c r="L274" s="24" t="s">
        <v>2036</v>
      </c>
      <c r="M274" s="24" t="s">
        <v>2014</v>
      </c>
      <c r="N274" s="1" t="s">
        <v>2013</v>
      </c>
      <c r="O274" s="15" t="s">
        <v>2082</v>
      </c>
      <c r="P274" s="15" t="s">
        <v>2442</v>
      </c>
      <c r="Q274" s="25" t="s">
        <v>2089</v>
      </c>
      <c r="R274" s="25" t="s">
        <v>2436</v>
      </c>
      <c r="S274" s="73" t="s">
        <v>2101</v>
      </c>
    </row>
    <row r="275" spans="1:19" x14ac:dyDescent="0.2">
      <c r="A275" s="1">
        <v>272</v>
      </c>
      <c r="B275" s="15" t="s">
        <v>5</v>
      </c>
      <c r="C275" s="1" t="s">
        <v>2445</v>
      </c>
      <c r="D275" s="1" t="s">
        <v>869</v>
      </c>
      <c r="E275" s="1" t="s">
        <v>824</v>
      </c>
      <c r="F275" s="66" t="s">
        <v>881</v>
      </c>
      <c r="G275" s="24" t="s">
        <v>1286</v>
      </c>
      <c r="H275" s="16">
        <v>34</v>
      </c>
      <c r="I275" s="25">
        <v>4</v>
      </c>
      <c r="J275" s="56">
        <f>1090+150</f>
        <v>1240</v>
      </c>
      <c r="K275" s="15">
        <v>650</v>
      </c>
      <c r="L275" s="24" t="s">
        <v>2048</v>
      </c>
      <c r="M275" s="24" t="s">
        <v>2014</v>
      </c>
      <c r="N275" s="1" t="s">
        <v>2013</v>
      </c>
      <c r="O275" s="15" t="s">
        <v>2082</v>
      </c>
      <c r="P275" s="15" t="s">
        <v>2442</v>
      </c>
      <c r="Q275" s="25" t="s">
        <v>2086</v>
      </c>
      <c r="R275" s="25" t="s">
        <v>2434</v>
      </c>
      <c r="S275" s="73" t="s">
        <v>2141</v>
      </c>
    </row>
    <row r="276" spans="1:19" x14ac:dyDescent="0.2">
      <c r="A276" s="1">
        <v>273</v>
      </c>
      <c r="B276" s="15" t="s">
        <v>6</v>
      </c>
      <c r="C276" s="1" t="s">
        <v>2445</v>
      </c>
      <c r="D276" s="1" t="s">
        <v>869</v>
      </c>
      <c r="E276" s="1" t="s">
        <v>817</v>
      </c>
      <c r="F276" s="66" t="s">
        <v>882</v>
      </c>
      <c r="G276" s="24" t="s">
        <v>1287</v>
      </c>
      <c r="H276" s="16">
        <v>27</v>
      </c>
      <c r="I276" s="25">
        <v>1</v>
      </c>
      <c r="J276" s="56">
        <v>1840</v>
      </c>
      <c r="K276" s="15">
        <v>1000</v>
      </c>
      <c r="L276" s="24" t="s">
        <v>2038</v>
      </c>
      <c r="M276" s="24" t="s">
        <v>2014</v>
      </c>
      <c r="N276" s="1" t="s">
        <v>2013</v>
      </c>
      <c r="O276" s="15" t="s">
        <v>2082</v>
      </c>
      <c r="P276" s="15" t="s">
        <v>2442</v>
      </c>
      <c r="Q276" s="25" t="s">
        <v>2083</v>
      </c>
      <c r="R276" s="25" t="s">
        <v>2437</v>
      </c>
      <c r="S276" s="73" t="s">
        <v>2280</v>
      </c>
    </row>
    <row r="277" spans="1:19" x14ac:dyDescent="0.2">
      <c r="A277" s="1">
        <v>274</v>
      </c>
      <c r="B277" s="15" t="s">
        <v>26</v>
      </c>
      <c r="C277" s="1" t="s">
        <v>2446</v>
      </c>
      <c r="D277" s="1" t="s">
        <v>2469</v>
      </c>
      <c r="E277" s="1" t="s">
        <v>864</v>
      </c>
      <c r="F277" s="66" t="s">
        <v>881</v>
      </c>
      <c r="G277" s="24" t="s">
        <v>1288</v>
      </c>
      <c r="H277" s="16">
        <v>45</v>
      </c>
      <c r="I277" s="25">
        <v>5</v>
      </c>
      <c r="J277" s="56">
        <v>1700</v>
      </c>
      <c r="K277" s="15">
        <f>231+86*1.5+60+40+20+50</f>
        <v>530</v>
      </c>
      <c r="L277" s="24" t="s">
        <v>2015</v>
      </c>
      <c r="M277" s="24" t="s">
        <v>2014</v>
      </c>
      <c r="N277" s="1" t="s">
        <v>2013</v>
      </c>
      <c r="O277" s="15" t="s">
        <v>2082</v>
      </c>
      <c r="P277" s="15" t="s">
        <v>2442</v>
      </c>
      <c r="Q277" s="25" t="s">
        <v>2084</v>
      </c>
      <c r="R277" s="25" t="s">
        <v>2435</v>
      </c>
      <c r="S277" s="73" t="s">
        <v>2281</v>
      </c>
    </row>
    <row r="278" spans="1:19" x14ac:dyDescent="0.2">
      <c r="A278" s="1">
        <v>275</v>
      </c>
      <c r="B278" s="15" t="s">
        <v>27</v>
      </c>
      <c r="C278" s="1" t="s">
        <v>2446</v>
      </c>
      <c r="D278" s="1" t="s">
        <v>2470</v>
      </c>
      <c r="E278" s="1" t="s">
        <v>822</v>
      </c>
      <c r="F278" s="66" t="s">
        <v>883</v>
      </c>
      <c r="G278" s="24" t="s">
        <v>1289</v>
      </c>
      <c r="H278" s="16">
        <v>52</v>
      </c>
      <c r="I278" s="25">
        <v>3</v>
      </c>
      <c r="J278" s="56">
        <v>4300</v>
      </c>
      <c r="K278" s="15">
        <v>2300</v>
      </c>
      <c r="L278" s="24" t="s">
        <v>2032</v>
      </c>
      <c r="M278" s="24" t="s">
        <v>2020</v>
      </c>
      <c r="N278" s="1" t="s">
        <v>2013</v>
      </c>
      <c r="O278" s="15" t="s">
        <v>2082</v>
      </c>
      <c r="P278" s="15" t="s">
        <v>2442</v>
      </c>
      <c r="Q278" s="25" t="s">
        <v>2090</v>
      </c>
      <c r="R278" s="25" t="s">
        <v>2434</v>
      </c>
      <c r="S278" s="73" t="s">
        <v>2282</v>
      </c>
    </row>
    <row r="279" spans="1:19" x14ac:dyDescent="0.2">
      <c r="A279" s="1">
        <v>276</v>
      </c>
      <c r="B279" s="15" t="s">
        <v>834</v>
      </c>
      <c r="C279" s="1" t="s">
        <v>2446</v>
      </c>
      <c r="D279" s="1" t="s">
        <v>2502</v>
      </c>
      <c r="E279" s="1" t="s">
        <v>828</v>
      </c>
      <c r="F279" s="66" t="s">
        <v>884</v>
      </c>
      <c r="G279" s="24" t="s">
        <v>1290</v>
      </c>
      <c r="H279" s="16">
        <v>23</v>
      </c>
      <c r="I279" s="25">
        <v>2</v>
      </c>
      <c r="J279" s="56">
        <v>2000</v>
      </c>
      <c r="K279" s="15">
        <v>620</v>
      </c>
      <c r="L279" s="24" t="s">
        <v>2025</v>
      </c>
      <c r="M279" s="24" t="s">
        <v>2024</v>
      </c>
      <c r="N279" s="1" t="s">
        <v>2013</v>
      </c>
      <c r="O279" s="15" t="s">
        <v>2082</v>
      </c>
      <c r="P279" s="15" t="s">
        <v>2442</v>
      </c>
      <c r="Q279" s="25" t="s">
        <v>2085</v>
      </c>
      <c r="R279" s="25" t="s">
        <v>2436</v>
      </c>
      <c r="S279" s="73" t="s">
        <v>2170</v>
      </c>
    </row>
    <row r="280" spans="1:19" x14ac:dyDescent="0.2">
      <c r="A280" s="1">
        <v>277</v>
      </c>
      <c r="B280" s="15" t="s">
        <v>150</v>
      </c>
      <c r="C280" s="1" t="s">
        <v>2446</v>
      </c>
      <c r="D280" s="1" t="s">
        <v>2503</v>
      </c>
      <c r="E280" s="1" t="s">
        <v>865</v>
      </c>
      <c r="F280" s="66" t="s">
        <v>936</v>
      </c>
      <c r="G280" s="24" t="s">
        <v>1291</v>
      </c>
      <c r="H280" s="16">
        <v>38</v>
      </c>
      <c r="I280" s="25">
        <v>4</v>
      </c>
      <c r="J280" s="56">
        <v>2760</v>
      </c>
      <c r="K280" s="15">
        <v>1160</v>
      </c>
      <c r="L280" s="24" t="s">
        <v>2050</v>
      </c>
      <c r="M280" s="24" t="s">
        <v>2024</v>
      </c>
      <c r="N280" s="1" t="s">
        <v>2013</v>
      </c>
      <c r="O280" s="15" t="s">
        <v>2082</v>
      </c>
      <c r="P280" s="15" t="s">
        <v>2442</v>
      </c>
      <c r="Q280" s="25" t="s">
        <v>2084</v>
      </c>
      <c r="R280" s="25" t="s">
        <v>2437</v>
      </c>
      <c r="S280" s="73" t="s">
        <v>2283</v>
      </c>
    </row>
    <row r="281" spans="1:19" x14ac:dyDescent="0.2">
      <c r="A281" s="1">
        <v>278</v>
      </c>
      <c r="B281" s="15" t="s">
        <v>28</v>
      </c>
      <c r="C281" s="1" t="s">
        <v>2446</v>
      </c>
      <c r="D281" s="1" t="s">
        <v>2471</v>
      </c>
      <c r="E281" s="1" t="s">
        <v>863</v>
      </c>
      <c r="F281" s="66" t="s">
        <v>937</v>
      </c>
      <c r="G281" s="24" t="s">
        <v>1292</v>
      </c>
      <c r="H281" s="16">
        <v>41</v>
      </c>
      <c r="I281" s="25">
        <v>1</v>
      </c>
      <c r="J281" s="56">
        <v>1690</v>
      </c>
      <c r="K281" s="15">
        <v>680</v>
      </c>
      <c r="L281" s="24" t="s">
        <v>2058</v>
      </c>
      <c r="M281" s="24" t="s">
        <v>2020</v>
      </c>
      <c r="N281" s="1" t="s">
        <v>2013</v>
      </c>
      <c r="O281" s="15" t="s">
        <v>2082</v>
      </c>
      <c r="P281" s="15" t="s">
        <v>2442</v>
      </c>
      <c r="Q281" s="25" t="s">
        <v>2089</v>
      </c>
      <c r="R281" s="25" t="s">
        <v>2435</v>
      </c>
      <c r="S281" s="73" t="s">
        <v>2148</v>
      </c>
    </row>
    <row r="282" spans="1:19" x14ac:dyDescent="0.2">
      <c r="A282" s="1">
        <v>279</v>
      </c>
      <c r="B282" s="15" t="s">
        <v>29</v>
      </c>
      <c r="C282" s="1" t="s">
        <v>2446</v>
      </c>
      <c r="D282" s="1" t="s">
        <v>2472</v>
      </c>
      <c r="E282" s="1" t="s">
        <v>828</v>
      </c>
      <c r="F282" s="66" t="s">
        <v>938</v>
      </c>
      <c r="G282" s="24" t="s">
        <v>1293</v>
      </c>
      <c r="H282" s="16">
        <v>29</v>
      </c>
      <c r="I282" s="25">
        <v>5</v>
      </c>
      <c r="J282" s="56">
        <v>1720</v>
      </c>
      <c r="K282" s="15">
        <v>570</v>
      </c>
      <c r="L282" s="24" t="s">
        <v>2044</v>
      </c>
      <c r="M282" s="24" t="s">
        <v>2020</v>
      </c>
      <c r="N282" s="1" t="s">
        <v>2013</v>
      </c>
      <c r="O282" s="15" t="s">
        <v>2082</v>
      </c>
      <c r="P282" s="15" t="s">
        <v>2442</v>
      </c>
      <c r="Q282" s="25" t="s">
        <v>2090</v>
      </c>
      <c r="R282" s="25" t="s">
        <v>2436</v>
      </c>
      <c r="S282" s="73" t="s">
        <v>2284</v>
      </c>
    </row>
    <row r="283" spans="1:19" x14ac:dyDescent="0.2">
      <c r="A283" s="1">
        <v>280</v>
      </c>
      <c r="B283" s="15" t="s">
        <v>835</v>
      </c>
      <c r="C283" s="1" t="s">
        <v>2446</v>
      </c>
      <c r="D283" s="1" t="s">
        <v>2504</v>
      </c>
      <c r="E283" s="1" t="s">
        <v>866</v>
      </c>
      <c r="F283" s="66" t="s">
        <v>876</v>
      </c>
      <c r="G283" s="24" t="s">
        <v>1294</v>
      </c>
      <c r="H283" s="16">
        <v>60</v>
      </c>
      <c r="I283" s="25">
        <v>2</v>
      </c>
      <c r="J283" s="56">
        <v>2100</v>
      </c>
      <c r="K283" s="15">
        <v>860</v>
      </c>
      <c r="L283" s="24" t="s">
        <v>2058</v>
      </c>
      <c r="M283" s="24" t="s">
        <v>2020</v>
      </c>
      <c r="N283" s="1" t="s">
        <v>2013</v>
      </c>
      <c r="O283" s="15" t="s">
        <v>2082</v>
      </c>
      <c r="P283" s="15" t="s">
        <v>2442</v>
      </c>
      <c r="Q283" s="25" t="s">
        <v>2088</v>
      </c>
      <c r="R283" s="25" t="s">
        <v>2434</v>
      </c>
      <c r="S283" s="73" t="s">
        <v>2285</v>
      </c>
    </row>
    <row r="284" spans="1:19" x14ac:dyDescent="0.2">
      <c r="A284" s="1">
        <v>281</v>
      </c>
      <c r="B284" s="15" t="s">
        <v>836</v>
      </c>
      <c r="C284" s="1" t="s">
        <v>2446</v>
      </c>
      <c r="D284" s="1" t="s">
        <v>2505</v>
      </c>
      <c r="E284" s="1" t="s">
        <v>863</v>
      </c>
      <c r="F284" s="66" t="s">
        <v>939</v>
      </c>
      <c r="G284" s="24" t="s">
        <v>1295</v>
      </c>
      <c r="H284" s="16">
        <v>33</v>
      </c>
      <c r="I284" s="25">
        <v>3</v>
      </c>
      <c r="J284" s="56">
        <v>1800</v>
      </c>
      <c r="K284" s="15">
        <v>630</v>
      </c>
      <c r="L284" s="24" t="s">
        <v>2040</v>
      </c>
      <c r="M284" s="24" t="s">
        <v>2024</v>
      </c>
      <c r="N284" s="1" t="s">
        <v>2013</v>
      </c>
      <c r="O284" s="15" t="s">
        <v>2082</v>
      </c>
      <c r="P284" s="15" t="s">
        <v>2442</v>
      </c>
      <c r="Q284" s="25" t="s">
        <v>2088</v>
      </c>
      <c r="R284" s="25" t="s">
        <v>2437</v>
      </c>
      <c r="S284" s="73" t="s">
        <v>2286</v>
      </c>
    </row>
    <row r="285" spans="1:19" x14ac:dyDescent="0.2">
      <c r="A285" s="1">
        <v>282</v>
      </c>
      <c r="B285" s="15" t="s">
        <v>837</v>
      </c>
      <c r="C285" s="1" t="s">
        <v>2446</v>
      </c>
      <c r="D285" s="1" t="s">
        <v>2473</v>
      </c>
      <c r="E285" s="1" t="s">
        <v>866</v>
      </c>
      <c r="F285" s="66" t="s">
        <v>940</v>
      </c>
      <c r="G285" s="24" t="s">
        <v>1296</v>
      </c>
      <c r="H285" s="16">
        <v>22</v>
      </c>
      <c r="I285" s="25">
        <v>4</v>
      </c>
      <c r="J285" s="56">
        <v>2750</v>
      </c>
      <c r="K285" s="15">
        <v>1250</v>
      </c>
      <c r="L285" s="24" t="s">
        <v>2055</v>
      </c>
      <c r="M285" s="24" t="s">
        <v>2014</v>
      </c>
      <c r="N285" s="1" t="s">
        <v>2013</v>
      </c>
      <c r="O285" s="15" t="s">
        <v>2082</v>
      </c>
      <c r="P285" s="15" t="s">
        <v>2442</v>
      </c>
      <c r="Q285" s="25" t="s">
        <v>2088</v>
      </c>
      <c r="R285" s="25" t="s">
        <v>2435</v>
      </c>
      <c r="S285" s="73" t="s">
        <v>2287</v>
      </c>
    </row>
    <row r="286" spans="1:19" x14ac:dyDescent="0.2">
      <c r="A286" s="1">
        <v>283</v>
      </c>
      <c r="B286" s="15" t="s">
        <v>633</v>
      </c>
      <c r="C286" s="1" t="s">
        <v>2446</v>
      </c>
      <c r="D286" s="1" t="s">
        <v>2506</v>
      </c>
      <c r="E286" s="1" t="s">
        <v>868</v>
      </c>
      <c r="F286" s="66" t="s">
        <v>25</v>
      </c>
      <c r="G286" s="24" t="s">
        <v>1297</v>
      </c>
      <c r="H286" s="16">
        <v>47</v>
      </c>
      <c r="I286" s="25">
        <v>1</v>
      </c>
      <c r="J286" s="56">
        <v>550</v>
      </c>
      <c r="K286" s="15">
        <f>86*5</f>
        <v>430</v>
      </c>
      <c r="L286" s="24" t="s">
        <v>2057</v>
      </c>
      <c r="M286" s="24" t="s">
        <v>2020</v>
      </c>
      <c r="N286" s="1" t="s">
        <v>2013</v>
      </c>
      <c r="O286" s="15" t="s">
        <v>2082</v>
      </c>
      <c r="P286" s="15" t="s">
        <v>2442</v>
      </c>
      <c r="Q286" s="25" t="s">
        <v>2090</v>
      </c>
      <c r="R286" s="25" t="s">
        <v>2434</v>
      </c>
      <c r="S286" s="73" t="s">
        <v>2288</v>
      </c>
    </row>
    <row r="287" spans="1:19" x14ac:dyDescent="0.2">
      <c r="A287" s="1">
        <v>284</v>
      </c>
      <c r="B287" s="15" t="s">
        <v>851</v>
      </c>
      <c r="C287" s="1" t="s">
        <v>2446</v>
      </c>
      <c r="D287" s="1" t="s">
        <v>2507</v>
      </c>
      <c r="E287" s="1" t="s">
        <v>822</v>
      </c>
      <c r="F287" s="66" t="s">
        <v>941</v>
      </c>
      <c r="G287" s="24" t="s">
        <v>1298</v>
      </c>
      <c r="H287" s="16">
        <v>55</v>
      </c>
      <c r="I287" s="25">
        <v>5</v>
      </c>
      <c r="J287" s="56">
        <v>370</v>
      </c>
      <c r="K287" s="15">
        <v>100</v>
      </c>
      <c r="L287" s="24" t="s">
        <v>2028</v>
      </c>
      <c r="M287" s="24" t="s">
        <v>2016</v>
      </c>
      <c r="N287" s="1" t="s">
        <v>2013</v>
      </c>
      <c r="O287" s="15" t="s">
        <v>2082</v>
      </c>
      <c r="P287" s="15" t="s">
        <v>2442</v>
      </c>
      <c r="Q287" s="25" t="s">
        <v>2088</v>
      </c>
      <c r="R287" s="25" t="s">
        <v>2436</v>
      </c>
      <c r="S287" s="73" t="s">
        <v>2167</v>
      </c>
    </row>
    <row r="288" spans="1:19" x14ac:dyDescent="0.2">
      <c r="A288" s="1">
        <v>285</v>
      </c>
      <c r="B288" s="15" t="s">
        <v>30</v>
      </c>
      <c r="C288" s="1" t="s">
        <v>2446</v>
      </c>
      <c r="D288" s="1" t="s">
        <v>2474</v>
      </c>
      <c r="E288" s="1" t="s">
        <v>828</v>
      </c>
      <c r="F288" s="66" t="s">
        <v>888</v>
      </c>
      <c r="G288" s="24" t="s">
        <v>1299</v>
      </c>
      <c r="H288" s="16">
        <v>36</v>
      </c>
      <c r="I288" s="25">
        <v>3</v>
      </c>
      <c r="J288" s="56">
        <v>3900</v>
      </c>
      <c r="K288" s="15">
        <v>1900</v>
      </c>
      <c r="L288" s="24" t="s">
        <v>2059</v>
      </c>
      <c r="M288" s="24" t="s">
        <v>2016</v>
      </c>
      <c r="N288" s="1" t="s">
        <v>2013</v>
      </c>
      <c r="O288" s="15" t="s">
        <v>2082</v>
      </c>
      <c r="P288" s="15" t="s">
        <v>2442</v>
      </c>
      <c r="Q288" s="25" t="s">
        <v>2085</v>
      </c>
      <c r="R288" s="25" t="s">
        <v>2437</v>
      </c>
      <c r="S288" s="73" t="s">
        <v>2180</v>
      </c>
    </row>
    <row r="289" spans="1:19" x14ac:dyDescent="0.2">
      <c r="A289" s="1">
        <v>286</v>
      </c>
      <c r="B289" s="15" t="s">
        <v>838</v>
      </c>
      <c r="C289" s="1" t="s">
        <v>2446</v>
      </c>
      <c r="D289" s="1" t="s">
        <v>2475</v>
      </c>
      <c r="E289" s="1" t="s">
        <v>864</v>
      </c>
      <c r="F289" s="66" t="s">
        <v>887</v>
      </c>
      <c r="G289" s="24" t="s">
        <v>1300</v>
      </c>
      <c r="H289" s="16">
        <v>28</v>
      </c>
      <c r="I289" s="25">
        <v>2</v>
      </c>
      <c r="J289" s="56">
        <v>2070</v>
      </c>
      <c r="K289" s="15">
        <v>1070</v>
      </c>
      <c r="L289" s="24" t="s">
        <v>2030</v>
      </c>
      <c r="M289" s="24" t="s">
        <v>2024</v>
      </c>
      <c r="N289" s="1" t="s">
        <v>2013</v>
      </c>
      <c r="O289" s="15" t="s">
        <v>2082</v>
      </c>
      <c r="P289" s="15" t="s">
        <v>2442</v>
      </c>
      <c r="Q289" s="25" t="s">
        <v>2088</v>
      </c>
      <c r="R289" s="25" t="s">
        <v>2435</v>
      </c>
      <c r="S289" s="73" t="s">
        <v>2289</v>
      </c>
    </row>
    <row r="290" spans="1:19" x14ac:dyDescent="0.2">
      <c r="A290" s="1">
        <v>287</v>
      </c>
      <c r="B290" s="15" t="s">
        <v>839</v>
      </c>
      <c r="C290" s="1" t="s">
        <v>2446</v>
      </c>
      <c r="D290" s="1" t="s">
        <v>2508</v>
      </c>
      <c r="E290" s="1" t="s">
        <v>823</v>
      </c>
      <c r="F290" s="66" t="s">
        <v>901</v>
      </c>
      <c r="G290" s="24" t="s">
        <v>1301</v>
      </c>
      <c r="H290" s="16">
        <v>50</v>
      </c>
      <c r="I290" s="25">
        <v>4</v>
      </c>
      <c r="J290" s="56">
        <v>1150</v>
      </c>
      <c r="K290" s="15">
        <v>500</v>
      </c>
      <c r="L290" s="24" t="s">
        <v>2047</v>
      </c>
      <c r="M290" s="24" t="s">
        <v>2024</v>
      </c>
      <c r="N290" s="1" t="s">
        <v>2013</v>
      </c>
      <c r="O290" s="15" t="s">
        <v>2082</v>
      </c>
      <c r="P290" s="15" t="s">
        <v>2442</v>
      </c>
      <c r="Q290" s="25" t="s">
        <v>2085</v>
      </c>
      <c r="R290" s="25" t="s">
        <v>2436</v>
      </c>
      <c r="S290" s="73" t="s">
        <v>2290</v>
      </c>
    </row>
    <row r="291" spans="1:19" x14ac:dyDescent="0.2">
      <c r="A291" s="1">
        <v>288</v>
      </c>
      <c r="B291" s="15" t="s">
        <v>85</v>
      </c>
      <c r="C291" s="1" t="s">
        <v>2446</v>
      </c>
      <c r="D291" s="1" t="s">
        <v>2509</v>
      </c>
      <c r="E291" s="1" t="s">
        <v>823</v>
      </c>
      <c r="F291" s="66" t="s">
        <v>885</v>
      </c>
      <c r="G291" s="24" t="s">
        <v>1302</v>
      </c>
      <c r="H291" s="16">
        <v>39</v>
      </c>
      <c r="I291" s="25">
        <v>1</v>
      </c>
      <c r="J291" s="56">
        <v>1630</v>
      </c>
      <c r="K291" s="15">
        <v>680</v>
      </c>
      <c r="L291" s="24" t="s">
        <v>2021</v>
      </c>
      <c r="M291" s="24" t="s">
        <v>2020</v>
      </c>
      <c r="N291" s="1" t="s">
        <v>2013</v>
      </c>
      <c r="O291" s="15" t="s">
        <v>2082</v>
      </c>
      <c r="P291" s="15" t="s">
        <v>2442</v>
      </c>
      <c r="Q291" s="25" t="s">
        <v>2085</v>
      </c>
      <c r="R291" s="25" t="s">
        <v>2434</v>
      </c>
      <c r="S291" s="73" t="s">
        <v>2291</v>
      </c>
    </row>
    <row r="292" spans="1:19" x14ac:dyDescent="0.2">
      <c r="A292" s="1">
        <v>289</v>
      </c>
      <c r="B292" s="15" t="s">
        <v>852</v>
      </c>
      <c r="C292" s="1" t="s">
        <v>2446</v>
      </c>
      <c r="D292" s="1" t="s">
        <v>31</v>
      </c>
      <c r="E292" s="1" t="s">
        <v>863</v>
      </c>
      <c r="F292" s="66" t="s">
        <v>882</v>
      </c>
      <c r="G292" s="24" t="s">
        <v>1303</v>
      </c>
      <c r="H292" s="16">
        <v>31</v>
      </c>
      <c r="I292" s="25">
        <v>5</v>
      </c>
      <c r="J292" s="56">
        <v>1440</v>
      </c>
      <c r="K292" s="15">
        <v>640</v>
      </c>
      <c r="L292" s="24" t="s">
        <v>2027</v>
      </c>
      <c r="M292" s="24" t="s">
        <v>2014</v>
      </c>
      <c r="N292" s="1" t="s">
        <v>2013</v>
      </c>
      <c r="O292" s="15" t="s">
        <v>2082</v>
      </c>
      <c r="P292" s="15" t="s">
        <v>2442</v>
      </c>
      <c r="Q292" s="25" t="s">
        <v>2083</v>
      </c>
      <c r="R292" s="25" t="s">
        <v>2437</v>
      </c>
      <c r="S292" s="73" t="s">
        <v>2176</v>
      </c>
    </row>
    <row r="293" spans="1:19" x14ac:dyDescent="0.2">
      <c r="A293" s="1">
        <v>290</v>
      </c>
      <c r="B293" s="15" t="s">
        <v>79</v>
      </c>
      <c r="C293" s="1" t="s">
        <v>2446</v>
      </c>
      <c r="D293" s="1" t="s">
        <v>2510</v>
      </c>
      <c r="E293" s="1" t="s">
        <v>822</v>
      </c>
      <c r="F293" s="66" t="s">
        <v>942</v>
      </c>
      <c r="G293" s="24" t="s">
        <v>1304</v>
      </c>
      <c r="H293" s="16">
        <v>44</v>
      </c>
      <c r="I293" s="25">
        <v>2</v>
      </c>
      <c r="J293" s="56">
        <v>3310</v>
      </c>
      <c r="K293" s="15">
        <v>1310</v>
      </c>
      <c r="L293" s="24" t="s">
        <v>2026</v>
      </c>
      <c r="M293" s="24" t="s">
        <v>2014</v>
      </c>
      <c r="N293" s="1" t="s">
        <v>2013</v>
      </c>
      <c r="O293" s="15" t="s">
        <v>2082</v>
      </c>
      <c r="P293" s="15" t="s">
        <v>2442</v>
      </c>
      <c r="Q293" s="25" t="s">
        <v>2084</v>
      </c>
      <c r="R293" s="25" t="s">
        <v>2435</v>
      </c>
      <c r="S293" s="73" t="s">
        <v>2261</v>
      </c>
    </row>
    <row r="294" spans="1:19" x14ac:dyDescent="0.2">
      <c r="A294" s="1">
        <v>291</v>
      </c>
      <c r="B294" s="15" t="s">
        <v>5</v>
      </c>
      <c r="C294" s="1" t="s">
        <v>2445</v>
      </c>
      <c r="D294" s="1" t="s">
        <v>869</v>
      </c>
      <c r="E294" s="1" t="s">
        <v>817</v>
      </c>
      <c r="F294" s="66" t="s">
        <v>943</v>
      </c>
      <c r="G294" s="24" t="s">
        <v>1305</v>
      </c>
      <c r="H294" s="16">
        <v>26</v>
      </c>
      <c r="I294" s="25">
        <v>3</v>
      </c>
      <c r="J294" s="56">
        <v>1090</v>
      </c>
      <c r="K294" s="15">
        <v>550</v>
      </c>
      <c r="L294" s="24" t="s">
        <v>2059</v>
      </c>
      <c r="M294" s="24" t="s">
        <v>2016</v>
      </c>
      <c r="N294" s="1" t="s">
        <v>2013</v>
      </c>
      <c r="O294" s="15" t="s">
        <v>2082</v>
      </c>
      <c r="P294" s="15" t="s">
        <v>2442</v>
      </c>
      <c r="Q294" s="25" t="s">
        <v>2083</v>
      </c>
      <c r="R294" s="25" t="s">
        <v>2434</v>
      </c>
      <c r="S294" s="73" t="s">
        <v>2186</v>
      </c>
    </row>
    <row r="295" spans="1:19" x14ac:dyDescent="0.2">
      <c r="A295" s="1">
        <v>292</v>
      </c>
      <c r="B295" s="15" t="s">
        <v>32</v>
      </c>
      <c r="C295" s="1" t="s">
        <v>2446</v>
      </c>
      <c r="D295" s="1" t="s">
        <v>2476</v>
      </c>
      <c r="E295" s="1" t="s">
        <v>865</v>
      </c>
      <c r="F295" s="66" t="s">
        <v>907</v>
      </c>
      <c r="G295" s="24" t="s">
        <v>1306</v>
      </c>
      <c r="H295" s="16">
        <v>48</v>
      </c>
      <c r="I295" s="25">
        <v>4</v>
      </c>
      <c r="J295" s="56">
        <v>4100</v>
      </c>
      <c r="K295" s="15">
        <v>2050</v>
      </c>
      <c r="L295" s="24" t="s">
        <v>2029</v>
      </c>
      <c r="M295" s="24" t="s">
        <v>2016</v>
      </c>
      <c r="N295" s="1" t="s">
        <v>2013</v>
      </c>
      <c r="O295" s="15" t="s">
        <v>2082</v>
      </c>
      <c r="P295" s="15" t="s">
        <v>2442</v>
      </c>
      <c r="Q295" s="25" t="s">
        <v>2085</v>
      </c>
      <c r="R295" s="25" t="s">
        <v>2436</v>
      </c>
      <c r="S295" s="73" t="s">
        <v>2122</v>
      </c>
    </row>
    <row r="296" spans="1:19" x14ac:dyDescent="0.2">
      <c r="A296" s="1">
        <v>293</v>
      </c>
      <c r="B296" s="15" t="s">
        <v>7</v>
      </c>
      <c r="C296" s="1" t="s">
        <v>2445</v>
      </c>
      <c r="D296" s="1" t="s">
        <v>869</v>
      </c>
      <c r="E296" s="1" t="s">
        <v>824</v>
      </c>
      <c r="F296" s="66" t="s">
        <v>870</v>
      </c>
      <c r="G296" s="24" t="s">
        <v>1307</v>
      </c>
      <c r="H296" s="16">
        <v>53</v>
      </c>
      <c r="I296" s="25">
        <v>1</v>
      </c>
      <c r="J296" s="56">
        <v>1190</v>
      </c>
      <c r="K296" s="15">
        <v>700</v>
      </c>
      <c r="L296" s="24" t="s">
        <v>2022</v>
      </c>
      <c r="M296" s="24" t="s">
        <v>2016</v>
      </c>
      <c r="N296" s="1" t="s">
        <v>2013</v>
      </c>
      <c r="O296" s="15" t="s">
        <v>2082</v>
      </c>
      <c r="P296" s="15" t="s">
        <v>2442</v>
      </c>
      <c r="Q296" s="25" t="s">
        <v>2084</v>
      </c>
      <c r="R296" s="25" t="s">
        <v>2437</v>
      </c>
      <c r="S296" s="73" t="s">
        <v>2105</v>
      </c>
    </row>
    <row r="297" spans="1:19" x14ac:dyDescent="0.2">
      <c r="A297" s="1">
        <v>294</v>
      </c>
      <c r="B297" s="15" t="s">
        <v>7</v>
      </c>
      <c r="C297" s="1" t="s">
        <v>2445</v>
      </c>
      <c r="D297" s="1" t="s">
        <v>869</v>
      </c>
      <c r="E297" s="1" t="s">
        <v>817</v>
      </c>
      <c r="F297" s="66" t="s">
        <v>944</v>
      </c>
      <c r="G297" s="24" t="s">
        <v>1308</v>
      </c>
      <c r="H297" s="16">
        <v>30</v>
      </c>
      <c r="I297" s="25">
        <v>5</v>
      </c>
      <c r="J297" s="56">
        <v>1390</v>
      </c>
      <c r="K297" s="15">
        <v>700</v>
      </c>
      <c r="L297" s="24" t="s">
        <v>2061</v>
      </c>
      <c r="M297" s="24" t="s">
        <v>2014</v>
      </c>
      <c r="N297" s="1" t="s">
        <v>2013</v>
      </c>
      <c r="O297" s="15" t="s">
        <v>2082</v>
      </c>
      <c r="P297" s="15" t="s">
        <v>2442</v>
      </c>
      <c r="Q297" s="25" t="s">
        <v>2089</v>
      </c>
      <c r="R297" s="25" t="s">
        <v>2435</v>
      </c>
      <c r="S297" s="73" t="s">
        <v>2211</v>
      </c>
    </row>
    <row r="298" spans="1:19" x14ac:dyDescent="0.2">
      <c r="A298" s="1">
        <v>295</v>
      </c>
      <c r="B298" s="15" t="s">
        <v>13</v>
      </c>
      <c r="C298" s="1" t="s">
        <v>2445</v>
      </c>
      <c r="D298" s="1" t="s">
        <v>869</v>
      </c>
      <c r="E298" s="1" t="s">
        <v>824</v>
      </c>
      <c r="F298" s="66" t="s">
        <v>945</v>
      </c>
      <c r="G298" s="24" t="s">
        <v>1309</v>
      </c>
      <c r="H298" s="16">
        <v>37</v>
      </c>
      <c r="I298" s="25">
        <v>5</v>
      </c>
      <c r="J298" s="56">
        <v>1340</v>
      </c>
      <c r="K298" s="15">
        <v>760</v>
      </c>
      <c r="L298" s="24" t="s">
        <v>2025</v>
      </c>
      <c r="M298" s="24" t="s">
        <v>2024</v>
      </c>
      <c r="N298" s="1" t="s">
        <v>2013</v>
      </c>
      <c r="O298" s="15" t="s">
        <v>2082</v>
      </c>
      <c r="P298" s="15" t="s">
        <v>2442</v>
      </c>
      <c r="Q298" s="25" t="s">
        <v>2088</v>
      </c>
      <c r="R298" s="25" t="s">
        <v>2436</v>
      </c>
      <c r="S298" s="73" t="s">
        <v>2280</v>
      </c>
    </row>
    <row r="299" spans="1:19" x14ac:dyDescent="0.2">
      <c r="A299" s="1">
        <v>296</v>
      </c>
      <c r="B299" s="15" t="s">
        <v>7</v>
      </c>
      <c r="C299" s="1" t="s">
        <v>2445</v>
      </c>
      <c r="D299" s="1" t="s">
        <v>869</v>
      </c>
      <c r="E299" s="1" t="s">
        <v>824</v>
      </c>
      <c r="F299" s="66" t="s">
        <v>946</v>
      </c>
      <c r="G299" s="24" t="s">
        <v>1310</v>
      </c>
      <c r="H299" s="16">
        <v>42</v>
      </c>
      <c r="I299" s="25">
        <v>3</v>
      </c>
      <c r="J299" s="56">
        <v>1490</v>
      </c>
      <c r="K299" s="15">
        <v>900</v>
      </c>
      <c r="L299" s="24" t="s">
        <v>2019</v>
      </c>
      <c r="M299" s="24" t="s">
        <v>2014</v>
      </c>
      <c r="N299" s="1" t="s">
        <v>2013</v>
      </c>
      <c r="O299" s="15" t="s">
        <v>2082</v>
      </c>
      <c r="P299" s="15" t="s">
        <v>2442</v>
      </c>
      <c r="Q299" s="25" t="s">
        <v>2083</v>
      </c>
      <c r="R299" s="25" t="s">
        <v>2434</v>
      </c>
      <c r="S299" s="73" t="s">
        <v>2292</v>
      </c>
    </row>
    <row r="300" spans="1:19" x14ac:dyDescent="0.2">
      <c r="A300" s="1">
        <v>297</v>
      </c>
      <c r="B300" s="15" t="s">
        <v>33</v>
      </c>
      <c r="C300" s="1" t="s">
        <v>2446</v>
      </c>
      <c r="D300" s="1" t="s">
        <v>2511</v>
      </c>
      <c r="E300" s="1" t="s">
        <v>823</v>
      </c>
      <c r="F300" s="66" t="s">
        <v>947</v>
      </c>
      <c r="G300" s="24" t="s">
        <v>1311</v>
      </c>
      <c r="H300" s="16">
        <v>24</v>
      </c>
      <c r="I300" s="25">
        <v>2</v>
      </c>
      <c r="J300" s="57">
        <v>5700</v>
      </c>
      <c r="K300" s="29">
        <v>3000</v>
      </c>
      <c r="L300" s="24" t="s">
        <v>2039</v>
      </c>
      <c r="M300" s="24" t="s">
        <v>2014</v>
      </c>
      <c r="N300" s="1" t="s">
        <v>2013</v>
      </c>
      <c r="O300" s="15" t="s">
        <v>2082</v>
      </c>
      <c r="P300" s="15" t="s">
        <v>2442</v>
      </c>
      <c r="Q300" s="25" t="s">
        <v>2086</v>
      </c>
      <c r="R300" s="25" t="s">
        <v>2437</v>
      </c>
      <c r="S300" s="73" t="s">
        <v>2293</v>
      </c>
    </row>
    <row r="301" spans="1:19" x14ac:dyDescent="0.2">
      <c r="A301" s="1">
        <v>298</v>
      </c>
      <c r="B301" s="15" t="s">
        <v>662</v>
      </c>
      <c r="C301" s="1" t="s">
        <v>2446</v>
      </c>
      <c r="D301" s="1" t="s">
        <v>2512</v>
      </c>
      <c r="E301" s="1" t="s">
        <v>828</v>
      </c>
      <c r="F301" s="66" t="s">
        <v>948</v>
      </c>
      <c r="G301" s="24" t="s">
        <v>1312</v>
      </c>
      <c r="H301" s="16">
        <v>57</v>
      </c>
      <c r="I301" s="25">
        <v>4</v>
      </c>
      <c r="J301" s="56">
        <v>7570</v>
      </c>
      <c r="K301" s="15">
        <v>3970</v>
      </c>
      <c r="L301" s="24" t="s">
        <v>2022</v>
      </c>
      <c r="M301" s="24" t="s">
        <v>2016</v>
      </c>
      <c r="N301" s="1" t="s">
        <v>2013</v>
      </c>
      <c r="O301" s="15" t="s">
        <v>2082</v>
      </c>
      <c r="P301" s="15" t="s">
        <v>2442</v>
      </c>
      <c r="Q301" s="25" t="s">
        <v>2089</v>
      </c>
      <c r="R301" s="25" t="s">
        <v>2435</v>
      </c>
      <c r="S301" s="73" t="s">
        <v>2294</v>
      </c>
    </row>
    <row r="302" spans="1:19" x14ac:dyDescent="0.2">
      <c r="A302" s="1">
        <v>299</v>
      </c>
      <c r="B302" s="15" t="s">
        <v>7</v>
      </c>
      <c r="C302" s="1" t="s">
        <v>2445</v>
      </c>
      <c r="D302" s="1" t="s">
        <v>869</v>
      </c>
      <c r="E302" s="1" t="s">
        <v>824</v>
      </c>
      <c r="F302" s="66" t="s">
        <v>2756</v>
      </c>
      <c r="G302" s="24" t="s">
        <v>1313</v>
      </c>
      <c r="H302" s="16">
        <v>35</v>
      </c>
      <c r="I302" s="25">
        <v>1</v>
      </c>
      <c r="J302" s="56">
        <v>990</v>
      </c>
      <c r="K302" s="15">
        <v>450</v>
      </c>
      <c r="L302" s="24" t="s">
        <v>2061</v>
      </c>
      <c r="M302" s="24" t="s">
        <v>2014</v>
      </c>
      <c r="N302" s="1" t="s">
        <v>2013</v>
      </c>
      <c r="O302" s="15" t="s">
        <v>2082</v>
      </c>
      <c r="P302" s="15" t="s">
        <v>2442</v>
      </c>
      <c r="Q302" s="25" t="s">
        <v>2083</v>
      </c>
      <c r="R302" s="25" t="s">
        <v>2434</v>
      </c>
      <c r="S302" s="73" t="s">
        <v>2295</v>
      </c>
    </row>
    <row r="303" spans="1:19" x14ac:dyDescent="0.2">
      <c r="A303" s="1">
        <v>300</v>
      </c>
      <c r="B303" s="15" t="s">
        <v>33</v>
      </c>
      <c r="C303" s="1" t="s">
        <v>2446</v>
      </c>
      <c r="D303" s="1" t="s">
        <v>2477</v>
      </c>
      <c r="E303" s="1" t="s">
        <v>863</v>
      </c>
      <c r="F303" s="66" t="s">
        <v>874</v>
      </c>
      <c r="G303" s="24" t="s">
        <v>1314</v>
      </c>
      <c r="H303" s="16">
        <v>40</v>
      </c>
      <c r="I303" s="25">
        <v>5</v>
      </c>
      <c r="J303" s="56">
        <v>4800</v>
      </c>
      <c r="K303" s="15">
        <v>2100</v>
      </c>
      <c r="L303" s="24" t="s">
        <v>2025</v>
      </c>
      <c r="M303" s="24" t="s">
        <v>2024</v>
      </c>
      <c r="N303" s="1" t="s">
        <v>2013</v>
      </c>
      <c r="O303" s="15" t="s">
        <v>2082</v>
      </c>
      <c r="P303" s="15" t="s">
        <v>2442</v>
      </c>
      <c r="Q303" s="25" t="s">
        <v>2088</v>
      </c>
      <c r="R303" s="25" t="s">
        <v>2436</v>
      </c>
      <c r="S303" s="73" t="s">
        <v>2253</v>
      </c>
    </row>
    <row r="304" spans="1:19" x14ac:dyDescent="0.2">
      <c r="A304" s="1">
        <v>301</v>
      </c>
      <c r="B304" s="15" t="s">
        <v>34</v>
      </c>
      <c r="C304" s="1" t="s">
        <v>2446</v>
      </c>
      <c r="D304" s="1" t="s">
        <v>2478</v>
      </c>
      <c r="E304" s="1" t="s">
        <v>863</v>
      </c>
      <c r="F304" s="66" t="s">
        <v>950</v>
      </c>
      <c r="G304" s="24" t="s">
        <v>1315</v>
      </c>
      <c r="H304" s="16">
        <v>21</v>
      </c>
      <c r="I304" s="25">
        <v>2</v>
      </c>
      <c r="J304" s="56">
        <v>2920</v>
      </c>
      <c r="K304" s="15">
        <v>1260</v>
      </c>
      <c r="L304" s="24" t="s">
        <v>2032</v>
      </c>
      <c r="M304" s="24" t="s">
        <v>2024</v>
      </c>
      <c r="N304" s="1" t="s">
        <v>2013</v>
      </c>
      <c r="O304" s="15" t="s">
        <v>2082</v>
      </c>
      <c r="P304" s="15" t="s">
        <v>2442</v>
      </c>
      <c r="Q304" s="25" t="s">
        <v>2089</v>
      </c>
      <c r="R304" s="25" t="s">
        <v>2437</v>
      </c>
      <c r="S304" s="73" t="s">
        <v>2093</v>
      </c>
    </row>
    <row r="305" spans="1:19" x14ac:dyDescent="0.2">
      <c r="A305" s="1">
        <v>302</v>
      </c>
      <c r="B305" s="15" t="s">
        <v>33</v>
      </c>
      <c r="C305" s="1" t="s">
        <v>2446</v>
      </c>
      <c r="D305" s="1" t="s">
        <v>2513</v>
      </c>
      <c r="E305" s="1" t="s">
        <v>823</v>
      </c>
      <c r="F305" s="66" t="s">
        <v>951</v>
      </c>
      <c r="G305" s="24" t="s">
        <v>1316</v>
      </c>
      <c r="H305" s="16">
        <v>59</v>
      </c>
      <c r="I305" s="25">
        <v>3</v>
      </c>
      <c r="J305" s="56">
        <v>5700</v>
      </c>
      <c r="K305" s="15">
        <v>3000</v>
      </c>
      <c r="L305" s="24" t="s">
        <v>2038</v>
      </c>
      <c r="M305" s="24" t="s">
        <v>2020</v>
      </c>
      <c r="N305" s="1" t="s">
        <v>2013</v>
      </c>
      <c r="O305" s="15" t="s">
        <v>2082</v>
      </c>
      <c r="P305" s="15" t="s">
        <v>2442</v>
      </c>
      <c r="Q305" s="25" t="s">
        <v>2086</v>
      </c>
      <c r="R305" s="25" t="s">
        <v>2435</v>
      </c>
      <c r="S305" s="73" t="s">
        <v>2296</v>
      </c>
    </row>
    <row r="306" spans="1:19" x14ac:dyDescent="0.2">
      <c r="A306" s="1">
        <v>303</v>
      </c>
      <c r="B306" s="15" t="s">
        <v>13</v>
      </c>
      <c r="C306" s="1" t="s">
        <v>2445</v>
      </c>
      <c r="D306" s="2" t="s">
        <v>869</v>
      </c>
      <c r="E306" s="1" t="s">
        <v>824</v>
      </c>
      <c r="F306" s="66" t="s">
        <v>894</v>
      </c>
      <c r="G306" s="24" t="s">
        <v>1317</v>
      </c>
      <c r="H306" s="16">
        <v>32</v>
      </c>
      <c r="I306" s="25">
        <v>4</v>
      </c>
      <c r="J306" s="56">
        <v>1840</v>
      </c>
      <c r="K306" s="15">
        <v>1000</v>
      </c>
      <c r="L306" s="24" t="s">
        <v>2045</v>
      </c>
      <c r="M306" s="24" t="s">
        <v>2014</v>
      </c>
      <c r="N306" s="1" t="s">
        <v>2013</v>
      </c>
      <c r="O306" s="15" t="s">
        <v>2082</v>
      </c>
      <c r="P306" s="15" t="s">
        <v>2442</v>
      </c>
      <c r="Q306" s="25" t="s">
        <v>2089</v>
      </c>
      <c r="R306" s="25" t="s">
        <v>2436</v>
      </c>
      <c r="S306" s="73" t="s">
        <v>2108</v>
      </c>
    </row>
    <row r="307" spans="1:19" x14ac:dyDescent="0.2">
      <c r="A307" s="1">
        <v>304</v>
      </c>
      <c r="B307" s="15" t="s">
        <v>7</v>
      </c>
      <c r="C307" s="1" t="s">
        <v>2445</v>
      </c>
      <c r="D307" s="1" t="s">
        <v>869</v>
      </c>
      <c r="E307" s="1" t="s">
        <v>817</v>
      </c>
      <c r="F307" s="66" t="s">
        <v>888</v>
      </c>
      <c r="G307" s="24" t="s">
        <v>1318</v>
      </c>
      <c r="H307" s="16">
        <v>46</v>
      </c>
      <c r="I307" s="25">
        <v>1</v>
      </c>
      <c r="J307" s="56">
        <v>750</v>
      </c>
      <c r="K307" s="15">
        <v>500</v>
      </c>
      <c r="L307" s="24" t="s">
        <v>2032</v>
      </c>
      <c r="M307" s="24" t="s">
        <v>2014</v>
      </c>
      <c r="N307" s="1" t="s">
        <v>2013</v>
      </c>
      <c r="O307" s="15" t="s">
        <v>2082</v>
      </c>
      <c r="P307" s="15" t="s">
        <v>2442</v>
      </c>
      <c r="Q307" s="25" t="s">
        <v>2083</v>
      </c>
      <c r="R307" s="25" t="s">
        <v>2434</v>
      </c>
      <c r="S307" s="73" t="s">
        <v>2297</v>
      </c>
    </row>
    <row r="308" spans="1:19" x14ac:dyDescent="0.2">
      <c r="A308" s="1">
        <v>305</v>
      </c>
      <c r="B308" s="15" t="s">
        <v>840</v>
      </c>
      <c r="C308" s="1" t="s">
        <v>2446</v>
      </c>
      <c r="D308" s="1" t="s">
        <v>2456</v>
      </c>
      <c r="E308" s="1" t="s">
        <v>828</v>
      </c>
      <c r="F308" s="67" t="s">
        <v>889</v>
      </c>
      <c r="G308" s="24" t="s">
        <v>1319</v>
      </c>
      <c r="H308" s="16">
        <v>54</v>
      </c>
      <c r="I308" s="25">
        <v>5</v>
      </c>
      <c r="J308" s="56">
        <v>2170</v>
      </c>
      <c r="K308" s="15">
        <v>850</v>
      </c>
      <c r="L308" s="24" t="s">
        <v>2025</v>
      </c>
      <c r="M308" s="24" t="s">
        <v>2024</v>
      </c>
      <c r="N308" s="1" t="s">
        <v>2013</v>
      </c>
      <c r="O308" s="15" t="s">
        <v>2082</v>
      </c>
      <c r="P308" s="15" t="s">
        <v>2442</v>
      </c>
      <c r="Q308" s="25" t="s">
        <v>2085</v>
      </c>
      <c r="R308" s="25" t="s">
        <v>2437</v>
      </c>
      <c r="S308" s="73" t="s">
        <v>2210</v>
      </c>
    </row>
    <row r="309" spans="1:19" x14ac:dyDescent="0.2">
      <c r="A309" s="1">
        <v>306</v>
      </c>
      <c r="B309" s="15" t="s">
        <v>478</v>
      </c>
      <c r="C309" s="1" t="s">
        <v>2446</v>
      </c>
      <c r="D309" s="1" t="s">
        <v>2457</v>
      </c>
      <c r="E309" s="1" t="s">
        <v>863</v>
      </c>
      <c r="F309" s="67" t="s">
        <v>890</v>
      </c>
      <c r="G309" s="24" t="s">
        <v>1320</v>
      </c>
      <c r="H309" s="16">
        <v>25</v>
      </c>
      <c r="I309" s="25">
        <v>3</v>
      </c>
      <c r="J309" s="56">
        <v>5050</v>
      </c>
      <c r="K309" s="15">
        <v>2040</v>
      </c>
      <c r="L309" s="24" t="s">
        <v>2034</v>
      </c>
      <c r="M309" s="24" t="s">
        <v>2016</v>
      </c>
      <c r="N309" s="1" t="s">
        <v>2013</v>
      </c>
      <c r="O309" s="15" t="s">
        <v>2082</v>
      </c>
      <c r="P309" s="15" t="s">
        <v>2442</v>
      </c>
      <c r="Q309" s="25" t="s">
        <v>2084</v>
      </c>
      <c r="R309" s="25" t="s">
        <v>2435</v>
      </c>
      <c r="S309" s="73" t="s">
        <v>2128</v>
      </c>
    </row>
    <row r="310" spans="1:19" x14ac:dyDescent="0.2">
      <c r="A310" s="1">
        <v>307</v>
      </c>
      <c r="B310" s="15" t="s">
        <v>36</v>
      </c>
      <c r="C310" s="1" t="s">
        <v>2446</v>
      </c>
      <c r="D310" s="1" t="s">
        <v>2458</v>
      </c>
      <c r="E310" s="1" t="s">
        <v>864</v>
      </c>
      <c r="F310" s="66" t="s">
        <v>891</v>
      </c>
      <c r="G310" s="24" t="s">
        <v>1321</v>
      </c>
      <c r="H310" s="16">
        <v>43</v>
      </c>
      <c r="I310" s="25">
        <v>2</v>
      </c>
      <c r="J310" s="56">
        <v>2380</v>
      </c>
      <c r="K310" s="15">
        <v>850</v>
      </c>
      <c r="L310" s="24" t="s">
        <v>2028</v>
      </c>
      <c r="M310" s="24" t="s">
        <v>2024</v>
      </c>
      <c r="N310" s="1" t="s">
        <v>2013</v>
      </c>
      <c r="O310" s="15" t="s">
        <v>2082</v>
      </c>
      <c r="P310" s="15" t="s">
        <v>2442</v>
      </c>
      <c r="Q310" s="25" t="s">
        <v>2088</v>
      </c>
      <c r="R310" s="25" t="s">
        <v>2434</v>
      </c>
      <c r="S310" s="73" t="s">
        <v>2298</v>
      </c>
    </row>
    <row r="311" spans="1:19" x14ac:dyDescent="0.2">
      <c r="A311" s="1">
        <v>308</v>
      </c>
      <c r="B311" s="15" t="s">
        <v>37</v>
      </c>
      <c r="C311" s="1" t="s">
        <v>2446</v>
      </c>
      <c r="D311" s="1" t="s">
        <v>2459</v>
      </c>
      <c r="E311" s="1" t="s">
        <v>822</v>
      </c>
      <c r="F311" s="67" t="s">
        <v>892</v>
      </c>
      <c r="G311" s="24" t="s">
        <v>1322</v>
      </c>
      <c r="H311" s="16">
        <v>58</v>
      </c>
      <c r="I311" s="25">
        <v>4</v>
      </c>
      <c r="J311" s="56">
        <v>3530</v>
      </c>
      <c r="K311" s="15">
        <v>1740</v>
      </c>
      <c r="L311" s="24" t="s">
        <v>2037</v>
      </c>
      <c r="M311" s="24" t="s">
        <v>2014</v>
      </c>
      <c r="N311" s="1" t="s">
        <v>2013</v>
      </c>
      <c r="O311" s="15" t="s">
        <v>2082</v>
      </c>
      <c r="P311" s="15" t="s">
        <v>2442</v>
      </c>
      <c r="Q311" s="25" t="s">
        <v>2086</v>
      </c>
      <c r="R311" s="25" t="s">
        <v>2436</v>
      </c>
      <c r="S311" s="73" t="s">
        <v>2209</v>
      </c>
    </row>
    <row r="312" spans="1:19" x14ac:dyDescent="0.2">
      <c r="A312" s="1">
        <v>309</v>
      </c>
      <c r="B312" s="15" t="s">
        <v>853</v>
      </c>
      <c r="C312" s="1" t="s">
        <v>2446</v>
      </c>
      <c r="D312" s="1" t="s">
        <v>2479</v>
      </c>
      <c r="E312" s="1" t="s">
        <v>823</v>
      </c>
      <c r="F312" s="67" t="s">
        <v>876</v>
      </c>
      <c r="G312" s="24" t="s">
        <v>1323</v>
      </c>
      <c r="H312" s="16">
        <v>20</v>
      </c>
      <c r="I312" s="25">
        <v>1</v>
      </c>
      <c r="J312" s="56">
        <v>250</v>
      </c>
      <c r="K312" s="15">
        <v>150</v>
      </c>
      <c r="L312" s="24" t="s">
        <v>2057</v>
      </c>
      <c r="M312" s="24" t="s">
        <v>2020</v>
      </c>
      <c r="N312" s="1" t="s">
        <v>2013</v>
      </c>
      <c r="O312" s="15" t="s">
        <v>2082</v>
      </c>
      <c r="P312" s="15" t="s">
        <v>2442</v>
      </c>
      <c r="Q312" s="25" t="s">
        <v>2089</v>
      </c>
      <c r="R312" s="25" t="s">
        <v>2437</v>
      </c>
      <c r="S312" s="73" t="s">
        <v>2101</v>
      </c>
    </row>
    <row r="313" spans="1:19" x14ac:dyDescent="0.2">
      <c r="A313" s="1">
        <v>310</v>
      </c>
      <c r="B313" s="15" t="s">
        <v>117</v>
      </c>
      <c r="C313" s="1" t="s">
        <v>2446</v>
      </c>
      <c r="D313" s="1" t="s">
        <v>2514</v>
      </c>
      <c r="E313" s="1" t="s">
        <v>828</v>
      </c>
      <c r="F313" s="67" t="s">
        <v>885</v>
      </c>
      <c r="G313" s="24" t="s">
        <v>1324</v>
      </c>
      <c r="H313" s="16">
        <v>49</v>
      </c>
      <c r="I313" s="25">
        <v>5</v>
      </c>
      <c r="J313" s="56">
        <v>3170</v>
      </c>
      <c r="K313" s="15">
        <f>920+200</f>
        <v>1120</v>
      </c>
      <c r="L313" s="24" t="s">
        <v>2043</v>
      </c>
      <c r="M313" s="24" t="s">
        <v>2016</v>
      </c>
      <c r="N313" s="1" t="s">
        <v>2013</v>
      </c>
      <c r="O313" s="15" t="s">
        <v>2082</v>
      </c>
      <c r="P313" s="15" t="s">
        <v>2442</v>
      </c>
      <c r="Q313" s="25" t="s">
        <v>2083</v>
      </c>
      <c r="R313" s="25" t="s">
        <v>2435</v>
      </c>
      <c r="S313" s="73" t="s">
        <v>2137</v>
      </c>
    </row>
    <row r="314" spans="1:19" x14ac:dyDescent="0.2">
      <c r="A314" s="1">
        <v>311</v>
      </c>
      <c r="B314" s="15" t="s">
        <v>282</v>
      </c>
      <c r="C314" s="1" t="s">
        <v>2446</v>
      </c>
      <c r="D314" s="1" t="s">
        <v>2480</v>
      </c>
      <c r="E314" s="1" t="s">
        <v>863</v>
      </c>
      <c r="F314" s="67" t="s">
        <v>893</v>
      </c>
      <c r="G314" s="24" t="s">
        <v>1325</v>
      </c>
      <c r="H314" s="24">
        <v>25</v>
      </c>
      <c r="I314" s="25">
        <v>2</v>
      </c>
      <c r="J314" s="56">
        <v>6100</v>
      </c>
      <c r="K314" s="15">
        <v>2700</v>
      </c>
      <c r="L314" s="24" t="s">
        <v>2051</v>
      </c>
      <c r="M314" s="24" t="s">
        <v>2020</v>
      </c>
      <c r="N314" s="1" t="s">
        <v>2013</v>
      </c>
      <c r="O314" s="15" t="s">
        <v>2082</v>
      </c>
      <c r="P314" s="15" t="s">
        <v>2442</v>
      </c>
      <c r="Q314" s="25" t="s">
        <v>2089</v>
      </c>
      <c r="R314" s="25" t="s">
        <v>2436</v>
      </c>
      <c r="S314" s="73" t="s">
        <v>2112</v>
      </c>
    </row>
    <row r="315" spans="1:19" x14ac:dyDescent="0.2">
      <c r="A315" s="1">
        <v>312</v>
      </c>
      <c r="B315" s="15" t="s">
        <v>39</v>
      </c>
      <c r="C315" s="1" t="s">
        <v>2446</v>
      </c>
      <c r="D315" s="1" t="s">
        <v>2481</v>
      </c>
      <c r="E315" s="1" t="s">
        <v>863</v>
      </c>
      <c r="F315" s="67" t="s">
        <v>894</v>
      </c>
      <c r="G315" s="24" t="s">
        <v>1326</v>
      </c>
      <c r="H315" s="24">
        <v>31</v>
      </c>
      <c r="I315" s="25">
        <v>3</v>
      </c>
      <c r="J315" s="56">
        <v>1800</v>
      </c>
      <c r="K315" s="15">
        <v>700</v>
      </c>
      <c r="L315" s="24" t="s">
        <v>2043</v>
      </c>
      <c r="M315" s="24" t="s">
        <v>2016</v>
      </c>
      <c r="N315" s="1" t="s">
        <v>2013</v>
      </c>
      <c r="O315" s="15" t="s">
        <v>2082</v>
      </c>
      <c r="P315" s="15" t="s">
        <v>2442</v>
      </c>
      <c r="Q315" s="25" t="s">
        <v>2084</v>
      </c>
      <c r="R315" s="25" t="s">
        <v>2434</v>
      </c>
      <c r="S315" s="73" t="s">
        <v>2290</v>
      </c>
    </row>
    <row r="316" spans="1:19" x14ac:dyDescent="0.2">
      <c r="A316" s="1">
        <v>313</v>
      </c>
      <c r="B316" s="15" t="s">
        <v>40</v>
      </c>
      <c r="C316" s="1" t="s">
        <v>2446</v>
      </c>
      <c r="D316" s="1" t="s">
        <v>2482</v>
      </c>
      <c r="E316" s="1" t="s">
        <v>822</v>
      </c>
      <c r="F316" s="67" t="s">
        <v>882</v>
      </c>
      <c r="G316" s="24" t="s">
        <v>1327</v>
      </c>
      <c r="H316" s="24">
        <v>56</v>
      </c>
      <c r="I316" s="25">
        <v>4</v>
      </c>
      <c r="J316" s="56">
        <v>2250</v>
      </c>
      <c r="K316" s="15">
        <v>1120</v>
      </c>
      <c r="L316" s="24" t="s">
        <v>2038</v>
      </c>
      <c r="M316" s="24" t="s">
        <v>2014</v>
      </c>
      <c r="N316" s="1" t="s">
        <v>2013</v>
      </c>
      <c r="O316" s="15" t="s">
        <v>2082</v>
      </c>
      <c r="P316" s="15" t="s">
        <v>2442</v>
      </c>
      <c r="Q316" s="25" t="s">
        <v>2086</v>
      </c>
      <c r="R316" s="25" t="s">
        <v>2437</v>
      </c>
      <c r="S316" s="73" t="s">
        <v>2299</v>
      </c>
    </row>
    <row r="317" spans="1:19" x14ac:dyDescent="0.2">
      <c r="A317" s="1">
        <v>314</v>
      </c>
      <c r="B317" s="15" t="s">
        <v>6</v>
      </c>
      <c r="C317" s="1" t="s">
        <v>2446</v>
      </c>
      <c r="D317" s="1" t="s">
        <v>2497</v>
      </c>
      <c r="E317" s="1" t="s">
        <v>864</v>
      </c>
      <c r="F317" s="67" t="s">
        <v>895</v>
      </c>
      <c r="G317" s="24" t="s">
        <v>1328</v>
      </c>
      <c r="H317" s="24">
        <v>42</v>
      </c>
      <c r="I317" s="25">
        <v>1</v>
      </c>
      <c r="J317" s="56">
        <v>800</v>
      </c>
      <c r="K317" s="15">
        <v>600</v>
      </c>
      <c r="L317" s="24" t="s">
        <v>2030</v>
      </c>
      <c r="M317" s="24" t="s">
        <v>2024</v>
      </c>
      <c r="N317" s="1" t="s">
        <v>2013</v>
      </c>
      <c r="O317" s="15" t="s">
        <v>2082</v>
      </c>
      <c r="P317" s="15" t="s">
        <v>2442</v>
      </c>
      <c r="Q317" s="25" t="s">
        <v>2085</v>
      </c>
      <c r="R317" s="25" t="s">
        <v>2435</v>
      </c>
      <c r="S317" s="73" t="s">
        <v>2222</v>
      </c>
    </row>
    <row r="318" spans="1:19" x14ac:dyDescent="0.2">
      <c r="A318" s="1">
        <v>315</v>
      </c>
      <c r="B318" s="1" t="s">
        <v>41</v>
      </c>
      <c r="C318" s="1" t="s">
        <v>2446</v>
      </c>
      <c r="D318" s="1" t="s">
        <v>2515</v>
      </c>
      <c r="E318" s="1" t="s">
        <v>822</v>
      </c>
      <c r="F318" s="67" t="s">
        <v>896</v>
      </c>
      <c r="G318" s="24" t="s">
        <v>1329</v>
      </c>
      <c r="H318" s="24">
        <v>34</v>
      </c>
      <c r="I318" s="25">
        <v>5</v>
      </c>
      <c r="J318" s="56">
        <v>1680</v>
      </c>
      <c r="K318" s="15">
        <v>970</v>
      </c>
      <c r="L318" s="24" t="s">
        <v>2031</v>
      </c>
      <c r="M318" s="24" t="s">
        <v>2016</v>
      </c>
      <c r="N318" s="1" t="s">
        <v>2013</v>
      </c>
      <c r="O318" s="15" t="s">
        <v>2082</v>
      </c>
      <c r="P318" s="15" t="s">
        <v>2442</v>
      </c>
      <c r="Q318" s="25" t="s">
        <v>2089</v>
      </c>
      <c r="R318" s="25" t="s">
        <v>2434</v>
      </c>
      <c r="S318" s="73" t="s">
        <v>2098</v>
      </c>
    </row>
    <row r="319" spans="1:19" x14ac:dyDescent="0.2">
      <c r="A319" s="1">
        <v>316</v>
      </c>
      <c r="B319" s="1" t="s">
        <v>42</v>
      </c>
      <c r="C319" s="1" t="s">
        <v>2446</v>
      </c>
      <c r="D319" s="1" t="s">
        <v>2516</v>
      </c>
      <c r="E319" s="1" t="s">
        <v>828</v>
      </c>
      <c r="F319" s="67" t="s">
        <v>897</v>
      </c>
      <c r="G319" s="24" t="s">
        <v>1330</v>
      </c>
      <c r="H319" s="24">
        <v>23</v>
      </c>
      <c r="I319" s="25">
        <v>3</v>
      </c>
      <c r="J319" s="56">
        <v>1400</v>
      </c>
      <c r="K319" s="15">
        <v>450</v>
      </c>
      <c r="L319" s="24" t="s">
        <v>2046</v>
      </c>
      <c r="M319" s="24" t="s">
        <v>2016</v>
      </c>
      <c r="N319" s="1" t="s">
        <v>2013</v>
      </c>
      <c r="O319" s="15" t="s">
        <v>2082</v>
      </c>
      <c r="P319" s="15" t="s">
        <v>2442</v>
      </c>
      <c r="Q319" s="25" t="s">
        <v>2085</v>
      </c>
      <c r="R319" s="25" t="s">
        <v>2436</v>
      </c>
      <c r="S319" s="73" t="s">
        <v>2093</v>
      </c>
    </row>
    <row r="320" spans="1:19" x14ac:dyDescent="0.2">
      <c r="A320" s="1">
        <v>317</v>
      </c>
      <c r="B320" s="1" t="s">
        <v>43</v>
      </c>
      <c r="C320" s="1" t="s">
        <v>2446</v>
      </c>
      <c r="D320" s="1" t="s">
        <v>2517</v>
      </c>
      <c r="E320" s="1" t="s">
        <v>864</v>
      </c>
      <c r="F320" s="66" t="s">
        <v>898</v>
      </c>
      <c r="G320" s="24" t="s">
        <v>1331</v>
      </c>
      <c r="H320" s="24">
        <v>56</v>
      </c>
      <c r="I320" s="25">
        <v>2</v>
      </c>
      <c r="J320" s="56">
        <v>2460</v>
      </c>
      <c r="K320" s="15">
        <v>1060</v>
      </c>
      <c r="L320" s="24" t="s">
        <v>2025</v>
      </c>
      <c r="M320" s="24" t="s">
        <v>2024</v>
      </c>
      <c r="N320" s="1" t="s">
        <v>2013</v>
      </c>
      <c r="O320" s="15" t="s">
        <v>2082</v>
      </c>
      <c r="P320" s="15" t="s">
        <v>2442</v>
      </c>
      <c r="Q320" s="25" t="s">
        <v>2088</v>
      </c>
      <c r="R320" s="25" t="s">
        <v>2437</v>
      </c>
      <c r="S320" s="73" t="s">
        <v>2300</v>
      </c>
    </row>
    <row r="321" spans="1:19" x14ac:dyDescent="0.2">
      <c r="A321" s="1">
        <v>318</v>
      </c>
      <c r="B321" s="1" t="s">
        <v>43</v>
      </c>
      <c r="C321" s="1" t="s">
        <v>2446</v>
      </c>
      <c r="D321" s="1" t="s">
        <v>2518</v>
      </c>
      <c r="E321" s="1" t="s">
        <v>822</v>
      </c>
      <c r="F321" s="66" t="s">
        <v>895</v>
      </c>
      <c r="G321" s="24" t="s">
        <v>1332</v>
      </c>
      <c r="H321" s="24">
        <v>24</v>
      </c>
      <c r="I321" s="25">
        <v>4</v>
      </c>
      <c r="J321" s="56">
        <v>2910</v>
      </c>
      <c r="K321" s="15">
        <v>1110</v>
      </c>
      <c r="L321" s="24" t="s">
        <v>2053</v>
      </c>
      <c r="M321" s="24" t="s">
        <v>2014</v>
      </c>
      <c r="N321" s="1" t="s">
        <v>2013</v>
      </c>
      <c r="O321" s="15" t="s">
        <v>2082</v>
      </c>
      <c r="P321" s="15" t="s">
        <v>2442</v>
      </c>
      <c r="Q321" s="25" t="s">
        <v>2090</v>
      </c>
      <c r="R321" s="25" t="s">
        <v>2435</v>
      </c>
      <c r="S321" s="73" t="s">
        <v>2301</v>
      </c>
    </row>
    <row r="322" spans="1:19" x14ac:dyDescent="0.2">
      <c r="A322" s="1">
        <v>320</v>
      </c>
      <c r="B322" s="1" t="s">
        <v>44</v>
      </c>
      <c r="C322" s="1" t="s">
        <v>2446</v>
      </c>
      <c r="D322" s="1" t="s">
        <v>2483</v>
      </c>
      <c r="E322" s="1" t="s">
        <v>863</v>
      </c>
      <c r="F322" s="66" t="s">
        <v>899</v>
      </c>
      <c r="G322" s="24" t="s">
        <v>1333</v>
      </c>
      <c r="H322" s="24">
        <v>64</v>
      </c>
      <c r="I322" s="25">
        <v>1</v>
      </c>
      <c r="J322" s="56">
        <v>3700</v>
      </c>
      <c r="K322" s="15">
        <v>1900</v>
      </c>
      <c r="L322" s="24" t="s">
        <v>2025</v>
      </c>
      <c r="M322" s="24" t="s">
        <v>2024</v>
      </c>
      <c r="N322" s="1" t="s">
        <v>2013</v>
      </c>
      <c r="O322" s="15" t="s">
        <v>2082</v>
      </c>
      <c r="P322" s="15" t="s">
        <v>2442</v>
      </c>
      <c r="Q322" s="25" t="s">
        <v>2089</v>
      </c>
      <c r="R322" s="25" t="s">
        <v>2436</v>
      </c>
      <c r="S322" s="73" t="s">
        <v>2302</v>
      </c>
    </row>
    <row r="323" spans="1:19" x14ac:dyDescent="0.2">
      <c r="A323" s="1">
        <v>321</v>
      </c>
      <c r="B323" s="1" t="s">
        <v>12</v>
      </c>
      <c r="C323" s="1" t="s">
        <v>2445</v>
      </c>
      <c r="D323" s="1" t="s">
        <v>869</v>
      </c>
      <c r="E323" s="1" t="s">
        <v>824</v>
      </c>
      <c r="F323" s="66" t="s">
        <v>900</v>
      </c>
      <c r="G323" s="24" t="s">
        <v>1334</v>
      </c>
      <c r="H323" s="24">
        <v>64</v>
      </c>
      <c r="I323" s="25">
        <v>5</v>
      </c>
      <c r="J323" s="56">
        <v>890</v>
      </c>
      <c r="K323" s="15">
        <v>400</v>
      </c>
      <c r="L323" s="24" t="s">
        <v>2046</v>
      </c>
      <c r="M323" s="24" t="s">
        <v>2016</v>
      </c>
      <c r="N323" s="1" t="s">
        <v>2013</v>
      </c>
      <c r="O323" s="15" t="s">
        <v>2082</v>
      </c>
      <c r="P323" s="15" t="s">
        <v>2442</v>
      </c>
      <c r="Q323" s="25" t="s">
        <v>2086</v>
      </c>
      <c r="R323" s="25" t="s">
        <v>2434</v>
      </c>
      <c r="S323" s="73" t="s">
        <v>2110</v>
      </c>
    </row>
    <row r="324" spans="1:19" x14ac:dyDescent="0.2">
      <c r="A324" s="1">
        <v>322</v>
      </c>
      <c r="B324" s="1" t="s">
        <v>45</v>
      </c>
      <c r="C324" s="1" t="s">
        <v>2446</v>
      </c>
      <c r="D324" s="1" t="s">
        <v>2484</v>
      </c>
      <c r="E324" s="1" t="s">
        <v>864</v>
      </c>
      <c r="F324" s="66" t="s">
        <v>900</v>
      </c>
      <c r="G324" s="24" t="s">
        <v>1335</v>
      </c>
      <c r="H324" s="24">
        <v>23</v>
      </c>
      <c r="I324" s="25">
        <v>2</v>
      </c>
      <c r="J324" s="56">
        <v>3500</v>
      </c>
      <c r="K324" s="15">
        <v>1800</v>
      </c>
      <c r="L324" s="24" t="s">
        <v>2050</v>
      </c>
      <c r="M324" s="24" t="s">
        <v>2024</v>
      </c>
      <c r="N324" s="1" t="s">
        <v>2013</v>
      </c>
      <c r="O324" s="15" t="s">
        <v>2082</v>
      </c>
      <c r="P324" s="15" t="s">
        <v>2442</v>
      </c>
      <c r="Q324" s="25" t="s">
        <v>2087</v>
      </c>
      <c r="R324" s="25" t="s">
        <v>2437</v>
      </c>
      <c r="S324" s="73" t="s">
        <v>2236</v>
      </c>
    </row>
    <row r="325" spans="1:19" x14ac:dyDescent="0.2">
      <c r="A325" s="1">
        <v>323</v>
      </c>
      <c r="B325" s="1" t="s">
        <v>46</v>
      </c>
      <c r="C325" s="1" t="s">
        <v>2446</v>
      </c>
      <c r="D325" s="1" t="s">
        <v>2485</v>
      </c>
      <c r="E325" s="1" t="s">
        <v>828</v>
      </c>
      <c r="F325" s="66" t="s">
        <v>887</v>
      </c>
      <c r="G325" s="24" t="s">
        <v>1336</v>
      </c>
      <c r="H325" s="24">
        <v>19</v>
      </c>
      <c r="I325" s="25">
        <v>3</v>
      </c>
      <c r="J325" s="56">
        <v>3630</v>
      </c>
      <c r="K325" s="15">
        <v>2030</v>
      </c>
      <c r="L325" s="24" t="s">
        <v>2039</v>
      </c>
      <c r="M325" s="24" t="s">
        <v>2014</v>
      </c>
      <c r="N325" s="1" t="s">
        <v>2013</v>
      </c>
      <c r="O325" s="15" t="s">
        <v>2762</v>
      </c>
      <c r="P325" s="15" t="s">
        <v>2442</v>
      </c>
      <c r="Q325" s="25" t="s">
        <v>2090</v>
      </c>
      <c r="R325" s="25" t="s">
        <v>2435</v>
      </c>
      <c r="S325" s="73" t="s">
        <v>2303</v>
      </c>
    </row>
    <row r="326" spans="1:19" x14ac:dyDescent="0.2">
      <c r="A326" s="1">
        <v>324</v>
      </c>
      <c r="B326" s="1" t="s">
        <v>47</v>
      </c>
      <c r="C326" s="1" t="s">
        <v>2446</v>
      </c>
      <c r="D326" s="1" t="s">
        <v>2486</v>
      </c>
      <c r="E326" s="1" t="s">
        <v>866</v>
      </c>
      <c r="F326" s="66" t="s">
        <v>900</v>
      </c>
      <c r="G326" s="24" t="s">
        <v>1337</v>
      </c>
      <c r="H326" s="24">
        <v>21</v>
      </c>
      <c r="I326" s="25">
        <v>4</v>
      </c>
      <c r="J326" s="56">
        <v>5130</v>
      </c>
      <c r="K326" s="15">
        <v>2260</v>
      </c>
      <c r="L326" s="24" t="s">
        <v>2047</v>
      </c>
      <c r="M326" s="24" t="s">
        <v>2024</v>
      </c>
      <c r="N326" s="1" t="s">
        <v>2013</v>
      </c>
      <c r="O326" s="15" t="s">
        <v>2082</v>
      </c>
      <c r="P326" s="15" t="s">
        <v>2442</v>
      </c>
      <c r="Q326" s="25" t="s">
        <v>2087</v>
      </c>
      <c r="R326" s="25" t="s">
        <v>2434</v>
      </c>
      <c r="S326" s="73" t="s">
        <v>2304</v>
      </c>
    </row>
    <row r="327" spans="1:19" x14ac:dyDescent="0.2">
      <c r="A327" s="1">
        <v>325</v>
      </c>
      <c r="B327" s="1" t="s">
        <v>48</v>
      </c>
      <c r="C327" s="1" t="s">
        <v>2446</v>
      </c>
      <c r="D327" s="1" t="s">
        <v>2487</v>
      </c>
      <c r="E327" s="1" t="s">
        <v>867</v>
      </c>
      <c r="F327" s="66" t="s">
        <v>885</v>
      </c>
      <c r="G327" s="24" t="s">
        <v>1338</v>
      </c>
      <c r="H327" s="24">
        <v>56</v>
      </c>
      <c r="I327" s="25">
        <v>3</v>
      </c>
      <c r="J327" s="56">
        <v>2650</v>
      </c>
      <c r="K327" s="15">
        <v>1300</v>
      </c>
      <c r="L327" s="24" t="s">
        <v>2036</v>
      </c>
      <c r="M327" s="24" t="s">
        <v>2014</v>
      </c>
      <c r="N327" s="1" t="s">
        <v>2013</v>
      </c>
      <c r="O327" s="15" t="s">
        <v>2082</v>
      </c>
      <c r="P327" s="15" t="s">
        <v>2442</v>
      </c>
      <c r="Q327" s="25" t="s">
        <v>2089</v>
      </c>
      <c r="R327" s="25" t="s">
        <v>2436</v>
      </c>
      <c r="S327" s="73" t="s">
        <v>2229</v>
      </c>
    </row>
    <row r="328" spans="1:19" x14ac:dyDescent="0.2">
      <c r="A328" s="1">
        <v>326</v>
      </c>
      <c r="B328" s="1" t="s">
        <v>49</v>
      </c>
      <c r="C328" s="1" t="s">
        <v>2446</v>
      </c>
      <c r="D328" s="1" t="s">
        <v>2488</v>
      </c>
      <c r="E328" s="1" t="s">
        <v>822</v>
      </c>
      <c r="F328" s="66" t="s">
        <v>901</v>
      </c>
      <c r="G328" s="24" t="s">
        <v>1339</v>
      </c>
      <c r="H328" s="24">
        <v>34</v>
      </c>
      <c r="I328" s="25">
        <v>1</v>
      </c>
      <c r="J328" s="56">
        <v>2980</v>
      </c>
      <c r="K328" s="15">
        <v>1050</v>
      </c>
      <c r="L328" s="24" t="s">
        <v>2039</v>
      </c>
      <c r="M328" s="24" t="s">
        <v>2014</v>
      </c>
      <c r="N328" s="1" t="s">
        <v>2013</v>
      </c>
      <c r="O328" s="15" t="s">
        <v>2082</v>
      </c>
      <c r="P328" s="15" t="s">
        <v>2442</v>
      </c>
      <c r="Q328" s="25" t="s">
        <v>2090</v>
      </c>
      <c r="R328" s="25" t="s">
        <v>2437</v>
      </c>
      <c r="S328" s="73" t="s">
        <v>2305</v>
      </c>
    </row>
    <row r="329" spans="1:19" x14ac:dyDescent="0.2">
      <c r="A329" s="1">
        <v>327</v>
      </c>
      <c r="B329" s="1" t="s">
        <v>7</v>
      </c>
      <c r="C329" s="1" t="s">
        <v>2445</v>
      </c>
      <c r="D329" s="1" t="s">
        <v>869</v>
      </c>
      <c r="E329" s="1" t="s">
        <v>826</v>
      </c>
      <c r="F329" s="66" t="s">
        <v>902</v>
      </c>
      <c r="G329" s="24" t="s">
        <v>1340</v>
      </c>
      <c r="H329" s="24">
        <v>64</v>
      </c>
      <c r="I329" s="25">
        <v>4</v>
      </c>
      <c r="J329" s="56">
        <v>1190</v>
      </c>
      <c r="K329" s="15">
        <v>700</v>
      </c>
      <c r="L329" s="24" t="s">
        <v>2019</v>
      </c>
      <c r="M329" s="24" t="s">
        <v>2014</v>
      </c>
      <c r="N329" s="1" t="s">
        <v>2013</v>
      </c>
      <c r="O329" s="15" t="s">
        <v>2082</v>
      </c>
      <c r="P329" s="15" t="s">
        <v>2442</v>
      </c>
      <c r="Q329" s="25" t="s">
        <v>2083</v>
      </c>
      <c r="R329" s="25" t="s">
        <v>2435</v>
      </c>
      <c r="S329" s="73" t="s">
        <v>2130</v>
      </c>
    </row>
    <row r="330" spans="1:19" x14ac:dyDescent="0.2">
      <c r="A330" s="1">
        <v>328</v>
      </c>
      <c r="B330" s="1" t="s">
        <v>50</v>
      </c>
      <c r="C330" s="1" t="s">
        <v>2446</v>
      </c>
      <c r="D330" s="1" t="s">
        <v>2489</v>
      </c>
      <c r="E330" s="1" t="s">
        <v>864</v>
      </c>
      <c r="F330" s="66" t="s">
        <v>903</v>
      </c>
      <c r="G330" s="24" t="s">
        <v>1341</v>
      </c>
      <c r="H330" s="24">
        <v>78</v>
      </c>
      <c r="I330" s="25">
        <v>5</v>
      </c>
      <c r="J330" s="56">
        <v>3165</v>
      </c>
      <c r="K330" s="15">
        <v>1040</v>
      </c>
      <c r="L330" s="24" t="s">
        <v>2053</v>
      </c>
      <c r="M330" s="24" t="s">
        <v>2014</v>
      </c>
      <c r="N330" s="1" t="s">
        <v>2013</v>
      </c>
      <c r="O330" s="15" t="s">
        <v>2082</v>
      </c>
      <c r="P330" s="15" t="s">
        <v>2442</v>
      </c>
      <c r="Q330" s="25" t="s">
        <v>2089</v>
      </c>
      <c r="R330" s="25" t="s">
        <v>2436</v>
      </c>
      <c r="S330" s="73" t="s">
        <v>2297</v>
      </c>
    </row>
    <row r="331" spans="1:19" x14ac:dyDescent="0.2">
      <c r="A331" s="1">
        <v>329</v>
      </c>
      <c r="B331" s="1" t="s">
        <v>51</v>
      </c>
      <c r="C331" s="1" t="s">
        <v>2446</v>
      </c>
      <c r="D331" s="1" t="s">
        <v>2519</v>
      </c>
      <c r="E331" s="1" t="s">
        <v>863</v>
      </c>
      <c r="F331" s="66" t="s">
        <v>882</v>
      </c>
      <c r="G331" s="24" t="s">
        <v>1342</v>
      </c>
      <c r="H331" s="24">
        <v>54</v>
      </c>
      <c r="I331" s="25">
        <v>3</v>
      </c>
      <c r="J331" s="56">
        <v>2210</v>
      </c>
      <c r="K331" s="15">
        <v>800</v>
      </c>
      <c r="L331" s="24" t="s">
        <v>2032</v>
      </c>
      <c r="M331" s="24" t="s">
        <v>2020</v>
      </c>
      <c r="N331" s="1" t="s">
        <v>2013</v>
      </c>
      <c r="O331" s="15" t="s">
        <v>2082</v>
      </c>
      <c r="P331" s="15" t="s">
        <v>2442</v>
      </c>
      <c r="Q331" s="25" t="s">
        <v>2088</v>
      </c>
      <c r="R331" s="25" t="s">
        <v>2434</v>
      </c>
      <c r="S331" s="73" t="s">
        <v>2268</v>
      </c>
    </row>
    <row r="332" spans="1:19" x14ac:dyDescent="0.2">
      <c r="A332" s="1">
        <v>330</v>
      </c>
      <c r="B332" s="1" t="s">
        <v>52</v>
      </c>
      <c r="C332" s="1" t="s">
        <v>2446</v>
      </c>
      <c r="D332" s="1" t="s">
        <v>2460</v>
      </c>
      <c r="E332" s="1" t="s">
        <v>823</v>
      </c>
      <c r="F332" s="66" t="s">
        <v>904</v>
      </c>
      <c r="G332" s="24" t="s">
        <v>1343</v>
      </c>
      <c r="H332" s="24">
        <v>32</v>
      </c>
      <c r="I332" s="25">
        <v>2</v>
      </c>
      <c r="J332" s="56">
        <v>6850</v>
      </c>
      <c r="K332" s="15">
        <v>4550</v>
      </c>
      <c r="L332" s="24" t="s">
        <v>2062</v>
      </c>
      <c r="M332" s="24" t="s">
        <v>2014</v>
      </c>
      <c r="N332" s="1" t="s">
        <v>2013</v>
      </c>
      <c r="O332" s="15" t="s">
        <v>2082</v>
      </c>
      <c r="P332" s="15" t="s">
        <v>2442</v>
      </c>
      <c r="Q332" s="25" t="s">
        <v>2083</v>
      </c>
      <c r="R332" s="25" t="s">
        <v>2437</v>
      </c>
      <c r="S332" s="73" t="s">
        <v>2236</v>
      </c>
    </row>
    <row r="333" spans="1:19" x14ac:dyDescent="0.2">
      <c r="A333" s="1">
        <v>331</v>
      </c>
      <c r="B333" s="1" t="s">
        <v>285</v>
      </c>
      <c r="C333" s="1" t="s">
        <v>2446</v>
      </c>
      <c r="D333" s="1" t="s">
        <v>2461</v>
      </c>
      <c r="E333" s="1" t="s">
        <v>864</v>
      </c>
      <c r="F333" s="66" t="s">
        <v>905</v>
      </c>
      <c r="G333" s="24" t="s">
        <v>1344</v>
      </c>
      <c r="H333" s="16">
        <v>24</v>
      </c>
      <c r="I333" s="25">
        <v>4</v>
      </c>
      <c r="J333" s="56">
        <v>3100</v>
      </c>
      <c r="K333" s="15">
        <v>1360</v>
      </c>
      <c r="L333" s="24" t="s">
        <v>2021</v>
      </c>
      <c r="M333" s="24" t="s">
        <v>2020</v>
      </c>
      <c r="N333" s="1" t="s">
        <v>2013</v>
      </c>
      <c r="O333" s="15" t="s">
        <v>2082</v>
      </c>
      <c r="P333" s="15" t="s">
        <v>2442</v>
      </c>
      <c r="Q333" s="25" t="s">
        <v>2090</v>
      </c>
      <c r="R333" s="25" t="s">
        <v>2435</v>
      </c>
      <c r="S333" s="73" t="s">
        <v>2181</v>
      </c>
    </row>
    <row r="334" spans="1:19" x14ac:dyDescent="0.2">
      <c r="A334" s="1">
        <v>332</v>
      </c>
      <c r="B334" s="1" t="s">
        <v>53</v>
      </c>
      <c r="C334" s="1" t="s">
        <v>2446</v>
      </c>
      <c r="D334" s="1" t="s">
        <v>2462</v>
      </c>
      <c r="E334" s="1" t="s">
        <v>867</v>
      </c>
      <c r="F334" s="66" t="s">
        <v>870</v>
      </c>
      <c r="G334" s="24" t="s">
        <v>1345</v>
      </c>
      <c r="H334" s="16">
        <v>57</v>
      </c>
      <c r="I334" s="25">
        <v>1</v>
      </c>
      <c r="J334" s="56">
        <v>4190</v>
      </c>
      <c r="K334" s="15">
        <v>1690</v>
      </c>
      <c r="L334" s="24" t="s">
        <v>2021</v>
      </c>
      <c r="M334" s="24" t="s">
        <v>2020</v>
      </c>
      <c r="N334" s="1" t="s">
        <v>2013</v>
      </c>
      <c r="O334" s="15" t="s">
        <v>2082</v>
      </c>
      <c r="P334" s="15" t="s">
        <v>2442</v>
      </c>
      <c r="Q334" s="25" t="s">
        <v>2090</v>
      </c>
      <c r="R334" s="25" t="s">
        <v>2434</v>
      </c>
      <c r="S334" s="73" t="s">
        <v>2237</v>
      </c>
    </row>
    <row r="335" spans="1:19" x14ac:dyDescent="0.2">
      <c r="A335" s="1">
        <v>333</v>
      </c>
      <c r="B335" s="1" t="s">
        <v>54</v>
      </c>
      <c r="C335" s="1" t="s">
        <v>2446</v>
      </c>
      <c r="D335" s="1" t="s">
        <v>2463</v>
      </c>
      <c r="E335" s="1" t="s">
        <v>867</v>
      </c>
      <c r="F335" s="66" t="s">
        <v>952</v>
      </c>
      <c r="G335" s="24" t="s">
        <v>1346</v>
      </c>
      <c r="H335" s="16">
        <v>35</v>
      </c>
      <c r="I335" s="25">
        <v>5</v>
      </c>
      <c r="J335" s="56">
        <v>6550</v>
      </c>
      <c r="K335" s="15">
        <v>3660</v>
      </c>
      <c r="L335" s="24" t="s">
        <v>2048</v>
      </c>
      <c r="M335" s="24" t="s">
        <v>2014</v>
      </c>
      <c r="N335" s="1" t="s">
        <v>2013</v>
      </c>
      <c r="O335" s="15" t="s">
        <v>2082</v>
      </c>
      <c r="P335" s="15" t="s">
        <v>2442</v>
      </c>
      <c r="Q335" s="25" t="s">
        <v>2089</v>
      </c>
      <c r="R335" s="25" t="s">
        <v>2436</v>
      </c>
      <c r="S335" s="73" t="s">
        <v>2306</v>
      </c>
    </row>
    <row r="336" spans="1:19" x14ac:dyDescent="0.2">
      <c r="A336" s="1">
        <v>334</v>
      </c>
      <c r="B336" s="1" t="s">
        <v>55</v>
      </c>
      <c r="C336" s="1" t="s">
        <v>2446</v>
      </c>
      <c r="D336" s="1" t="s">
        <v>2490</v>
      </c>
      <c r="E336" s="1" t="s">
        <v>822</v>
      </c>
      <c r="F336" s="66" t="s">
        <v>945</v>
      </c>
      <c r="G336" s="24" t="s">
        <v>1347</v>
      </c>
      <c r="H336" s="16">
        <v>40</v>
      </c>
      <c r="I336" s="25">
        <v>2</v>
      </c>
      <c r="J336" s="56">
        <v>2740</v>
      </c>
      <c r="K336" s="15">
        <v>1040</v>
      </c>
      <c r="L336" s="24" t="s">
        <v>2022</v>
      </c>
      <c r="M336" s="24" t="s">
        <v>2016</v>
      </c>
      <c r="N336" s="1" t="s">
        <v>2013</v>
      </c>
      <c r="O336" s="15" t="s">
        <v>2082</v>
      </c>
      <c r="P336" s="15" t="s">
        <v>2442</v>
      </c>
      <c r="Q336" s="25" t="s">
        <v>2090</v>
      </c>
      <c r="R336" s="25" t="s">
        <v>2437</v>
      </c>
      <c r="S336" s="73" t="s">
        <v>2229</v>
      </c>
    </row>
    <row r="337" spans="1:19" x14ac:dyDescent="0.2">
      <c r="A337" s="1">
        <v>335</v>
      </c>
      <c r="B337" s="1" t="s">
        <v>56</v>
      </c>
      <c r="C337" s="1" t="s">
        <v>2446</v>
      </c>
      <c r="D337" s="1" t="s">
        <v>2520</v>
      </c>
      <c r="E337" s="1" t="s">
        <v>828</v>
      </c>
      <c r="F337" s="66" t="s">
        <v>946</v>
      </c>
      <c r="G337" s="24" t="s">
        <v>1348</v>
      </c>
      <c r="H337" s="16">
        <v>21</v>
      </c>
      <c r="I337" s="25">
        <v>3</v>
      </c>
      <c r="J337" s="56">
        <v>2600</v>
      </c>
      <c r="K337" s="15">
        <v>1140</v>
      </c>
      <c r="L337" s="24" t="s">
        <v>2040</v>
      </c>
      <c r="M337" s="24" t="s">
        <v>2020</v>
      </c>
      <c r="N337" s="1" t="s">
        <v>2013</v>
      </c>
      <c r="O337" s="15" t="s">
        <v>2082</v>
      </c>
      <c r="P337" s="15" t="s">
        <v>2442</v>
      </c>
      <c r="Q337" s="25" t="s">
        <v>2090</v>
      </c>
      <c r="R337" s="25" t="s">
        <v>2435</v>
      </c>
      <c r="S337" s="73" t="s">
        <v>2307</v>
      </c>
    </row>
    <row r="338" spans="1:19" x14ac:dyDescent="0.2">
      <c r="A338" s="1">
        <v>336</v>
      </c>
      <c r="B338" s="1" t="s">
        <v>404</v>
      </c>
      <c r="C338" s="1" t="s">
        <v>2446</v>
      </c>
      <c r="D338" s="1" t="s">
        <v>2521</v>
      </c>
      <c r="E338" s="1" t="s">
        <v>828</v>
      </c>
      <c r="F338" s="66" t="s">
        <v>947</v>
      </c>
      <c r="G338" s="24" t="s">
        <v>1349</v>
      </c>
      <c r="H338" s="16">
        <v>59</v>
      </c>
      <c r="I338" s="25">
        <v>4</v>
      </c>
      <c r="J338" s="56">
        <v>900</v>
      </c>
      <c r="K338" s="15">
        <v>650</v>
      </c>
      <c r="L338" s="24" t="s">
        <v>2036</v>
      </c>
      <c r="M338" s="24" t="s">
        <v>2014</v>
      </c>
      <c r="N338" s="1" t="s">
        <v>2013</v>
      </c>
      <c r="O338" s="15" t="s">
        <v>2082</v>
      </c>
      <c r="P338" s="15" t="s">
        <v>2442</v>
      </c>
      <c r="Q338" s="25" t="s">
        <v>2085</v>
      </c>
      <c r="R338" s="25" t="s">
        <v>2436</v>
      </c>
      <c r="S338" s="73" t="s">
        <v>2249</v>
      </c>
    </row>
    <row r="339" spans="1:19" x14ac:dyDescent="0.2">
      <c r="A339" s="1">
        <v>337</v>
      </c>
      <c r="B339" s="1" t="s">
        <v>57</v>
      </c>
      <c r="C339" s="1" t="s">
        <v>2446</v>
      </c>
      <c r="D339" s="1" t="s">
        <v>2491</v>
      </c>
      <c r="E339" s="1" t="s">
        <v>864</v>
      </c>
      <c r="F339" s="66" t="s">
        <v>948</v>
      </c>
      <c r="G339" s="24" t="s">
        <v>1350</v>
      </c>
      <c r="H339" s="16">
        <v>32</v>
      </c>
      <c r="I339" s="25">
        <v>1</v>
      </c>
      <c r="J339" s="56">
        <v>1280</v>
      </c>
      <c r="K339" s="15">
        <v>680</v>
      </c>
      <c r="L339" s="24" t="s">
        <v>2039</v>
      </c>
      <c r="M339" s="24" t="s">
        <v>2014</v>
      </c>
      <c r="N339" s="1" t="s">
        <v>2013</v>
      </c>
      <c r="O339" s="15" t="s">
        <v>2082</v>
      </c>
      <c r="P339" s="15" t="s">
        <v>2442</v>
      </c>
      <c r="Q339" s="25" t="s">
        <v>2084</v>
      </c>
      <c r="R339" s="25" t="s">
        <v>2434</v>
      </c>
      <c r="S339" s="73" t="s">
        <v>2216</v>
      </c>
    </row>
    <row r="340" spans="1:19" x14ac:dyDescent="0.2">
      <c r="A340" s="1">
        <v>338</v>
      </c>
      <c r="B340" s="1" t="s">
        <v>58</v>
      </c>
      <c r="C340" s="1" t="s">
        <v>2446</v>
      </c>
      <c r="D340" s="1" t="s">
        <v>2492</v>
      </c>
      <c r="E340" s="1" t="s">
        <v>828</v>
      </c>
      <c r="F340" s="66" t="s">
        <v>949</v>
      </c>
      <c r="G340" s="24" t="s">
        <v>1351</v>
      </c>
      <c r="H340" s="16">
        <v>46</v>
      </c>
      <c r="I340" s="25">
        <v>5</v>
      </c>
      <c r="J340" s="56">
        <v>2650</v>
      </c>
      <c r="K340" s="15">
        <v>1150</v>
      </c>
      <c r="L340" s="24" t="s">
        <v>2033</v>
      </c>
      <c r="M340" s="24" t="s">
        <v>2016</v>
      </c>
      <c r="N340" s="1" t="s">
        <v>2013</v>
      </c>
      <c r="O340" s="15" t="s">
        <v>2082</v>
      </c>
      <c r="P340" s="15" t="s">
        <v>2442</v>
      </c>
      <c r="Q340" s="25" t="s">
        <v>2087</v>
      </c>
      <c r="R340" s="25" t="s">
        <v>2437</v>
      </c>
      <c r="S340" s="73" t="s">
        <v>2152</v>
      </c>
    </row>
    <row r="341" spans="1:19" x14ac:dyDescent="0.2">
      <c r="A341" s="1">
        <v>339</v>
      </c>
      <c r="B341" s="1" t="s">
        <v>6</v>
      </c>
      <c r="C341" s="1" t="s">
        <v>2445</v>
      </c>
      <c r="D341" s="1" t="s">
        <v>869</v>
      </c>
      <c r="E341" s="1" t="s">
        <v>817</v>
      </c>
      <c r="F341" s="66" t="s">
        <v>874</v>
      </c>
      <c r="G341" s="24" t="s">
        <v>1352</v>
      </c>
      <c r="H341" s="16">
        <v>54</v>
      </c>
      <c r="I341" s="25">
        <v>3</v>
      </c>
      <c r="J341" s="56">
        <v>2525</v>
      </c>
      <c r="K341" s="15">
        <v>1350</v>
      </c>
      <c r="L341" s="24" t="s">
        <v>2018</v>
      </c>
      <c r="M341" s="24" t="s">
        <v>2020</v>
      </c>
      <c r="N341" s="1" t="s">
        <v>2013</v>
      </c>
      <c r="O341" s="15" t="s">
        <v>2082</v>
      </c>
      <c r="P341" s="15" t="s">
        <v>2442</v>
      </c>
      <c r="Q341" s="25" t="s">
        <v>2083</v>
      </c>
      <c r="R341" s="25" t="s">
        <v>2435</v>
      </c>
      <c r="S341" s="73" t="s">
        <v>2157</v>
      </c>
    </row>
    <row r="342" spans="1:19" x14ac:dyDescent="0.2">
      <c r="A342" s="1">
        <v>340</v>
      </c>
      <c r="B342" s="1" t="s">
        <v>13</v>
      </c>
      <c r="C342" s="1" t="s">
        <v>2445</v>
      </c>
      <c r="D342" s="1" t="s">
        <v>869</v>
      </c>
      <c r="E342" s="1" t="s">
        <v>817</v>
      </c>
      <c r="F342" s="66" t="s">
        <v>950</v>
      </c>
      <c r="G342" s="24" t="s">
        <v>1353</v>
      </c>
      <c r="H342" s="16">
        <v>25</v>
      </c>
      <c r="I342" s="25">
        <v>2</v>
      </c>
      <c r="J342" s="56">
        <v>1240</v>
      </c>
      <c r="K342" s="15">
        <v>550</v>
      </c>
      <c r="L342" s="24" t="s">
        <v>2019</v>
      </c>
      <c r="M342" s="24" t="s">
        <v>2014</v>
      </c>
      <c r="N342" s="1" t="s">
        <v>2013</v>
      </c>
      <c r="O342" s="15" t="s">
        <v>2082</v>
      </c>
      <c r="P342" s="15" t="s">
        <v>2442</v>
      </c>
      <c r="Q342" s="25" t="s">
        <v>2085</v>
      </c>
      <c r="R342" s="25" t="s">
        <v>2434</v>
      </c>
      <c r="S342" s="73" t="s">
        <v>2120</v>
      </c>
    </row>
    <row r="343" spans="1:19" x14ac:dyDescent="0.2">
      <c r="A343" s="1">
        <v>341</v>
      </c>
      <c r="B343" s="1" t="s">
        <v>59</v>
      </c>
      <c r="C343" s="1" t="s">
        <v>2446</v>
      </c>
      <c r="D343" s="1" t="s">
        <v>2522</v>
      </c>
      <c r="E343" s="1" t="s">
        <v>817</v>
      </c>
      <c r="F343" s="66" t="s">
        <v>951</v>
      </c>
      <c r="G343" s="24" t="s">
        <v>1354</v>
      </c>
      <c r="H343" s="16">
        <v>43</v>
      </c>
      <c r="I343" s="25">
        <v>4</v>
      </c>
      <c r="J343" s="56">
        <v>3000</v>
      </c>
      <c r="K343" s="15">
        <v>1300</v>
      </c>
      <c r="L343" s="24" t="s">
        <v>2037</v>
      </c>
      <c r="M343" s="24" t="s">
        <v>2014</v>
      </c>
      <c r="N343" s="1" t="s">
        <v>2013</v>
      </c>
      <c r="O343" s="15" t="s">
        <v>2082</v>
      </c>
      <c r="P343" s="15" t="s">
        <v>2442</v>
      </c>
      <c r="Q343" s="25" t="s">
        <v>2090</v>
      </c>
      <c r="R343" s="25" t="s">
        <v>2436</v>
      </c>
      <c r="S343" s="73" t="s">
        <v>2308</v>
      </c>
    </row>
    <row r="344" spans="1:19" x14ac:dyDescent="0.2">
      <c r="A344" s="1">
        <v>342</v>
      </c>
      <c r="B344" s="1" t="s">
        <v>60</v>
      </c>
      <c r="C344" s="1" t="s">
        <v>2446</v>
      </c>
      <c r="D344" s="1" t="s">
        <v>2464</v>
      </c>
      <c r="E344" s="1" t="s">
        <v>864</v>
      </c>
      <c r="F344" s="66" t="s">
        <v>952</v>
      </c>
      <c r="G344" s="24" t="s">
        <v>1355</v>
      </c>
      <c r="H344" s="16">
        <v>58</v>
      </c>
      <c r="I344" s="25">
        <v>1</v>
      </c>
      <c r="J344" s="56">
        <v>3550</v>
      </c>
      <c r="K344" s="15">
        <v>2020</v>
      </c>
      <c r="L344" s="24" t="s">
        <v>2033</v>
      </c>
      <c r="M344" s="24" t="s">
        <v>2016</v>
      </c>
      <c r="N344" s="1" t="s">
        <v>2013</v>
      </c>
      <c r="O344" s="15" t="s">
        <v>2082</v>
      </c>
      <c r="P344" s="15" t="s">
        <v>2442</v>
      </c>
      <c r="Q344" s="25" t="s">
        <v>2084</v>
      </c>
      <c r="R344" s="25" t="s">
        <v>2437</v>
      </c>
      <c r="S344" s="73" t="s">
        <v>2259</v>
      </c>
    </row>
    <row r="345" spans="1:19" x14ac:dyDescent="0.2">
      <c r="A345" s="1">
        <v>343</v>
      </c>
      <c r="B345" s="1" t="s">
        <v>61</v>
      </c>
      <c r="C345" s="1" t="s">
        <v>2446</v>
      </c>
      <c r="D345" s="1" t="s">
        <v>2523</v>
      </c>
      <c r="E345" s="1" t="s">
        <v>864</v>
      </c>
      <c r="F345" s="66" t="s">
        <v>888</v>
      </c>
      <c r="G345" s="24" t="s">
        <v>1356</v>
      </c>
      <c r="H345" s="16">
        <v>20</v>
      </c>
      <c r="I345" s="25">
        <v>5</v>
      </c>
      <c r="J345" s="56">
        <v>7770</v>
      </c>
      <c r="K345" s="15">
        <v>3570</v>
      </c>
      <c r="L345" s="24" t="s">
        <v>2061</v>
      </c>
      <c r="M345" s="24" t="s">
        <v>2014</v>
      </c>
      <c r="N345" s="1" t="s">
        <v>2013</v>
      </c>
      <c r="O345" s="15" t="s">
        <v>2082</v>
      </c>
      <c r="P345" s="15" t="s">
        <v>2442</v>
      </c>
      <c r="Q345" s="25" t="s">
        <v>2084</v>
      </c>
      <c r="R345" s="25" t="s">
        <v>2435</v>
      </c>
      <c r="S345" s="73" t="s">
        <v>2187</v>
      </c>
    </row>
    <row r="346" spans="1:19" x14ac:dyDescent="0.2">
      <c r="A346" s="1">
        <v>344</v>
      </c>
      <c r="B346" s="1" t="s">
        <v>8</v>
      </c>
      <c r="C346" s="1" t="s">
        <v>2445</v>
      </c>
      <c r="D346" s="1" t="s">
        <v>869</v>
      </c>
      <c r="E346" s="1" t="s">
        <v>827</v>
      </c>
      <c r="F346" s="67" t="s">
        <v>889</v>
      </c>
      <c r="G346" s="24" t="s">
        <v>1357</v>
      </c>
      <c r="H346" s="16">
        <v>49</v>
      </c>
      <c r="I346" s="25">
        <v>2</v>
      </c>
      <c r="J346" s="56">
        <v>1090</v>
      </c>
      <c r="K346" s="15">
        <v>610</v>
      </c>
      <c r="L346" s="24" t="s">
        <v>2038</v>
      </c>
      <c r="M346" s="24" t="s">
        <v>2014</v>
      </c>
      <c r="N346" s="1" t="s">
        <v>2013</v>
      </c>
      <c r="O346" s="15" t="s">
        <v>2082</v>
      </c>
      <c r="P346" s="15" t="s">
        <v>2442</v>
      </c>
      <c r="Q346" s="25" t="s">
        <v>2087</v>
      </c>
      <c r="R346" s="25" t="s">
        <v>2436</v>
      </c>
      <c r="S346" s="73" t="s">
        <v>2309</v>
      </c>
    </row>
    <row r="347" spans="1:19" x14ac:dyDescent="0.2">
      <c r="A347" s="1">
        <v>345</v>
      </c>
      <c r="B347" s="1" t="s">
        <v>5</v>
      </c>
      <c r="C347" s="1" t="s">
        <v>2445</v>
      </c>
      <c r="D347" s="1" t="s">
        <v>869</v>
      </c>
      <c r="E347" s="1" t="s">
        <v>817</v>
      </c>
      <c r="F347" s="67" t="s">
        <v>890</v>
      </c>
      <c r="G347" s="24" t="s">
        <v>1358</v>
      </c>
      <c r="H347" s="24">
        <v>25</v>
      </c>
      <c r="I347" s="25">
        <v>3</v>
      </c>
      <c r="J347" s="56">
        <v>1090</v>
      </c>
      <c r="K347" s="15">
        <v>550</v>
      </c>
      <c r="L347" s="24" t="s">
        <v>2026</v>
      </c>
      <c r="M347" s="24" t="s">
        <v>2014</v>
      </c>
      <c r="N347" s="1" t="s">
        <v>2013</v>
      </c>
      <c r="O347" s="15" t="s">
        <v>2082</v>
      </c>
      <c r="P347" s="15" t="s">
        <v>2442</v>
      </c>
      <c r="Q347" s="25" t="s">
        <v>2083</v>
      </c>
      <c r="R347" s="25" t="s">
        <v>2434</v>
      </c>
      <c r="S347" s="73" t="s">
        <v>2190</v>
      </c>
    </row>
    <row r="348" spans="1:19" x14ac:dyDescent="0.2">
      <c r="A348" s="1">
        <v>346</v>
      </c>
      <c r="B348" s="1" t="s">
        <v>5</v>
      </c>
      <c r="C348" s="1" t="s">
        <v>2445</v>
      </c>
      <c r="D348" s="1" t="s">
        <v>869</v>
      </c>
      <c r="E348" s="1" t="s">
        <v>818</v>
      </c>
      <c r="F348" s="66" t="s">
        <v>891</v>
      </c>
      <c r="G348" s="24" t="s">
        <v>1359</v>
      </c>
      <c r="H348" s="24">
        <v>31</v>
      </c>
      <c r="I348" s="25">
        <v>4</v>
      </c>
      <c r="J348" s="56">
        <v>1090</v>
      </c>
      <c r="K348" s="15">
        <v>600</v>
      </c>
      <c r="L348" s="24" t="s">
        <v>2015</v>
      </c>
      <c r="M348" s="24" t="s">
        <v>2014</v>
      </c>
      <c r="N348" s="1" t="s">
        <v>2013</v>
      </c>
      <c r="O348" s="15" t="s">
        <v>2082</v>
      </c>
      <c r="P348" s="15" t="s">
        <v>2442</v>
      </c>
      <c r="Q348" s="25" t="s">
        <v>2085</v>
      </c>
      <c r="R348" s="25" t="s">
        <v>2437</v>
      </c>
      <c r="S348" s="73" t="s">
        <v>2095</v>
      </c>
    </row>
    <row r="349" spans="1:19" x14ac:dyDescent="0.2">
      <c r="A349" s="1">
        <v>347</v>
      </c>
      <c r="B349" s="1" t="s">
        <v>62</v>
      </c>
      <c r="C349" s="1" t="s">
        <v>2446</v>
      </c>
      <c r="D349" s="1" t="s">
        <v>2447</v>
      </c>
      <c r="E349" s="1" t="s">
        <v>865</v>
      </c>
      <c r="F349" s="67" t="s">
        <v>892</v>
      </c>
      <c r="G349" s="24" t="s">
        <v>1360</v>
      </c>
      <c r="H349" s="24">
        <v>56</v>
      </c>
      <c r="I349" s="25">
        <v>1</v>
      </c>
      <c r="J349" s="56">
        <v>2800</v>
      </c>
      <c r="K349" s="15">
        <v>1200</v>
      </c>
      <c r="L349" s="24" t="s">
        <v>2023</v>
      </c>
      <c r="M349" s="24" t="s">
        <v>2014</v>
      </c>
      <c r="N349" s="1" t="s">
        <v>2013</v>
      </c>
      <c r="O349" s="15" t="s">
        <v>2763</v>
      </c>
      <c r="P349" s="15" t="s">
        <v>2442</v>
      </c>
      <c r="Q349" s="25" t="s">
        <v>2089</v>
      </c>
      <c r="R349" s="25" t="s">
        <v>2435</v>
      </c>
      <c r="S349" s="73" t="s">
        <v>2310</v>
      </c>
    </row>
    <row r="350" spans="1:19" x14ac:dyDescent="0.2">
      <c r="A350" s="1">
        <v>348</v>
      </c>
      <c r="B350" s="1" t="s">
        <v>63</v>
      </c>
      <c r="C350" s="1" t="s">
        <v>2446</v>
      </c>
      <c r="D350" s="1" t="s">
        <v>2448</v>
      </c>
      <c r="E350" s="1" t="s">
        <v>828</v>
      </c>
      <c r="F350" s="67" t="s">
        <v>876</v>
      </c>
      <c r="G350" s="24" t="s">
        <v>1361</v>
      </c>
      <c r="H350" s="24">
        <v>42</v>
      </c>
      <c r="I350" s="25">
        <v>5</v>
      </c>
      <c r="J350" s="56">
        <v>6260</v>
      </c>
      <c r="K350" s="15">
        <v>3760</v>
      </c>
      <c r="L350" s="24" t="s">
        <v>2049</v>
      </c>
      <c r="M350" s="24" t="s">
        <v>2016</v>
      </c>
      <c r="N350" s="1" t="s">
        <v>2013</v>
      </c>
      <c r="O350" s="15" t="s">
        <v>2082</v>
      </c>
      <c r="P350" s="15" t="s">
        <v>2442</v>
      </c>
      <c r="Q350" s="25" t="s">
        <v>2086</v>
      </c>
      <c r="R350" s="25" t="s">
        <v>2434</v>
      </c>
      <c r="S350" s="73" t="s">
        <v>2273</v>
      </c>
    </row>
    <row r="351" spans="1:19" x14ac:dyDescent="0.2">
      <c r="A351" s="1">
        <v>349</v>
      </c>
      <c r="B351" s="1" t="s">
        <v>64</v>
      </c>
      <c r="C351" s="1" t="s">
        <v>2446</v>
      </c>
      <c r="D351" s="1" t="s">
        <v>2524</v>
      </c>
      <c r="E351" s="1" t="s">
        <v>823</v>
      </c>
      <c r="F351" s="67" t="s">
        <v>885</v>
      </c>
      <c r="G351" s="24" t="s">
        <v>1362</v>
      </c>
      <c r="H351" s="24">
        <v>34</v>
      </c>
      <c r="I351" s="25">
        <v>3</v>
      </c>
      <c r="J351" s="56">
        <v>1930</v>
      </c>
      <c r="K351" s="15">
        <v>1180</v>
      </c>
      <c r="L351" s="24" t="s">
        <v>2048</v>
      </c>
      <c r="M351" s="24" t="s">
        <v>2014</v>
      </c>
      <c r="N351" s="1" t="s">
        <v>2013</v>
      </c>
      <c r="O351" s="15" t="s">
        <v>2082</v>
      </c>
      <c r="P351" s="15" t="s">
        <v>2442</v>
      </c>
      <c r="Q351" s="25" t="s">
        <v>2084</v>
      </c>
      <c r="R351" s="25" t="s">
        <v>2436</v>
      </c>
      <c r="S351" s="73" t="s">
        <v>2291</v>
      </c>
    </row>
    <row r="352" spans="1:19" x14ac:dyDescent="0.2">
      <c r="A352" s="1">
        <v>350</v>
      </c>
      <c r="B352" s="1" t="s">
        <v>65</v>
      </c>
      <c r="C352" s="1" t="s">
        <v>2446</v>
      </c>
      <c r="D352" s="1" t="s">
        <v>2449</v>
      </c>
      <c r="E352" s="1" t="s">
        <v>863</v>
      </c>
      <c r="F352" s="67" t="s">
        <v>893</v>
      </c>
      <c r="G352" s="24" t="s">
        <v>1363</v>
      </c>
      <c r="H352" s="24">
        <v>23</v>
      </c>
      <c r="I352" s="25">
        <v>2</v>
      </c>
      <c r="J352" s="56">
        <v>5020</v>
      </c>
      <c r="K352" s="15">
        <v>2400</v>
      </c>
      <c r="L352" s="24" t="s">
        <v>2029</v>
      </c>
      <c r="M352" s="24" t="s">
        <v>2016</v>
      </c>
      <c r="N352" s="1" t="s">
        <v>2013</v>
      </c>
      <c r="O352" s="15" t="s">
        <v>2082</v>
      </c>
      <c r="P352" s="15" t="s">
        <v>2442</v>
      </c>
      <c r="Q352" s="25" t="s">
        <v>2084</v>
      </c>
      <c r="R352" s="25" t="s">
        <v>2437</v>
      </c>
      <c r="S352" s="73" t="s">
        <v>2287</v>
      </c>
    </row>
    <row r="353" spans="1:19" x14ac:dyDescent="0.2">
      <c r="A353" s="1">
        <v>351</v>
      </c>
      <c r="B353" s="1" t="s">
        <v>66</v>
      </c>
      <c r="C353" s="1" t="s">
        <v>2446</v>
      </c>
      <c r="D353" s="1" t="s">
        <v>2525</v>
      </c>
      <c r="E353" s="1" t="s">
        <v>864</v>
      </c>
      <c r="F353" s="67" t="s">
        <v>894</v>
      </c>
      <c r="G353" s="24" t="s">
        <v>1364</v>
      </c>
      <c r="H353" s="24">
        <v>56</v>
      </c>
      <c r="I353" s="25">
        <v>4</v>
      </c>
      <c r="J353" s="56">
        <v>3980</v>
      </c>
      <c r="K353" s="15">
        <v>2810</v>
      </c>
      <c r="L353" s="24" t="s">
        <v>2060</v>
      </c>
      <c r="M353" s="24" t="s">
        <v>2024</v>
      </c>
      <c r="N353" s="1" t="s">
        <v>2013</v>
      </c>
      <c r="O353" s="15" t="s">
        <v>2082</v>
      </c>
      <c r="P353" s="15" t="s">
        <v>2442</v>
      </c>
      <c r="Q353" s="25" t="s">
        <v>2090</v>
      </c>
      <c r="R353" s="25" t="s">
        <v>2435</v>
      </c>
      <c r="S353" s="73" t="s">
        <v>2238</v>
      </c>
    </row>
    <row r="354" spans="1:19" x14ac:dyDescent="0.2">
      <c r="A354" s="1">
        <v>352</v>
      </c>
      <c r="B354" s="1" t="s">
        <v>67</v>
      </c>
      <c r="C354" s="1" t="s">
        <v>2446</v>
      </c>
      <c r="D354" s="1" t="s">
        <v>2450</v>
      </c>
      <c r="E354" s="1" t="s">
        <v>2764</v>
      </c>
      <c r="F354" s="67" t="s">
        <v>882</v>
      </c>
      <c r="G354" s="24" t="s">
        <v>1365</v>
      </c>
      <c r="H354" s="24">
        <v>24</v>
      </c>
      <c r="I354" s="25">
        <v>1</v>
      </c>
      <c r="J354" s="56">
        <v>2990</v>
      </c>
      <c r="K354" s="15">
        <v>1660</v>
      </c>
      <c r="L354" s="24" t="s">
        <v>2037</v>
      </c>
      <c r="M354" s="24" t="s">
        <v>2014</v>
      </c>
      <c r="N354" s="1" t="s">
        <v>2013</v>
      </c>
      <c r="O354" s="15" t="s">
        <v>2082</v>
      </c>
      <c r="P354" s="15" t="s">
        <v>2442</v>
      </c>
      <c r="Q354" s="25" t="s">
        <v>2083</v>
      </c>
      <c r="R354" s="25" t="s">
        <v>2436</v>
      </c>
      <c r="S354" s="73" t="s">
        <v>2311</v>
      </c>
    </row>
    <row r="355" spans="1:19" x14ac:dyDescent="0.2">
      <c r="A355" s="1">
        <v>353</v>
      </c>
      <c r="B355" s="1" t="s">
        <v>68</v>
      </c>
      <c r="C355" s="1" t="s">
        <v>2446</v>
      </c>
      <c r="D355" s="1" t="s">
        <v>2451</v>
      </c>
      <c r="E355" s="1" t="s">
        <v>822</v>
      </c>
      <c r="F355" s="66" t="s">
        <v>953</v>
      </c>
      <c r="G355" s="24" t="s">
        <v>1366</v>
      </c>
      <c r="H355" s="24">
        <v>64</v>
      </c>
      <c r="I355" s="25">
        <v>5</v>
      </c>
      <c r="J355" s="56">
        <v>3280</v>
      </c>
      <c r="K355" s="15">
        <v>1300</v>
      </c>
      <c r="L355" s="24" t="s">
        <v>2031</v>
      </c>
      <c r="M355" s="24" t="s">
        <v>2016</v>
      </c>
      <c r="N355" s="1" t="s">
        <v>2013</v>
      </c>
      <c r="O355" s="15" t="s">
        <v>2082</v>
      </c>
      <c r="P355" s="15" t="s">
        <v>2442</v>
      </c>
      <c r="Q355" s="25" t="s">
        <v>2084</v>
      </c>
      <c r="R355" s="25" t="s">
        <v>2434</v>
      </c>
      <c r="S355" s="73" t="s">
        <v>2093</v>
      </c>
    </row>
    <row r="356" spans="1:19" x14ac:dyDescent="0.2">
      <c r="A356" s="1">
        <v>354</v>
      </c>
      <c r="B356" s="1" t="s">
        <v>1</v>
      </c>
      <c r="C356" s="1" t="s">
        <v>2445</v>
      </c>
      <c r="D356" s="1" t="s">
        <v>869</v>
      </c>
      <c r="E356" s="1" t="s">
        <v>817</v>
      </c>
      <c r="F356" s="66" t="s">
        <v>954</v>
      </c>
      <c r="G356" s="24" t="s">
        <v>1367</v>
      </c>
      <c r="H356" s="24">
        <v>64</v>
      </c>
      <c r="I356" s="25">
        <v>2</v>
      </c>
      <c r="J356" s="56">
        <v>1090</v>
      </c>
      <c r="K356" s="15">
        <v>610</v>
      </c>
      <c r="L356" s="24" t="s">
        <v>2055</v>
      </c>
      <c r="M356" s="24" t="s">
        <v>2014</v>
      </c>
      <c r="N356" s="1" t="s">
        <v>2013</v>
      </c>
      <c r="O356" s="15" t="s">
        <v>2082</v>
      </c>
      <c r="P356" s="15" t="s">
        <v>2442</v>
      </c>
      <c r="Q356" s="25" t="s">
        <v>2090</v>
      </c>
      <c r="R356" s="25" t="s">
        <v>2437</v>
      </c>
      <c r="S356" s="73" t="s">
        <v>2312</v>
      </c>
    </row>
    <row r="357" spans="1:19" x14ac:dyDescent="0.2">
      <c r="A357" s="1">
        <v>355</v>
      </c>
      <c r="B357" s="1" t="s">
        <v>2</v>
      </c>
      <c r="C357" s="1" t="s">
        <v>2445</v>
      </c>
      <c r="D357" s="1" t="s">
        <v>869</v>
      </c>
      <c r="E357" s="1" t="s">
        <v>863</v>
      </c>
      <c r="F357" s="66" t="s">
        <v>955</v>
      </c>
      <c r="G357" s="24" t="s">
        <v>1368</v>
      </c>
      <c r="H357" s="24">
        <v>23</v>
      </c>
      <c r="I357" s="25">
        <v>3</v>
      </c>
      <c r="J357" s="56">
        <v>2180</v>
      </c>
      <c r="K357" s="15">
        <v>1200</v>
      </c>
      <c r="L357" s="24" t="s">
        <v>2041</v>
      </c>
      <c r="M357" s="24" t="s">
        <v>2014</v>
      </c>
      <c r="N357" s="1" t="s">
        <v>2013</v>
      </c>
      <c r="O357" s="15" t="s">
        <v>2082</v>
      </c>
      <c r="P357" s="15" t="s">
        <v>2442</v>
      </c>
      <c r="Q357" s="25" t="s">
        <v>2087</v>
      </c>
      <c r="R357" s="25" t="s">
        <v>2435</v>
      </c>
      <c r="S357" s="73" t="s">
        <v>2294</v>
      </c>
    </row>
    <row r="358" spans="1:19" x14ac:dyDescent="0.2">
      <c r="A358" s="1">
        <v>356</v>
      </c>
      <c r="B358" s="1" t="s">
        <v>1</v>
      </c>
      <c r="C358" s="1" t="s">
        <v>2445</v>
      </c>
      <c r="D358" s="1" t="s">
        <v>869</v>
      </c>
      <c r="E358" s="1" t="s">
        <v>864</v>
      </c>
      <c r="F358" s="66" t="s">
        <v>956</v>
      </c>
      <c r="G358" s="24" t="s">
        <v>1369</v>
      </c>
      <c r="H358" s="24">
        <v>19</v>
      </c>
      <c r="I358" s="25">
        <v>4</v>
      </c>
      <c r="J358" s="56">
        <v>890</v>
      </c>
      <c r="K358" s="15">
        <v>450</v>
      </c>
      <c r="L358" s="24" t="s">
        <v>2034</v>
      </c>
      <c r="M358" s="24" t="s">
        <v>2016</v>
      </c>
      <c r="N358" s="1" t="s">
        <v>2013</v>
      </c>
      <c r="O358" s="15" t="s">
        <v>2082</v>
      </c>
      <c r="P358" s="15" t="s">
        <v>2442</v>
      </c>
      <c r="Q358" s="25" t="s">
        <v>2086</v>
      </c>
      <c r="R358" s="25" t="s">
        <v>2434</v>
      </c>
      <c r="S358" s="73" t="s">
        <v>2134</v>
      </c>
    </row>
    <row r="359" spans="1:19" x14ac:dyDescent="0.2">
      <c r="A359" s="1">
        <v>357</v>
      </c>
      <c r="B359" s="1" t="s">
        <v>69</v>
      </c>
      <c r="C359" s="1" t="s">
        <v>2446</v>
      </c>
      <c r="D359" s="1" t="s">
        <v>2452</v>
      </c>
      <c r="E359" s="1" t="s">
        <v>822</v>
      </c>
      <c r="F359" s="66" t="s">
        <v>893</v>
      </c>
      <c r="G359" s="24" t="s">
        <v>1370</v>
      </c>
      <c r="H359" s="24">
        <v>21</v>
      </c>
      <c r="I359" s="25">
        <v>5</v>
      </c>
      <c r="J359" s="56">
        <v>2410</v>
      </c>
      <c r="K359" s="15">
        <v>960</v>
      </c>
      <c r="L359" s="24" t="s">
        <v>2030</v>
      </c>
      <c r="M359" s="24" t="s">
        <v>2024</v>
      </c>
      <c r="N359" s="1" t="s">
        <v>2013</v>
      </c>
      <c r="O359" s="15" t="s">
        <v>2082</v>
      </c>
      <c r="P359" s="15" t="s">
        <v>2442</v>
      </c>
      <c r="Q359" s="25" t="s">
        <v>2083</v>
      </c>
      <c r="R359" s="25" t="s">
        <v>2436</v>
      </c>
      <c r="S359" s="73" t="s">
        <v>2171</v>
      </c>
    </row>
    <row r="360" spans="1:19" x14ac:dyDescent="0.2">
      <c r="A360" s="1">
        <v>358</v>
      </c>
      <c r="B360" s="1" t="s">
        <v>2</v>
      </c>
      <c r="C360" s="1" t="s">
        <v>2445</v>
      </c>
      <c r="D360" s="1" t="s">
        <v>869</v>
      </c>
      <c r="E360" s="1" t="s">
        <v>823</v>
      </c>
      <c r="F360" s="66" t="s">
        <v>957</v>
      </c>
      <c r="G360" s="24" t="s">
        <v>1371</v>
      </c>
      <c r="H360" s="24">
        <v>56</v>
      </c>
      <c r="I360" s="25">
        <v>2</v>
      </c>
      <c r="J360" s="56">
        <v>1090</v>
      </c>
      <c r="K360" s="15">
        <v>600</v>
      </c>
      <c r="L360" s="24" t="s">
        <v>2023</v>
      </c>
      <c r="M360" s="24" t="s">
        <v>2014</v>
      </c>
      <c r="N360" s="1" t="s">
        <v>2013</v>
      </c>
      <c r="O360" s="15" t="s">
        <v>2082</v>
      </c>
      <c r="P360" s="15" t="s">
        <v>2442</v>
      </c>
      <c r="Q360" s="25" t="s">
        <v>2089</v>
      </c>
      <c r="R360" s="25" t="s">
        <v>2437</v>
      </c>
      <c r="S360" s="73" t="s">
        <v>2313</v>
      </c>
    </row>
    <row r="361" spans="1:19" x14ac:dyDescent="0.2">
      <c r="A361" s="1">
        <v>359</v>
      </c>
      <c r="B361" s="1" t="s">
        <v>17</v>
      </c>
      <c r="C361" s="1" t="s">
        <v>2445</v>
      </c>
      <c r="D361" s="1" t="s">
        <v>869</v>
      </c>
      <c r="E361" s="1" t="s">
        <v>828</v>
      </c>
      <c r="F361" s="66" t="s">
        <v>958</v>
      </c>
      <c r="G361" s="24" t="s">
        <v>1372</v>
      </c>
      <c r="H361" s="24">
        <v>34</v>
      </c>
      <c r="I361" s="25">
        <v>3</v>
      </c>
      <c r="J361" s="56">
        <v>1565</v>
      </c>
      <c r="K361" s="15">
        <v>1000</v>
      </c>
      <c r="L361" s="24" t="s">
        <v>2051</v>
      </c>
      <c r="M361" s="24" t="s">
        <v>2020</v>
      </c>
      <c r="N361" s="1" t="s">
        <v>2013</v>
      </c>
      <c r="O361" s="15" t="s">
        <v>2082</v>
      </c>
      <c r="P361" s="15" t="s">
        <v>2442</v>
      </c>
      <c r="Q361" s="25" t="s">
        <v>2089</v>
      </c>
      <c r="R361" s="25" t="s">
        <v>2435</v>
      </c>
      <c r="S361" s="73" t="s">
        <v>2312</v>
      </c>
    </row>
    <row r="362" spans="1:19" x14ac:dyDescent="0.2">
      <c r="A362" s="1">
        <v>360</v>
      </c>
      <c r="B362" s="1" t="s">
        <v>17</v>
      </c>
      <c r="C362" s="1" t="s">
        <v>2445</v>
      </c>
      <c r="D362" s="1" t="s">
        <v>869</v>
      </c>
      <c r="E362" s="1" t="s">
        <v>863</v>
      </c>
      <c r="F362" s="66" t="s">
        <v>881</v>
      </c>
      <c r="G362" s="24" t="s">
        <v>1373</v>
      </c>
      <c r="H362" s="24">
        <v>64</v>
      </c>
      <c r="I362" s="25">
        <v>4</v>
      </c>
      <c r="J362" s="56">
        <v>1565</v>
      </c>
      <c r="K362" s="15">
        <v>1000</v>
      </c>
      <c r="L362" s="24" t="s">
        <v>2030</v>
      </c>
      <c r="M362" s="24" t="s">
        <v>2024</v>
      </c>
      <c r="N362" s="1" t="s">
        <v>2013</v>
      </c>
      <c r="O362" s="15" t="s">
        <v>2082</v>
      </c>
      <c r="P362" s="15" t="s">
        <v>2442</v>
      </c>
      <c r="Q362" s="25" t="s">
        <v>2086</v>
      </c>
      <c r="R362" s="25" t="s">
        <v>2436</v>
      </c>
      <c r="S362" s="73" t="s">
        <v>2147</v>
      </c>
    </row>
    <row r="363" spans="1:19" x14ac:dyDescent="0.2">
      <c r="A363" s="1">
        <v>361</v>
      </c>
      <c r="B363" s="1" t="s">
        <v>70</v>
      </c>
      <c r="C363" s="1" t="s">
        <v>2446</v>
      </c>
      <c r="D363" s="1" t="s">
        <v>2526</v>
      </c>
      <c r="E363" s="1" t="s">
        <v>863</v>
      </c>
      <c r="F363" s="66" t="s">
        <v>883</v>
      </c>
      <c r="G363" s="24" t="s">
        <v>1374</v>
      </c>
      <c r="H363" s="24">
        <v>78</v>
      </c>
      <c r="I363" s="25">
        <v>3</v>
      </c>
      <c r="J363" s="56">
        <v>5860</v>
      </c>
      <c r="K363" s="15">
        <v>2540</v>
      </c>
      <c r="L363" s="24" t="s">
        <v>2017</v>
      </c>
      <c r="M363" s="24" t="s">
        <v>2016</v>
      </c>
      <c r="N363" s="1" t="s">
        <v>2013</v>
      </c>
      <c r="O363" s="15" t="s">
        <v>2082</v>
      </c>
      <c r="P363" s="15" t="s">
        <v>2442</v>
      </c>
      <c r="Q363" s="25" t="s">
        <v>2090</v>
      </c>
      <c r="R363" s="25" t="s">
        <v>2434</v>
      </c>
      <c r="S363" s="73" t="s">
        <v>2286</v>
      </c>
    </row>
    <row r="364" spans="1:19" x14ac:dyDescent="0.2">
      <c r="A364" s="1">
        <v>362</v>
      </c>
      <c r="B364" s="1" t="s">
        <v>71</v>
      </c>
      <c r="C364" s="1" t="s">
        <v>2446</v>
      </c>
      <c r="D364" s="1" t="s">
        <v>2527</v>
      </c>
      <c r="E364" s="1" t="s">
        <v>822</v>
      </c>
      <c r="F364" s="66" t="s">
        <v>884</v>
      </c>
      <c r="G364" s="24" t="s">
        <v>1375</v>
      </c>
      <c r="H364" s="24">
        <v>54</v>
      </c>
      <c r="I364" s="25">
        <v>1</v>
      </c>
      <c r="J364" s="56">
        <v>0</v>
      </c>
      <c r="K364" s="15">
        <v>0</v>
      </c>
      <c r="L364" s="24" t="s">
        <v>2055</v>
      </c>
      <c r="M364" s="24" t="s">
        <v>2014</v>
      </c>
      <c r="N364" s="1" t="s">
        <v>2013</v>
      </c>
      <c r="O364" s="15" t="s">
        <v>2082</v>
      </c>
      <c r="P364" s="15" t="s">
        <v>2442</v>
      </c>
      <c r="Q364" s="25" t="s">
        <v>2083</v>
      </c>
      <c r="R364" s="25" t="s">
        <v>2437</v>
      </c>
      <c r="S364" s="73" t="s">
        <v>2314</v>
      </c>
    </row>
    <row r="365" spans="1:19" x14ac:dyDescent="0.2">
      <c r="A365" s="1">
        <v>363</v>
      </c>
      <c r="B365" s="1" t="s">
        <v>285</v>
      </c>
      <c r="C365" s="1" t="s">
        <v>2446</v>
      </c>
      <c r="D365" s="1" t="s">
        <v>2528</v>
      </c>
      <c r="E365" s="1" t="s">
        <v>864</v>
      </c>
      <c r="F365" s="66" t="s">
        <v>936</v>
      </c>
      <c r="G365" s="24" t="s">
        <v>1376</v>
      </c>
      <c r="H365" s="24">
        <v>32</v>
      </c>
      <c r="I365" s="25">
        <v>4</v>
      </c>
      <c r="J365" s="56">
        <v>23720</v>
      </c>
      <c r="K365" s="15">
        <v>13900</v>
      </c>
      <c r="L365" s="24" t="s">
        <v>2030</v>
      </c>
      <c r="M365" s="24" t="s">
        <v>2024</v>
      </c>
      <c r="N365" s="1" t="s">
        <v>2013</v>
      </c>
      <c r="O365" s="15" t="s">
        <v>2082</v>
      </c>
      <c r="P365" s="15" t="s">
        <v>2442</v>
      </c>
      <c r="Q365" s="25" t="s">
        <v>2087</v>
      </c>
      <c r="R365" s="25" t="s">
        <v>2435</v>
      </c>
      <c r="S365" s="73" t="s">
        <v>2315</v>
      </c>
    </row>
    <row r="366" spans="1:19" x14ac:dyDescent="0.2">
      <c r="A366" s="1">
        <v>364</v>
      </c>
      <c r="B366" s="1" t="s">
        <v>72</v>
      </c>
      <c r="C366" s="1" t="s">
        <v>2446</v>
      </c>
      <c r="D366" s="1" t="s">
        <v>2529</v>
      </c>
      <c r="E366" s="1" t="s">
        <v>822</v>
      </c>
      <c r="F366" s="66" t="s">
        <v>937</v>
      </c>
      <c r="G366" s="24" t="s">
        <v>1377</v>
      </c>
      <c r="H366" s="16">
        <v>55</v>
      </c>
      <c r="I366" s="25">
        <v>5</v>
      </c>
      <c r="J366" s="56">
        <v>6260</v>
      </c>
      <c r="K366" s="15">
        <f>3040+310</f>
        <v>3350</v>
      </c>
      <c r="L366" s="24" t="s">
        <v>2040</v>
      </c>
      <c r="M366" s="24" t="s">
        <v>2020</v>
      </c>
      <c r="N366" s="1" t="s">
        <v>2013</v>
      </c>
      <c r="O366" s="15" t="s">
        <v>2082</v>
      </c>
      <c r="P366" s="15" t="s">
        <v>2442</v>
      </c>
      <c r="Q366" s="25" t="s">
        <v>2085</v>
      </c>
      <c r="R366" s="25" t="s">
        <v>2434</v>
      </c>
      <c r="S366" s="73" t="s">
        <v>2130</v>
      </c>
    </row>
    <row r="367" spans="1:19" x14ac:dyDescent="0.2">
      <c r="A367" s="1">
        <v>365</v>
      </c>
      <c r="B367" s="1" t="s">
        <v>73</v>
      </c>
      <c r="C367" s="1" t="s">
        <v>2446</v>
      </c>
      <c r="D367" s="1" t="s">
        <v>2453</v>
      </c>
      <c r="E367" s="1" t="s">
        <v>828</v>
      </c>
      <c r="F367" s="66" t="s">
        <v>938</v>
      </c>
      <c r="G367" s="24" t="s">
        <v>1378</v>
      </c>
      <c r="H367" s="16">
        <v>36</v>
      </c>
      <c r="I367" s="25">
        <v>3</v>
      </c>
      <c r="J367" s="56">
        <v>4990</v>
      </c>
      <c r="K367" s="15">
        <f>2180+310</f>
        <v>2490</v>
      </c>
      <c r="L367" s="24" t="s">
        <v>2029</v>
      </c>
      <c r="M367" s="24" t="s">
        <v>2016</v>
      </c>
      <c r="N367" s="1" t="s">
        <v>2013</v>
      </c>
      <c r="O367" s="15" t="s">
        <v>2763</v>
      </c>
      <c r="P367" s="15" t="s">
        <v>2442</v>
      </c>
      <c r="Q367" s="25" t="s">
        <v>2085</v>
      </c>
      <c r="R367" s="25" t="s">
        <v>2436</v>
      </c>
      <c r="S367" s="73" t="s">
        <v>2124</v>
      </c>
    </row>
    <row r="368" spans="1:19" x14ac:dyDescent="0.2">
      <c r="A368" s="1">
        <v>366</v>
      </c>
      <c r="B368" s="1" t="s">
        <v>39</v>
      </c>
      <c r="C368" s="1" t="s">
        <v>2446</v>
      </c>
      <c r="D368" s="1" t="s">
        <v>2454</v>
      </c>
      <c r="E368" s="1" t="s">
        <v>2765</v>
      </c>
      <c r="F368" s="66" t="s">
        <v>876</v>
      </c>
      <c r="G368" s="24" t="s">
        <v>1379</v>
      </c>
      <c r="H368" s="16">
        <v>28</v>
      </c>
      <c r="I368" s="25">
        <v>2</v>
      </c>
      <c r="J368" s="56">
        <v>2265</v>
      </c>
      <c r="K368" s="15">
        <v>690</v>
      </c>
      <c r="L368" s="24" t="s">
        <v>2015</v>
      </c>
      <c r="M368" s="24" t="s">
        <v>2014</v>
      </c>
      <c r="N368" s="1" t="s">
        <v>2013</v>
      </c>
      <c r="O368" s="15" t="s">
        <v>2082</v>
      </c>
      <c r="P368" s="15" t="s">
        <v>2442</v>
      </c>
      <c r="Q368" s="25" t="s">
        <v>2088</v>
      </c>
      <c r="R368" s="25" t="s">
        <v>2437</v>
      </c>
      <c r="S368" s="73" t="s">
        <v>2160</v>
      </c>
    </row>
    <row r="369" spans="1:19" x14ac:dyDescent="0.2">
      <c r="A369" s="1">
        <v>367</v>
      </c>
      <c r="B369" s="1" t="s">
        <v>74</v>
      </c>
      <c r="C369" s="1" t="s">
        <v>2446</v>
      </c>
      <c r="D369" s="1" t="s">
        <v>2530</v>
      </c>
      <c r="E369" s="1" t="s">
        <v>822</v>
      </c>
      <c r="F369" s="66" t="s">
        <v>939</v>
      </c>
      <c r="G369" s="24" t="s">
        <v>1380</v>
      </c>
      <c r="H369" s="16">
        <v>50</v>
      </c>
      <c r="I369" s="25">
        <v>4</v>
      </c>
      <c r="J369" s="56">
        <v>2580</v>
      </c>
      <c r="K369" s="15">
        <f>1020+150</f>
        <v>1170</v>
      </c>
      <c r="L369" s="24" t="s">
        <v>2054</v>
      </c>
      <c r="M369" s="24" t="s">
        <v>2016</v>
      </c>
      <c r="N369" s="1" t="s">
        <v>2013</v>
      </c>
      <c r="O369" s="15" t="s">
        <v>2082</v>
      </c>
      <c r="P369" s="15" t="s">
        <v>2442</v>
      </c>
      <c r="Q369" s="25" t="s">
        <v>2084</v>
      </c>
      <c r="R369" s="25" t="s">
        <v>2435</v>
      </c>
      <c r="S369" s="73" t="s">
        <v>2120</v>
      </c>
    </row>
    <row r="370" spans="1:19" x14ac:dyDescent="0.2">
      <c r="A370" s="1">
        <v>368</v>
      </c>
      <c r="B370" s="1" t="s">
        <v>75</v>
      </c>
      <c r="C370" s="1" t="s">
        <v>2446</v>
      </c>
      <c r="D370" s="1" t="s">
        <v>2531</v>
      </c>
      <c r="E370" s="1" t="s">
        <v>863</v>
      </c>
      <c r="F370" s="66" t="s">
        <v>940</v>
      </c>
      <c r="G370" s="24" t="s">
        <v>1381</v>
      </c>
      <c r="H370" s="16">
        <v>39</v>
      </c>
      <c r="I370" s="25">
        <v>1</v>
      </c>
      <c r="J370" s="56">
        <v>2440</v>
      </c>
      <c r="K370" s="15">
        <f>1180+150</f>
        <v>1330</v>
      </c>
      <c r="L370" s="24" t="s">
        <v>2017</v>
      </c>
      <c r="M370" s="24" t="s">
        <v>2016</v>
      </c>
      <c r="N370" s="1" t="s">
        <v>2013</v>
      </c>
      <c r="O370" s="15" t="s">
        <v>2082</v>
      </c>
      <c r="P370" s="15" t="s">
        <v>2442</v>
      </c>
      <c r="Q370" s="25" t="s">
        <v>2090</v>
      </c>
      <c r="R370" s="25" t="s">
        <v>2436</v>
      </c>
      <c r="S370" s="73" t="s">
        <v>2316</v>
      </c>
    </row>
    <row r="371" spans="1:19" x14ac:dyDescent="0.2">
      <c r="A371" s="1">
        <v>369</v>
      </c>
      <c r="B371" s="1" t="s">
        <v>20</v>
      </c>
      <c r="C371" s="1" t="s">
        <v>2446</v>
      </c>
      <c r="D371" s="11" t="s">
        <v>2532</v>
      </c>
      <c r="E371" s="1" t="s">
        <v>864</v>
      </c>
      <c r="F371" s="66" t="s">
        <v>25</v>
      </c>
      <c r="G371" s="24" t="s">
        <v>1382</v>
      </c>
      <c r="H371" s="16">
        <v>31</v>
      </c>
      <c r="I371" s="25">
        <v>5</v>
      </c>
      <c r="J371" s="56">
        <v>1000</v>
      </c>
      <c r="K371" s="15">
        <v>400</v>
      </c>
      <c r="L371" s="24" t="s">
        <v>2026</v>
      </c>
      <c r="M371" s="24" t="s">
        <v>2014</v>
      </c>
      <c r="N371" s="1" t="s">
        <v>2013</v>
      </c>
      <c r="O371" s="15" t="s">
        <v>2082</v>
      </c>
      <c r="P371" s="15" t="s">
        <v>2442</v>
      </c>
      <c r="Q371" s="25" t="s">
        <v>2089</v>
      </c>
      <c r="R371" s="25" t="s">
        <v>2434</v>
      </c>
      <c r="S371" s="73" t="s">
        <v>2317</v>
      </c>
    </row>
    <row r="372" spans="1:19" x14ac:dyDescent="0.2">
      <c r="A372" s="1">
        <v>370</v>
      </c>
      <c r="B372" s="1" t="s">
        <v>77</v>
      </c>
      <c r="C372" s="1" t="s">
        <v>2446</v>
      </c>
      <c r="D372" s="11" t="s">
        <v>76</v>
      </c>
      <c r="E372" s="1" t="s">
        <v>863</v>
      </c>
      <c r="F372" s="66" t="s">
        <v>941</v>
      </c>
      <c r="G372" s="24" t="s">
        <v>1383</v>
      </c>
      <c r="H372" s="16">
        <v>44</v>
      </c>
      <c r="I372" s="25">
        <v>2</v>
      </c>
      <c r="J372" s="56">
        <v>2560</v>
      </c>
      <c r="K372" s="15">
        <v>1100</v>
      </c>
      <c r="L372" s="24" t="s">
        <v>2018</v>
      </c>
      <c r="M372" s="24" t="s">
        <v>2020</v>
      </c>
      <c r="N372" s="1" t="s">
        <v>2013</v>
      </c>
      <c r="O372" s="15" t="s">
        <v>2082</v>
      </c>
      <c r="P372" s="15" t="s">
        <v>2442</v>
      </c>
      <c r="Q372" s="25" t="s">
        <v>2083</v>
      </c>
      <c r="R372" s="25" t="s">
        <v>2437</v>
      </c>
      <c r="S372" s="73" t="s">
        <v>2318</v>
      </c>
    </row>
    <row r="373" spans="1:19" x14ac:dyDescent="0.2">
      <c r="A373" s="1">
        <v>371</v>
      </c>
      <c r="B373" s="1" t="s">
        <v>79</v>
      </c>
      <c r="C373" s="1" t="s">
        <v>2446</v>
      </c>
      <c r="D373" s="11" t="s">
        <v>78</v>
      </c>
      <c r="E373" s="1" t="s">
        <v>864</v>
      </c>
      <c r="F373" s="66" t="s">
        <v>888</v>
      </c>
      <c r="G373" s="24" t="s">
        <v>1384</v>
      </c>
      <c r="H373" s="16">
        <v>26</v>
      </c>
      <c r="I373" s="25">
        <v>3</v>
      </c>
      <c r="J373" s="56">
        <v>2480</v>
      </c>
      <c r="K373" s="15">
        <v>1080</v>
      </c>
      <c r="L373" s="24" t="s">
        <v>2054</v>
      </c>
      <c r="M373" s="24" t="s">
        <v>2016</v>
      </c>
      <c r="N373" s="1" t="s">
        <v>2013</v>
      </c>
      <c r="O373" s="15" t="s">
        <v>2082</v>
      </c>
      <c r="P373" s="15" t="s">
        <v>2442</v>
      </c>
      <c r="Q373" s="25" t="s">
        <v>2085</v>
      </c>
      <c r="R373" s="25" t="s">
        <v>2435</v>
      </c>
      <c r="S373" s="73" t="s">
        <v>2254</v>
      </c>
    </row>
    <row r="374" spans="1:19" x14ac:dyDescent="0.2">
      <c r="A374" s="1">
        <v>372</v>
      </c>
      <c r="B374" s="1" t="s">
        <v>81</v>
      </c>
      <c r="C374" s="1" t="s">
        <v>2446</v>
      </c>
      <c r="D374" s="11" t="s">
        <v>80</v>
      </c>
      <c r="E374" s="1" t="s">
        <v>822</v>
      </c>
      <c r="F374" s="66" t="s">
        <v>887</v>
      </c>
      <c r="G374" s="24" t="s">
        <v>1385</v>
      </c>
      <c r="H374" s="16">
        <v>48</v>
      </c>
      <c r="I374" s="25">
        <v>4</v>
      </c>
      <c r="J374" s="56">
        <v>1280</v>
      </c>
      <c r="K374" s="15">
        <v>560</v>
      </c>
      <c r="L374" s="24" t="s">
        <v>2034</v>
      </c>
      <c r="M374" s="24" t="s">
        <v>2016</v>
      </c>
      <c r="N374" s="1" t="s">
        <v>2013</v>
      </c>
      <c r="O374" s="15" t="s">
        <v>2082</v>
      </c>
      <c r="P374" s="15" t="s">
        <v>2442</v>
      </c>
      <c r="Q374" s="25" t="s">
        <v>2088</v>
      </c>
      <c r="R374" s="25" t="s">
        <v>2434</v>
      </c>
      <c r="S374" s="73" t="s">
        <v>2290</v>
      </c>
    </row>
    <row r="375" spans="1:19" x14ac:dyDescent="0.2">
      <c r="A375" s="1">
        <v>373</v>
      </c>
      <c r="B375" s="1" t="s">
        <v>1</v>
      </c>
      <c r="C375" s="1" t="s">
        <v>2446</v>
      </c>
      <c r="D375" s="1" t="s">
        <v>82</v>
      </c>
      <c r="E375" s="1" t="s">
        <v>2766</v>
      </c>
      <c r="F375" s="66" t="s">
        <v>901</v>
      </c>
      <c r="G375" s="24" t="s">
        <v>1386</v>
      </c>
      <c r="H375" s="16">
        <v>53</v>
      </c>
      <c r="I375" s="25">
        <v>1</v>
      </c>
      <c r="J375" s="56">
        <v>890</v>
      </c>
      <c r="K375" s="15">
        <v>400</v>
      </c>
      <c r="L375" s="24" t="s">
        <v>2054</v>
      </c>
      <c r="M375" s="24" t="s">
        <v>2016</v>
      </c>
      <c r="N375" s="1" t="s">
        <v>2013</v>
      </c>
      <c r="O375" s="15" t="s">
        <v>2082</v>
      </c>
      <c r="P375" s="15" t="s">
        <v>2442</v>
      </c>
      <c r="Q375" s="25" t="s">
        <v>2089</v>
      </c>
      <c r="R375" s="25" t="s">
        <v>2436</v>
      </c>
      <c r="S375" s="73" t="s">
        <v>2172</v>
      </c>
    </row>
    <row r="376" spans="1:19" x14ac:dyDescent="0.2">
      <c r="A376" s="1">
        <v>374</v>
      </c>
      <c r="B376" s="1" t="s">
        <v>39</v>
      </c>
      <c r="C376" s="1" t="s">
        <v>2446</v>
      </c>
      <c r="D376" s="8" t="s">
        <v>83</v>
      </c>
      <c r="E376" s="1" t="s">
        <v>823</v>
      </c>
      <c r="F376" s="66" t="s">
        <v>885</v>
      </c>
      <c r="G376" s="24" t="s">
        <v>1387</v>
      </c>
      <c r="H376" s="16">
        <v>30</v>
      </c>
      <c r="I376" s="25">
        <v>5</v>
      </c>
      <c r="J376" s="56">
        <v>1590</v>
      </c>
      <c r="K376" s="15">
        <v>700</v>
      </c>
      <c r="L376" s="24" t="s">
        <v>2042</v>
      </c>
      <c r="M376" s="24" t="s">
        <v>2014</v>
      </c>
      <c r="N376" s="1" t="s">
        <v>2013</v>
      </c>
      <c r="O376" s="15" t="s">
        <v>2082</v>
      </c>
      <c r="P376" s="15" t="s">
        <v>2442</v>
      </c>
      <c r="Q376" s="25" t="s">
        <v>2083</v>
      </c>
      <c r="R376" s="25" t="s">
        <v>2437</v>
      </c>
      <c r="S376" s="73" t="s">
        <v>2128</v>
      </c>
    </row>
    <row r="377" spans="1:19" x14ac:dyDescent="0.2">
      <c r="A377" s="1">
        <v>375</v>
      </c>
      <c r="B377" s="1" t="s">
        <v>85</v>
      </c>
      <c r="C377" s="1" t="s">
        <v>2446</v>
      </c>
      <c r="D377" s="11" t="s">
        <v>84</v>
      </c>
      <c r="E377" s="1" t="s">
        <v>828</v>
      </c>
      <c r="F377" s="66" t="s">
        <v>882</v>
      </c>
      <c r="G377" s="24" t="s">
        <v>1388</v>
      </c>
      <c r="H377" s="16">
        <v>37</v>
      </c>
      <c r="I377" s="25">
        <v>3</v>
      </c>
      <c r="J377" s="56">
        <v>2270</v>
      </c>
      <c r="K377" s="15">
        <f>920+81</f>
        <v>1001</v>
      </c>
      <c r="L377" s="24" t="s">
        <v>2057</v>
      </c>
      <c r="M377" s="24" t="s">
        <v>2020</v>
      </c>
      <c r="N377" s="1" t="s">
        <v>2013</v>
      </c>
      <c r="O377" s="15" t="s">
        <v>2082</v>
      </c>
      <c r="P377" s="15" t="s">
        <v>2442</v>
      </c>
      <c r="Q377" s="25" t="s">
        <v>2088</v>
      </c>
      <c r="R377" s="25" t="s">
        <v>2435</v>
      </c>
      <c r="S377" s="73" t="s">
        <v>2127</v>
      </c>
    </row>
    <row r="378" spans="1:19" x14ac:dyDescent="0.2">
      <c r="A378" s="1">
        <v>376</v>
      </c>
      <c r="B378" s="1" t="s">
        <v>87</v>
      </c>
      <c r="C378" s="1" t="s">
        <v>2446</v>
      </c>
      <c r="D378" s="8" t="s">
        <v>86</v>
      </c>
      <c r="E378" s="1" t="s">
        <v>822</v>
      </c>
      <c r="F378" s="66" t="s">
        <v>942</v>
      </c>
      <c r="G378" s="24" t="s">
        <v>1389</v>
      </c>
      <c r="H378" s="16">
        <v>42</v>
      </c>
      <c r="I378" s="25">
        <v>2</v>
      </c>
      <c r="J378" s="56">
        <v>8100</v>
      </c>
      <c r="K378" s="15">
        <v>5340</v>
      </c>
      <c r="L378" s="24" t="s">
        <v>2027</v>
      </c>
      <c r="M378" s="24" t="s">
        <v>2014</v>
      </c>
      <c r="N378" s="1" t="s">
        <v>2013</v>
      </c>
      <c r="O378" s="15" t="s">
        <v>2082</v>
      </c>
      <c r="P378" s="15" t="s">
        <v>2442</v>
      </c>
      <c r="Q378" s="25" t="s">
        <v>2083</v>
      </c>
      <c r="R378" s="25" t="s">
        <v>2436</v>
      </c>
      <c r="S378" s="73" t="s">
        <v>2319</v>
      </c>
    </row>
    <row r="379" spans="1:19" x14ac:dyDescent="0.2">
      <c r="A379" s="1">
        <v>377</v>
      </c>
      <c r="B379" s="1" t="s">
        <v>89</v>
      </c>
      <c r="C379" s="1" t="s">
        <v>2446</v>
      </c>
      <c r="D379" s="8" t="s">
        <v>88</v>
      </c>
      <c r="E379" s="1" t="s">
        <v>822</v>
      </c>
      <c r="F379" s="66" t="s">
        <v>943</v>
      </c>
      <c r="G379" s="24" t="s">
        <v>1390</v>
      </c>
      <c r="H379" s="16">
        <v>24</v>
      </c>
      <c r="I379" s="25">
        <v>4</v>
      </c>
      <c r="J379" s="56">
        <v>2860</v>
      </c>
      <c r="K379" s="15">
        <v>1700</v>
      </c>
      <c r="L379" s="24" t="s">
        <v>2044</v>
      </c>
      <c r="M379" s="24" t="s">
        <v>2020</v>
      </c>
      <c r="N379" s="1" t="s">
        <v>2013</v>
      </c>
      <c r="O379" s="15" t="s">
        <v>2082</v>
      </c>
      <c r="P379" s="15" t="s">
        <v>2442</v>
      </c>
      <c r="Q379" s="25" t="s">
        <v>2086</v>
      </c>
      <c r="R379" s="25" t="s">
        <v>2434</v>
      </c>
      <c r="S379" s="73" t="s">
        <v>2216</v>
      </c>
    </row>
    <row r="380" spans="1:19" x14ac:dyDescent="0.2">
      <c r="A380" s="1">
        <v>378</v>
      </c>
      <c r="B380" s="1" t="s">
        <v>5</v>
      </c>
      <c r="C380" s="1" t="s">
        <v>2445</v>
      </c>
      <c r="D380" s="1" t="s">
        <v>869</v>
      </c>
      <c r="E380" s="1" t="s">
        <v>863</v>
      </c>
      <c r="F380" s="66" t="s">
        <v>907</v>
      </c>
      <c r="G380" s="24" t="s">
        <v>1391</v>
      </c>
      <c r="H380" s="16">
        <v>57</v>
      </c>
      <c r="I380" s="25">
        <v>1</v>
      </c>
      <c r="J380" s="56">
        <v>1090</v>
      </c>
      <c r="K380" s="15">
        <f>550+65+40</f>
        <v>655</v>
      </c>
      <c r="L380" s="24" t="s">
        <v>2030</v>
      </c>
      <c r="M380" s="24" t="s">
        <v>2024</v>
      </c>
      <c r="N380" s="1" t="s">
        <v>2013</v>
      </c>
      <c r="O380" s="15" t="s">
        <v>2082</v>
      </c>
      <c r="P380" s="15" t="s">
        <v>2442</v>
      </c>
      <c r="Q380" s="25" t="s">
        <v>2085</v>
      </c>
      <c r="R380" s="25" t="s">
        <v>2437</v>
      </c>
      <c r="S380" s="73" t="s">
        <v>2215</v>
      </c>
    </row>
    <row r="381" spans="1:19" x14ac:dyDescent="0.2">
      <c r="A381" s="1">
        <v>379</v>
      </c>
      <c r="B381" s="1" t="s">
        <v>12</v>
      </c>
      <c r="C381" s="1" t="s">
        <v>2445</v>
      </c>
      <c r="D381" s="1" t="s">
        <v>869</v>
      </c>
      <c r="E381" s="1" t="s">
        <v>818</v>
      </c>
      <c r="F381" s="66" t="s">
        <v>870</v>
      </c>
      <c r="G381" s="24" t="s">
        <v>1392</v>
      </c>
      <c r="H381" s="16">
        <v>35</v>
      </c>
      <c r="I381" s="25">
        <v>5</v>
      </c>
      <c r="J381" s="56">
        <v>1000</v>
      </c>
      <c r="K381" s="15">
        <v>700</v>
      </c>
      <c r="L381" s="24" t="s">
        <v>2018</v>
      </c>
      <c r="M381" s="24" t="s">
        <v>2024</v>
      </c>
      <c r="N381" s="1" t="s">
        <v>2013</v>
      </c>
      <c r="O381" s="15" t="s">
        <v>2082</v>
      </c>
      <c r="P381" s="15" t="s">
        <v>2442</v>
      </c>
      <c r="Q381" s="25" t="s">
        <v>2089</v>
      </c>
      <c r="R381" s="25" t="s">
        <v>2435</v>
      </c>
      <c r="S381" s="73" t="s">
        <v>2153</v>
      </c>
    </row>
    <row r="382" spans="1:19" x14ac:dyDescent="0.2">
      <c r="A382" s="1">
        <v>380</v>
      </c>
      <c r="B382" s="1" t="s">
        <v>5</v>
      </c>
      <c r="C382" s="1" t="s">
        <v>2445</v>
      </c>
      <c r="D382" s="1" t="s">
        <v>869</v>
      </c>
      <c r="E382" s="1" t="s">
        <v>817</v>
      </c>
      <c r="F382" s="66" t="s">
        <v>944</v>
      </c>
      <c r="G382" s="24" t="s">
        <v>1393</v>
      </c>
      <c r="H382" s="16">
        <v>40</v>
      </c>
      <c r="I382" s="25">
        <v>2</v>
      </c>
      <c r="J382" s="56">
        <v>1240</v>
      </c>
      <c r="K382" s="15">
        <v>650</v>
      </c>
      <c r="L382" s="24" t="s">
        <v>2039</v>
      </c>
      <c r="M382" s="24" t="s">
        <v>2014</v>
      </c>
      <c r="N382" s="1" t="s">
        <v>2013</v>
      </c>
      <c r="O382" s="15" t="s">
        <v>2082</v>
      </c>
      <c r="P382" s="15" t="s">
        <v>2442</v>
      </c>
      <c r="Q382" s="25" t="s">
        <v>2086</v>
      </c>
      <c r="R382" s="25" t="s">
        <v>2434</v>
      </c>
      <c r="S382" s="73" t="s">
        <v>2187</v>
      </c>
    </row>
    <row r="383" spans="1:19" x14ac:dyDescent="0.2">
      <c r="A383" s="1">
        <v>381</v>
      </c>
      <c r="B383" s="1" t="s">
        <v>91</v>
      </c>
      <c r="C383" s="1" t="s">
        <v>2446</v>
      </c>
      <c r="D383" s="11" t="s">
        <v>90</v>
      </c>
      <c r="E383" s="35" t="s">
        <v>864</v>
      </c>
      <c r="F383" s="66" t="s">
        <v>945</v>
      </c>
      <c r="G383" s="24" t="s">
        <v>1394</v>
      </c>
      <c r="H383" s="16">
        <v>21</v>
      </c>
      <c r="I383" s="25">
        <v>3</v>
      </c>
      <c r="J383" s="56">
        <v>2610</v>
      </c>
      <c r="K383" s="15">
        <v>610</v>
      </c>
      <c r="L383" s="24" t="s">
        <v>2061</v>
      </c>
      <c r="M383" s="24" t="s">
        <v>2014</v>
      </c>
      <c r="N383" s="1" t="s">
        <v>2013</v>
      </c>
      <c r="O383" s="15" t="s">
        <v>2082</v>
      </c>
      <c r="P383" s="15" t="s">
        <v>2442</v>
      </c>
      <c r="Q383" s="25" t="s">
        <v>2088</v>
      </c>
      <c r="R383" s="25" t="s">
        <v>2436</v>
      </c>
      <c r="S383" s="73" t="s">
        <v>2320</v>
      </c>
    </row>
    <row r="384" spans="1:19" x14ac:dyDescent="0.2">
      <c r="A384" s="1">
        <v>382</v>
      </c>
      <c r="B384" s="1" t="s">
        <v>93</v>
      </c>
      <c r="C384" s="1" t="s">
        <v>2446</v>
      </c>
      <c r="D384" s="11" t="s">
        <v>92</v>
      </c>
      <c r="E384" s="35" t="s">
        <v>822</v>
      </c>
      <c r="F384" s="66" t="s">
        <v>946</v>
      </c>
      <c r="G384" s="24" t="s">
        <v>1395</v>
      </c>
      <c r="H384" s="16">
        <v>36</v>
      </c>
      <c r="I384" s="25">
        <v>4</v>
      </c>
      <c r="J384" s="56">
        <v>7020</v>
      </c>
      <c r="K384" s="15">
        <f>3000+390</f>
        <v>3390</v>
      </c>
      <c r="L384" s="24" t="s">
        <v>2040</v>
      </c>
      <c r="M384" s="24" t="s">
        <v>2016</v>
      </c>
      <c r="N384" s="1" t="s">
        <v>2013</v>
      </c>
      <c r="O384" s="15" t="s">
        <v>2082</v>
      </c>
      <c r="P384" s="15" t="s">
        <v>2442</v>
      </c>
      <c r="Q384" s="25" t="s">
        <v>2088</v>
      </c>
      <c r="R384" s="25" t="s">
        <v>2437</v>
      </c>
      <c r="S384" s="73" t="s">
        <v>2321</v>
      </c>
    </row>
    <row r="385" spans="1:19" x14ac:dyDescent="0.2">
      <c r="A385" s="1">
        <v>383</v>
      </c>
      <c r="B385" s="1" t="s">
        <v>94</v>
      </c>
      <c r="C385" s="1" t="s">
        <v>2446</v>
      </c>
      <c r="D385" s="11" t="s">
        <v>2533</v>
      </c>
      <c r="E385" s="35" t="s">
        <v>828</v>
      </c>
      <c r="F385" s="66" t="s">
        <v>947</v>
      </c>
      <c r="G385" s="24" t="s">
        <v>1396</v>
      </c>
      <c r="H385" s="16">
        <v>28</v>
      </c>
      <c r="I385" s="25">
        <v>1</v>
      </c>
      <c r="J385" s="56">
        <v>3510</v>
      </c>
      <c r="K385" s="15">
        <f>1620+150</f>
        <v>1770</v>
      </c>
      <c r="L385" s="24" t="s">
        <v>2039</v>
      </c>
      <c r="M385" s="24" t="s">
        <v>2014</v>
      </c>
      <c r="N385" s="1" t="s">
        <v>2013</v>
      </c>
      <c r="O385" s="15" t="s">
        <v>2082</v>
      </c>
      <c r="P385" s="15" t="s">
        <v>2442</v>
      </c>
      <c r="Q385" s="25" t="s">
        <v>2090</v>
      </c>
      <c r="R385" s="25" t="s">
        <v>2435</v>
      </c>
      <c r="S385" s="73" t="s">
        <v>2322</v>
      </c>
    </row>
    <row r="386" spans="1:19" x14ac:dyDescent="0.2">
      <c r="A386" s="1">
        <v>384</v>
      </c>
      <c r="B386" s="1" t="s">
        <v>95</v>
      </c>
      <c r="C386" s="1" t="s">
        <v>2446</v>
      </c>
      <c r="D386" s="11" t="s">
        <v>2534</v>
      </c>
      <c r="E386" s="35" t="s">
        <v>865</v>
      </c>
      <c r="F386" s="66" t="s">
        <v>948</v>
      </c>
      <c r="G386" s="24" t="s">
        <v>1397</v>
      </c>
      <c r="H386" s="16">
        <v>50</v>
      </c>
      <c r="I386" s="25">
        <v>5</v>
      </c>
      <c r="J386" s="56">
        <v>3170</v>
      </c>
      <c r="K386" s="15">
        <f>1150+230</f>
        <v>1380</v>
      </c>
      <c r="L386" s="24" t="s">
        <v>2037</v>
      </c>
      <c r="M386" s="24" t="s">
        <v>2014</v>
      </c>
      <c r="N386" s="1" t="s">
        <v>2013</v>
      </c>
      <c r="O386" s="15" t="s">
        <v>2082</v>
      </c>
      <c r="P386" s="15" t="s">
        <v>2442</v>
      </c>
      <c r="Q386" s="25" t="s">
        <v>2086</v>
      </c>
      <c r="R386" s="25" t="s">
        <v>2436</v>
      </c>
      <c r="S386" s="73" t="s">
        <v>2093</v>
      </c>
    </row>
    <row r="387" spans="1:19" x14ac:dyDescent="0.2">
      <c r="A387" s="1">
        <v>385</v>
      </c>
      <c r="B387" s="1" t="s">
        <v>97</v>
      </c>
      <c r="C387" s="1" t="s">
        <v>2446</v>
      </c>
      <c r="D387" s="1" t="s">
        <v>96</v>
      </c>
      <c r="E387" s="35" t="s">
        <v>863</v>
      </c>
      <c r="F387" s="66" t="s">
        <v>949</v>
      </c>
      <c r="G387" s="24" t="s">
        <v>1398</v>
      </c>
      <c r="H387" s="16">
        <v>39</v>
      </c>
      <c r="I387" s="25">
        <v>3</v>
      </c>
      <c r="J387" s="56">
        <v>3250</v>
      </c>
      <c r="K387" s="15">
        <v>1900</v>
      </c>
      <c r="L387" s="24" t="s">
        <v>2015</v>
      </c>
      <c r="M387" s="24" t="s">
        <v>2014</v>
      </c>
      <c r="N387" s="1" t="s">
        <v>2013</v>
      </c>
      <c r="O387" s="15" t="s">
        <v>2082</v>
      </c>
      <c r="P387" s="15" t="s">
        <v>2442</v>
      </c>
      <c r="Q387" s="25" t="s">
        <v>2085</v>
      </c>
      <c r="R387" s="25" t="s">
        <v>2434</v>
      </c>
      <c r="S387" s="73" t="s">
        <v>2152</v>
      </c>
    </row>
    <row r="388" spans="1:19" x14ac:dyDescent="0.2">
      <c r="A388" s="1">
        <v>386</v>
      </c>
      <c r="B388" s="1" t="s">
        <v>99</v>
      </c>
      <c r="C388" s="1" t="s">
        <v>2446</v>
      </c>
      <c r="D388" s="11" t="s">
        <v>98</v>
      </c>
      <c r="E388" s="35" t="s">
        <v>828</v>
      </c>
      <c r="F388" s="66" t="s">
        <v>874</v>
      </c>
      <c r="G388" s="24" t="s">
        <v>1399</v>
      </c>
      <c r="H388" s="16">
        <v>31</v>
      </c>
      <c r="I388" s="25">
        <v>1</v>
      </c>
      <c r="J388" s="56">
        <v>3450</v>
      </c>
      <c r="K388" s="15">
        <f>1430+250-60</f>
        <v>1620</v>
      </c>
      <c r="L388" s="24" t="s">
        <v>2058</v>
      </c>
      <c r="M388" s="24" t="s">
        <v>2020</v>
      </c>
      <c r="N388" s="1" t="s">
        <v>2013</v>
      </c>
      <c r="O388" s="15" t="s">
        <v>2082</v>
      </c>
      <c r="P388" s="15" t="s">
        <v>2442</v>
      </c>
      <c r="Q388" s="25" t="s">
        <v>2084</v>
      </c>
      <c r="R388" s="25" t="s">
        <v>2437</v>
      </c>
      <c r="S388" s="73" t="s">
        <v>2323</v>
      </c>
    </row>
    <row r="389" spans="1:19" x14ac:dyDescent="0.2">
      <c r="A389" s="1">
        <v>387</v>
      </c>
      <c r="B389" s="1" t="s">
        <v>100</v>
      </c>
      <c r="C389" s="1" t="s">
        <v>2446</v>
      </c>
      <c r="D389" s="11" t="s">
        <v>2535</v>
      </c>
      <c r="E389" s="35" t="s">
        <v>866</v>
      </c>
      <c r="F389" s="66" t="s">
        <v>950</v>
      </c>
      <c r="G389" s="24" t="s">
        <v>1400</v>
      </c>
      <c r="H389" s="16">
        <v>44</v>
      </c>
      <c r="I389" s="25">
        <v>5</v>
      </c>
      <c r="J389" s="56">
        <v>5000</v>
      </c>
      <c r="K389" s="15">
        <f>2650+250-60</f>
        <v>2840</v>
      </c>
      <c r="L389" s="24" t="s">
        <v>2033</v>
      </c>
      <c r="M389" s="24" t="s">
        <v>2016</v>
      </c>
      <c r="N389" s="1" t="s">
        <v>2013</v>
      </c>
      <c r="O389" s="15" t="s">
        <v>2082</v>
      </c>
      <c r="P389" s="15" t="s">
        <v>2442</v>
      </c>
      <c r="Q389" s="25" t="s">
        <v>2088</v>
      </c>
      <c r="R389" s="25" t="s">
        <v>2435</v>
      </c>
      <c r="S389" s="73" t="s">
        <v>2114</v>
      </c>
    </row>
    <row r="390" spans="1:19" x14ac:dyDescent="0.2">
      <c r="A390" s="1">
        <v>388</v>
      </c>
      <c r="B390" s="1" t="s">
        <v>101</v>
      </c>
      <c r="C390" s="1" t="s">
        <v>2446</v>
      </c>
      <c r="D390" s="11" t="s">
        <v>2536</v>
      </c>
      <c r="E390" s="35" t="s">
        <v>863</v>
      </c>
      <c r="F390" s="66" t="s">
        <v>951</v>
      </c>
      <c r="G390" s="24" t="s">
        <v>1401</v>
      </c>
      <c r="H390" s="16">
        <v>26</v>
      </c>
      <c r="I390" s="25">
        <v>2</v>
      </c>
      <c r="J390" s="56">
        <v>6300</v>
      </c>
      <c r="K390" s="15">
        <f>1540+1540+270+530+200+300-60</f>
        <v>4320</v>
      </c>
      <c r="L390" s="24" t="s">
        <v>2051</v>
      </c>
      <c r="M390" s="24" t="s">
        <v>2020</v>
      </c>
      <c r="N390" s="1" t="s">
        <v>2013</v>
      </c>
      <c r="O390" s="15" t="s">
        <v>2082</v>
      </c>
      <c r="P390" s="15" t="s">
        <v>2442</v>
      </c>
      <c r="Q390" s="25" t="s">
        <v>2089</v>
      </c>
      <c r="R390" s="25" t="s">
        <v>2434</v>
      </c>
      <c r="S390" s="73" t="s">
        <v>2162</v>
      </c>
    </row>
    <row r="391" spans="1:19" x14ac:dyDescent="0.2">
      <c r="A391" s="1">
        <v>389</v>
      </c>
      <c r="B391" s="1" t="s">
        <v>102</v>
      </c>
      <c r="C391" s="1" t="s">
        <v>2446</v>
      </c>
      <c r="D391" s="8" t="s">
        <v>166</v>
      </c>
      <c r="E391" s="35" t="s">
        <v>866</v>
      </c>
      <c r="F391" s="66" t="s">
        <v>894</v>
      </c>
      <c r="G391" s="24" t="s">
        <v>1402</v>
      </c>
      <c r="H391" s="16">
        <v>48</v>
      </c>
      <c r="I391" s="25">
        <v>3</v>
      </c>
      <c r="J391" s="56">
        <v>7371</v>
      </c>
      <c r="K391" s="15">
        <f>4390-60</f>
        <v>4330</v>
      </c>
      <c r="L391" s="24" t="s">
        <v>2060</v>
      </c>
      <c r="M391" s="24" t="s">
        <v>2024</v>
      </c>
      <c r="N391" s="1" t="s">
        <v>2013</v>
      </c>
      <c r="O391" s="15" t="s">
        <v>2082</v>
      </c>
      <c r="P391" s="15" t="s">
        <v>2442</v>
      </c>
      <c r="Q391" s="25" t="s">
        <v>2089</v>
      </c>
      <c r="R391" s="25" t="s">
        <v>2436</v>
      </c>
      <c r="S391" s="73" t="s">
        <v>2324</v>
      </c>
    </row>
    <row r="392" spans="1:19" x14ac:dyDescent="0.2">
      <c r="A392" s="1">
        <v>390</v>
      </c>
      <c r="B392" s="1" t="s">
        <v>102</v>
      </c>
      <c r="C392" s="1" t="s">
        <v>2446</v>
      </c>
      <c r="D392" s="8" t="s">
        <v>166</v>
      </c>
      <c r="E392" s="35" t="s">
        <v>868</v>
      </c>
      <c r="F392" s="66" t="s">
        <v>888</v>
      </c>
      <c r="G392" s="24" t="s">
        <v>1403</v>
      </c>
      <c r="H392" s="16">
        <v>53</v>
      </c>
      <c r="I392" s="25">
        <v>4</v>
      </c>
      <c r="J392" s="56">
        <v>7371</v>
      </c>
      <c r="K392" s="15">
        <f>4390-60</f>
        <v>4330</v>
      </c>
      <c r="L392" s="24" t="s">
        <v>2028</v>
      </c>
      <c r="M392" s="24" t="s">
        <v>2016</v>
      </c>
      <c r="N392" s="1" t="s">
        <v>2013</v>
      </c>
      <c r="O392" s="15" t="s">
        <v>2082</v>
      </c>
      <c r="P392" s="15" t="s">
        <v>2442</v>
      </c>
      <c r="Q392" s="25" t="s">
        <v>2085</v>
      </c>
      <c r="R392" s="25" t="s">
        <v>2437</v>
      </c>
      <c r="S392" s="73" t="s">
        <v>2325</v>
      </c>
    </row>
    <row r="393" spans="1:19" x14ac:dyDescent="0.2">
      <c r="A393" s="1">
        <v>391</v>
      </c>
      <c r="B393" s="1" t="s">
        <v>104</v>
      </c>
      <c r="C393" s="1" t="s">
        <v>2446</v>
      </c>
      <c r="D393" s="11" t="s">
        <v>103</v>
      </c>
      <c r="E393" s="35" t="s">
        <v>822</v>
      </c>
      <c r="F393" s="67" t="s">
        <v>889</v>
      </c>
      <c r="G393" s="24" t="s">
        <v>1404</v>
      </c>
      <c r="H393" s="16">
        <v>30</v>
      </c>
      <c r="I393" s="25">
        <v>1</v>
      </c>
      <c r="J393" s="56">
        <v>4520</v>
      </c>
      <c r="K393" s="15">
        <f>1950+270-60</f>
        <v>2160</v>
      </c>
      <c r="L393" s="24" t="s">
        <v>2052</v>
      </c>
      <c r="M393" s="24" t="s">
        <v>2020</v>
      </c>
      <c r="N393" s="1" t="s">
        <v>2013</v>
      </c>
      <c r="O393" s="15" t="s">
        <v>2082</v>
      </c>
      <c r="P393" s="15" t="s">
        <v>2442</v>
      </c>
      <c r="Q393" s="25" t="s">
        <v>2088</v>
      </c>
      <c r="R393" s="25" t="s">
        <v>2435</v>
      </c>
      <c r="S393" s="73" t="s">
        <v>2099</v>
      </c>
    </row>
    <row r="394" spans="1:19" x14ac:dyDescent="0.2">
      <c r="A394" s="1">
        <v>392</v>
      </c>
      <c r="B394" s="1" t="s">
        <v>105</v>
      </c>
      <c r="C394" s="1" t="s">
        <v>2446</v>
      </c>
      <c r="D394" s="8" t="s">
        <v>2537</v>
      </c>
      <c r="E394" s="35" t="s">
        <v>828</v>
      </c>
      <c r="F394" s="66" t="s">
        <v>881</v>
      </c>
      <c r="G394" s="24" t="s">
        <v>1405</v>
      </c>
      <c r="H394" s="16">
        <v>37</v>
      </c>
      <c r="I394" s="25">
        <v>5</v>
      </c>
      <c r="J394" s="56">
        <v>1989</v>
      </c>
      <c r="K394" s="15">
        <v>620</v>
      </c>
      <c r="L394" s="24" t="s">
        <v>2021</v>
      </c>
      <c r="M394" s="24" t="s">
        <v>2020</v>
      </c>
      <c r="N394" s="1" t="s">
        <v>2013</v>
      </c>
      <c r="O394" s="15" t="s">
        <v>2082</v>
      </c>
      <c r="P394" s="15" t="s">
        <v>2442</v>
      </c>
      <c r="Q394" s="25" t="s">
        <v>2084</v>
      </c>
      <c r="R394" s="25" t="s">
        <v>2436</v>
      </c>
      <c r="S394" s="73" t="s">
        <v>2197</v>
      </c>
    </row>
    <row r="395" spans="1:19" x14ac:dyDescent="0.2">
      <c r="A395" s="1">
        <v>393</v>
      </c>
      <c r="B395" s="1" t="s">
        <v>107</v>
      </c>
      <c r="C395" s="1" t="s">
        <v>2446</v>
      </c>
      <c r="D395" s="11" t="s">
        <v>106</v>
      </c>
      <c r="E395" s="35" t="s">
        <v>864</v>
      </c>
      <c r="F395" s="66" t="s">
        <v>883</v>
      </c>
      <c r="G395" s="24" t="s">
        <v>1406</v>
      </c>
      <c r="H395" s="16">
        <v>42</v>
      </c>
      <c r="I395" s="25">
        <v>3</v>
      </c>
      <c r="J395" s="56">
        <v>4390</v>
      </c>
      <c r="K395" s="15">
        <v>2100</v>
      </c>
      <c r="L395" s="24" t="s">
        <v>2036</v>
      </c>
      <c r="M395" s="24" t="s">
        <v>2014</v>
      </c>
      <c r="N395" s="1" t="s">
        <v>2013</v>
      </c>
      <c r="O395" s="15" t="s">
        <v>2082</v>
      </c>
      <c r="P395" s="15" t="s">
        <v>2442</v>
      </c>
      <c r="Q395" s="25" t="s">
        <v>2083</v>
      </c>
      <c r="R395" s="25" t="s">
        <v>2434</v>
      </c>
      <c r="S395" s="73" t="s">
        <v>2110</v>
      </c>
    </row>
    <row r="396" spans="1:19" x14ac:dyDescent="0.2">
      <c r="A396" s="1">
        <v>394</v>
      </c>
      <c r="B396" s="1" t="s">
        <v>109</v>
      </c>
      <c r="C396" s="1" t="s">
        <v>2446</v>
      </c>
      <c r="D396" s="8" t="s">
        <v>108</v>
      </c>
      <c r="E396" s="35" t="s">
        <v>823</v>
      </c>
      <c r="F396" s="66" t="s">
        <v>884</v>
      </c>
      <c r="G396" s="24" t="s">
        <v>1407</v>
      </c>
      <c r="H396" s="16">
        <v>24</v>
      </c>
      <c r="I396" s="25">
        <v>2</v>
      </c>
      <c r="J396" s="56">
        <v>4175</v>
      </c>
      <c r="K396" s="15">
        <f>2240-70</f>
        <v>2170</v>
      </c>
      <c r="L396" s="24" t="s">
        <v>2058</v>
      </c>
      <c r="M396" s="24" t="s">
        <v>2020</v>
      </c>
      <c r="N396" s="1" t="s">
        <v>2013</v>
      </c>
      <c r="O396" s="15" t="s">
        <v>2082</v>
      </c>
      <c r="P396" s="15" t="s">
        <v>2442</v>
      </c>
      <c r="Q396" s="25" t="s">
        <v>2083</v>
      </c>
      <c r="R396" s="25" t="s">
        <v>2437</v>
      </c>
      <c r="S396" s="73" t="s">
        <v>2309</v>
      </c>
    </row>
    <row r="397" spans="1:19" x14ac:dyDescent="0.2">
      <c r="A397" s="1">
        <v>395</v>
      </c>
      <c r="B397" s="1" t="s">
        <v>93</v>
      </c>
      <c r="C397" s="1" t="s">
        <v>2446</v>
      </c>
      <c r="D397" s="8" t="s">
        <v>110</v>
      </c>
      <c r="E397" s="35" t="s">
        <v>823</v>
      </c>
      <c r="F397" s="66" t="s">
        <v>885</v>
      </c>
      <c r="G397" s="24" t="s">
        <v>1408</v>
      </c>
      <c r="H397" s="16">
        <v>57</v>
      </c>
      <c r="I397" s="25">
        <v>4</v>
      </c>
      <c r="J397" s="56">
        <v>6340</v>
      </c>
      <c r="K397" s="15">
        <f>3090-70</f>
        <v>3020</v>
      </c>
      <c r="L397" s="24" t="s">
        <v>2054</v>
      </c>
      <c r="M397" s="24" t="s">
        <v>2016</v>
      </c>
      <c r="N397" s="1" t="s">
        <v>2013</v>
      </c>
      <c r="O397" s="15" t="s">
        <v>2082</v>
      </c>
      <c r="P397" s="15" t="s">
        <v>2442</v>
      </c>
      <c r="Q397" s="25" t="s">
        <v>2089</v>
      </c>
      <c r="R397" s="25" t="s">
        <v>2435</v>
      </c>
      <c r="S397" s="73" t="s">
        <v>2292</v>
      </c>
    </row>
    <row r="398" spans="1:19" x14ac:dyDescent="0.2">
      <c r="A398" s="1">
        <v>396</v>
      </c>
      <c r="B398" s="1" t="s">
        <v>112</v>
      </c>
      <c r="C398" s="1" t="s">
        <v>2446</v>
      </c>
      <c r="D398" s="11" t="s">
        <v>111</v>
      </c>
      <c r="E398" s="35" t="s">
        <v>863</v>
      </c>
      <c r="F398" s="66" t="s">
        <v>886</v>
      </c>
      <c r="G398" s="24" t="s">
        <v>1409</v>
      </c>
      <c r="H398" s="16">
        <v>35</v>
      </c>
      <c r="I398" s="25">
        <v>1</v>
      </c>
      <c r="J398" s="56">
        <f>6570+350</f>
        <v>6920</v>
      </c>
      <c r="K398" s="15">
        <f>3160+270+320-40</f>
        <v>3710</v>
      </c>
      <c r="L398" s="24" t="s">
        <v>2054</v>
      </c>
      <c r="M398" s="24" t="s">
        <v>2016</v>
      </c>
      <c r="N398" s="1" t="s">
        <v>2013</v>
      </c>
      <c r="O398" s="15" t="s">
        <v>2082</v>
      </c>
      <c r="P398" s="15" t="s">
        <v>2442</v>
      </c>
      <c r="Q398" s="25" t="s">
        <v>2090</v>
      </c>
      <c r="R398" s="25" t="s">
        <v>2434</v>
      </c>
      <c r="S398" s="73" t="s">
        <v>2169</v>
      </c>
    </row>
    <row r="399" spans="1:19" x14ac:dyDescent="0.2">
      <c r="A399" s="1">
        <v>397</v>
      </c>
      <c r="B399" s="1" t="s">
        <v>113</v>
      </c>
      <c r="C399" s="1" t="s">
        <v>2446</v>
      </c>
      <c r="D399" s="11" t="s">
        <v>278</v>
      </c>
      <c r="E399" s="35" t="s">
        <v>822</v>
      </c>
      <c r="F399" s="66" t="s">
        <v>878</v>
      </c>
      <c r="G399" s="24" t="s">
        <v>1410</v>
      </c>
      <c r="H399" s="16">
        <v>40</v>
      </c>
      <c r="I399" s="25">
        <v>5</v>
      </c>
      <c r="J399" s="56">
        <v>2280</v>
      </c>
      <c r="K399" s="15">
        <f>790-70</f>
        <v>720</v>
      </c>
      <c r="L399" s="24" t="s">
        <v>2029</v>
      </c>
      <c r="M399" s="24" t="s">
        <v>2016</v>
      </c>
      <c r="N399" s="1" t="s">
        <v>2013</v>
      </c>
      <c r="O399" s="15" t="s">
        <v>2082</v>
      </c>
      <c r="P399" s="15" t="s">
        <v>2442</v>
      </c>
      <c r="Q399" s="25" t="s">
        <v>2086</v>
      </c>
      <c r="R399" s="25" t="s">
        <v>2436</v>
      </c>
      <c r="S399" s="73" t="s">
        <v>2258</v>
      </c>
    </row>
    <row r="400" spans="1:19" x14ac:dyDescent="0.2">
      <c r="A400" s="1">
        <v>398</v>
      </c>
      <c r="B400" s="1" t="s">
        <v>115</v>
      </c>
      <c r="C400" s="1" t="s">
        <v>2446</v>
      </c>
      <c r="D400" s="11" t="s">
        <v>114</v>
      </c>
      <c r="E400" s="35" t="s">
        <v>817</v>
      </c>
      <c r="F400" s="67" t="s">
        <v>887</v>
      </c>
      <c r="G400" s="24" t="s">
        <v>1411</v>
      </c>
      <c r="H400" s="16">
        <v>21</v>
      </c>
      <c r="I400" s="25">
        <v>2</v>
      </c>
      <c r="J400" s="56">
        <v>1760</v>
      </c>
      <c r="K400" s="15">
        <f>550+90-70</f>
        <v>570</v>
      </c>
      <c r="L400" s="24" t="s">
        <v>2044</v>
      </c>
      <c r="M400" s="24" t="s">
        <v>2020</v>
      </c>
      <c r="N400" s="1" t="s">
        <v>2013</v>
      </c>
      <c r="O400" s="15" t="s">
        <v>2082</v>
      </c>
      <c r="P400" s="15" t="s">
        <v>2442</v>
      </c>
      <c r="Q400" s="25" t="s">
        <v>2087</v>
      </c>
      <c r="R400" s="25" t="s">
        <v>2437</v>
      </c>
      <c r="S400" s="73" t="s">
        <v>2278</v>
      </c>
    </row>
    <row r="401" spans="1:19" x14ac:dyDescent="0.2">
      <c r="A401" s="1">
        <v>399</v>
      </c>
      <c r="B401" s="1" t="s">
        <v>117</v>
      </c>
      <c r="C401" s="1" t="s">
        <v>2446</v>
      </c>
      <c r="D401" s="8" t="s">
        <v>116</v>
      </c>
      <c r="E401" s="1" t="s">
        <v>863</v>
      </c>
      <c r="F401" s="66" t="s">
        <v>888</v>
      </c>
      <c r="G401" s="24" t="s">
        <v>1412</v>
      </c>
      <c r="H401" s="16">
        <v>59</v>
      </c>
      <c r="I401" s="25">
        <v>3</v>
      </c>
      <c r="J401" s="56">
        <v>3030</v>
      </c>
      <c r="K401" s="15">
        <f>920+50-70</f>
        <v>900</v>
      </c>
      <c r="L401" s="24" t="s">
        <v>2052</v>
      </c>
      <c r="M401" s="24" t="s">
        <v>2016</v>
      </c>
      <c r="N401" s="1" t="s">
        <v>2013</v>
      </c>
      <c r="O401" s="15" t="s">
        <v>2082</v>
      </c>
      <c r="P401" s="15" t="s">
        <v>2442</v>
      </c>
      <c r="Q401" s="25" t="s">
        <v>2087</v>
      </c>
      <c r="R401" s="25" t="s">
        <v>2435</v>
      </c>
      <c r="S401" s="73" t="s">
        <v>2326</v>
      </c>
    </row>
    <row r="402" spans="1:19" x14ac:dyDescent="0.2">
      <c r="A402" s="1">
        <v>400</v>
      </c>
      <c r="B402" s="1" t="s">
        <v>119</v>
      </c>
      <c r="C402" s="1" t="s">
        <v>2446</v>
      </c>
      <c r="D402" s="11" t="s">
        <v>118</v>
      </c>
      <c r="E402" s="1" t="s">
        <v>864</v>
      </c>
      <c r="F402" s="67" t="s">
        <v>889</v>
      </c>
      <c r="G402" s="24" t="s">
        <v>1413</v>
      </c>
      <c r="H402" s="16">
        <v>32</v>
      </c>
      <c r="I402" s="25">
        <v>4</v>
      </c>
      <c r="J402" s="56">
        <v>4270</v>
      </c>
      <c r="K402" s="15">
        <f>1950+800-40</f>
        <v>2710</v>
      </c>
      <c r="L402" s="24" t="s">
        <v>2033</v>
      </c>
      <c r="M402" s="24" t="s">
        <v>2016</v>
      </c>
      <c r="N402" s="1" t="s">
        <v>2013</v>
      </c>
      <c r="O402" s="15" t="s">
        <v>2082</v>
      </c>
      <c r="P402" s="15" t="s">
        <v>2442</v>
      </c>
      <c r="Q402" s="25" t="s">
        <v>2087</v>
      </c>
      <c r="R402" s="25" t="s">
        <v>2436</v>
      </c>
      <c r="S402" s="73" t="s">
        <v>2271</v>
      </c>
    </row>
    <row r="403" spans="1:19" x14ac:dyDescent="0.2">
      <c r="A403" s="1">
        <v>401</v>
      </c>
      <c r="B403" s="1" t="s">
        <v>121</v>
      </c>
      <c r="C403" s="1" t="s">
        <v>2446</v>
      </c>
      <c r="D403" s="11" t="s">
        <v>120</v>
      </c>
      <c r="E403" s="1" t="s">
        <v>822</v>
      </c>
      <c r="F403" s="67" t="s">
        <v>890</v>
      </c>
      <c r="G403" s="24" t="s">
        <v>1414</v>
      </c>
      <c r="H403" s="16">
        <v>46</v>
      </c>
      <c r="I403" s="25">
        <v>1</v>
      </c>
      <c r="J403" s="56">
        <v>1880</v>
      </c>
      <c r="K403" s="15">
        <f>680-40</f>
        <v>640</v>
      </c>
      <c r="L403" s="24" t="s">
        <v>2044</v>
      </c>
      <c r="M403" s="24" t="s">
        <v>2020</v>
      </c>
      <c r="N403" s="1" t="s">
        <v>2013</v>
      </c>
      <c r="O403" s="15" t="s">
        <v>2082</v>
      </c>
      <c r="P403" s="15" t="s">
        <v>2442</v>
      </c>
      <c r="Q403" s="25" t="s">
        <v>2088</v>
      </c>
      <c r="R403" s="25" t="s">
        <v>2434</v>
      </c>
      <c r="S403" s="73" t="s">
        <v>2296</v>
      </c>
    </row>
    <row r="404" spans="1:19" x14ac:dyDescent="0.2">
      <c r="A404" s="1">
        <v>402</v>
      </c>
      <c r="B404" s="1" t="s">
        <v>123</v>
      </c>
      <c r="C404" s="1" t="s">
        <v>2446</v>
      </c>
      <c r="D404" s="11" t="s">
        <v>122</v>
      </c>
      <c r="E404" s="1" t="s">
        <v>823</v>
      </c>
      <c r="F404" s="66" t="s">
        <v>891</v>
      </c>
      <c r="G404" s="24" t="s">
        <v>1415</v>
      </c>
      <c r="H404" s="16">
        <v>54</v>
      </c>
      <c r="I404" s="25">
        <v>5</v>
      </c>
      <c r="J404" s="56">
        <v>3250</v>
      </c>
      <c r="K404" s="15">
        <f>1550+170-30</f>
        <v>1690</v>
      </c>
      <c r="L404" s="24" t="s">
        <v>2053</v>
      </c>
      <c r="M404" s="24" t="s">
        <v>2014</v>
      </c>
      <c r="N404" s="1" t="s">
        <v>2013</v>
      </c>
      <c r="O404" s="15" t="s">
        <v>2082</v>
      </c>
      <c r="P404" s="15" t="s">
        <v>2442</v>
      </c>
      <c r="Q404" s="25" t="s">
        <v>2083</v>
      </c>
      <c r="R404" s="25" t="s">
        <v>2437</v>
      </c>
      <c r="S404" s="73" t="s">
        <v>2314</v>
      </c>
    </row>
    <row r="405" spans="1:19" x14ac:dyDescent="0.2">
      <c r="A405" s="1">
        <v>403</v>
      </c>
      <c r="B405" s="1" t="s">
        <v>125</v>
      </c>
      <c r="C405" s="1" t="s">
        <v>2446</v>
      </c>
      <c r="D405" s="11" t="s">
        <v>124</v>
      </c>
      <c r="E405" s="1" t="s">
        <v>828</v>
      </c>
      <c r="F405" s="67" t="s">
        <v>892</v>
      </c>
      <c r="G405" s="24" t="s">
        <v>1416</v>
      </c>
      <c r="H405" s="16">
        <v>25</v>
      </c>
      <c r="I405" s="25">
        <v>3</v>
      </c>
      <c r="J405" s="56">
        <v>7500</v>
      </c>
      <c r="K405" s="15">
        <f>3860+600-30</f>
        <v>4430</v>
      </c>
      <c r="L405" s="24" t="s">
        <v>2047</v>
      </c>
      <c r="M405" s="24" t="s">
        <v>2024</v>
      </c>
      <c r="N405" s="1" t="s">
        <v>2013</v>
      </c>
      <c r="O405" s="15" t="s">
        <v>2082</v>
      </c>
      <c r="P405" s="15" t="s">
        <v>2442</v>
      </c>
      <c r="Q405" s="25" t="s">
        <v>2084</v>
      </c>
      <c r="R405" s="25" t="s">
        <v>2435</v>
      </c>
      <c r="S405" s="73" t="s">
        <v>2265</v>
      </c>
    </row>
    <row r="406" spans="1:19" x14ac:dyDescent="0.2">
      <c r="A406" s="1">
        <v>404</v>
      </c>
      <c r="B406" s="1" t="s">
        <v>79</v>
      </c>
      <c r="C406" s="1" t="s">
        <v>2446</v>
      </c>
      <c r="D406" s="1" t="s">
        <v>2538</v>
      </c>
      <c r="E406" s="1" t="s">
        <v>863</v>
      </c>
      <c r="F406" s="67" t="s">
        <v>876</v>
      </c>
      <c r="G406" s="24" t="s">
        <v>1417</v>
      </c>
      <c r="H406" s="16">
        <v>43</v>
      </c>
      <c r="I406" s="25">
        <v>5</v>
      </c>
      <c r="J406" s="56">
        <v>2450</v>
      </c>
      <c r="K406" s="15">
        <f>1050+100-70</f>
        <v>1080</v>
      </c>
      <c r="L406" s="24" t="s">
        <v>2034</v>
      </c>
      <c r="M406" s="24" t="s">
        <v>2016</v>
      </c>
      <c r="N406" s="1" t="s">
        <v>2013</v>
      </c>
      <c r="O406" s="15" t="s">
        <v>2082</v>
      </c>
      <c r="P406" s="15" t="s">
        <v>2442</v>
      </c>
      <c r="Q406" s="25" t="s">
        <v>2090</v>
      </c>
      <c r="R406" s="25" t="s">
        <v>2434</v>
      </c>
      <c r="S406" s="73" t="s">
        <v>2104</v>
      </c>
    </row>
    <row r="407" spans="1:19" x14ac:dyDescent="0.2">
      <c r="A407" s="1">
        <v>405</v>
      </c>
      <c r="B407" s="1" t="s">
        <v>13</v>
      </c>
      <c r="C407" s="1" t="s">
        <v>2445</v>
      </c>
      <c r="D407" s="1" t="s">
        <v>869</v>
      </c>
      <c r="E407" s="1" t="s">
        <v>863</v>
      </c>
      <c r="F407" s="67" t="s">
        <v>885</v>
      </c>
      <c r="G407" s="24" t="s">
        <v>1418</v>
      </c>
      <c r="H407" s="16">
        <v>58</v>
      </c>
      <c r="I407" s="25">
        <v>2</v>
      </c>
      <c r="J407" s="56">
        <v>990</v>
      </c>
      <c r="K407" s="15">
        <v>500</v>
      </c>
      <c r="L407" s="24" t="s">
        <v>2036</v>
      </c>
      <c r="M407" s="24" t="s">
        <v>2014</v>
      </c>
      <c r="N407" s="1" t="s">
        <v>2013</v>
      </c>
      <c r="O407" s="15" t="s">
        <v>2082</v>
      </c>
      <c r="P407" s="15" t="s">
        <v>2442</v>
      </c>
      <c r="Q407" s="25" t="s">
        <v>2088</v>
      </c>
      <c r="R407" s="25" t="s">
        <v>2436</v>
      </c>
      <c r="S407" s="73" t="s">
        <v>2281</v>
      </c>
    </row>
    <row r="408" spans="1:19" x14ac:dyDescent="0.2">
      <c r="A408" s="1">
        <v>406</v>
      </c>
      <c r="B408" s="1" t="s">
        <v>127</v>
      </c>
      <c r="C408" s="1" t="s">
        <v>2446</v>
      </c>
      <c r="D408" s="11" t="s">
        <v>126</v>
      </c>
      <c r="E408" s="1" t="s">
        <v>822</v>
      </c>
      <c r="F408" s="67" t="s">
        <v>2757</v>
      </c>
      <c r="G408" s="24" t="s">
        <v>1419</v>
      </c>
      <c r="H408" s="16">
        <v>20</v>
      </c>
      <c r="I408" s="25">
        <v>1</v>
      </c>
      <c r="J408" s="56">
        <v>2920</v>
      </c>
      <c r="K408" s="15">
        <f>1030+240</f>
        <v>1270</v>
      </c>
      <c r="L408" s="24" t="s">
        <v>2036</v>
      </c>
      <c r="M408" s="24" t="s">
        <v>2014</v>
      </c>
      <c r="N408" s="1" t="s">
        <v>2013</v>
      </c>
      <c r="O408" s="15" t="s">
        <v>2082</v>
      </c>
      <c r="P408" s="15" t="s">
        <v>2442</v>
      </c>
      <c r="Q408" s="25" t="s">
        <v>2083</v>
      </c>
      <c r="R408" s="25" t="s">
        <v>2437</v>
      </c>
      <c r="S408" s="73" t="s">
        <v>2223</v>
      </c>
    </row>
    <row r="409" spans="1:19" x14ac:dyDescent="0.2">
      <c r="A409" s="1">
        <v>407</v>
      </c>
      <c r="B409" s="1" t="s">
        <v>129</v>
      </c>
      <c r="C409" s="1" t="s">
        <v>2446</v>
      </c>
      <c r="D409" s="11" t="s">
        <v>128</v>
      </c>
      <c r="E409" s="1" t="s">
        <v>864</v>
      </c>
      <c r="F409" s="67" t="s">
        <v>894</v>
      </c>
      <c r="G409" s="24" t="s">
        <v>1420</v>
      </c>
      <c r="H409" s="16">
        <v>49</v>
      </c>
      <c r="I409" s="25">
        <v>3</v>
      </c>
      <c r="J409" s="56">
        <v>2400</v>
      </c>
      <c r="K409" s="15">
        <f>900+100</f>
        <v>1000</v>
      </c>
      <c r="L409" s="24" t="s">
        <v>2047</v>
      </c>
      <c r="M409" s="24" t="s">
        <v>2024</v>
      </c>
      <c r="N409" s="1" t="s">
        <v>2013</v>
      </c>
      <c r="O409" s="15" t="s">
        <v>2082</v>
      </c>
      <c r="P409" s="15" t="s">
        <v>2442</v>
      </c>
      <c r="Q409" s="25" t="s">
        <v>2085</v>
      </c>
      <c r="R409" s="25" t="s">
        <v>2435</v>
      </c>
      <c r="S409" s="73" t="s">
        <v>2327</v>
      </c>
    </row>
    <row r="410" spans="1:19" x14ac:dyDescent="0.2">
      <c r="A410" s="1">
        <v>408</v>
      </c>
      <c r="B410" s="1" t="s">
        <v>131</v>
      </c>
      <c r="C410" s="1" t="s">
        <v>2446</v>
      </c>
      <c r="D410" s="1" t="s">
        <v>130</v>
      </c>
      <c r="E410" s="1" t="s">
        <v>822</v>
      </c>
      <c r="F410" s="66" t="s">
        <v>25</v>
      </c>
      <c r="G410" s="24" t="s">
        <v>1421</v>
      </c>
      <c r="H410" s="16">
        <v>34</v>
      </c>
      <c r="I410" s="25">
        <v>4</v>
      </c>
      <c r="J410" s="56">
        <v>3620</v>
      </c>
      <c r="K410" s="15">
        <v>850</v>
      </c>
      <c r="L410" s="24" t="s">
        <v>2021</v>
      </c>
      <c r="M410" s="24" t="s">
        <v>2020</v>
      </c>
      <c r="N410" s="1" t="s">
        <v>2013</v>
      </c>
      <c r="O410" s="15" t="s">
        <v>2082</v>
      </c>
      <c r="P410" s="15" t="s">
        <v>2442</v>
      </c>
      <c r="Q410" s="25" t="s">
        <v>2085</v>
      </c>
      <c r="R410" s="25" t="s">
        <v>2436</v>
      </c>
      <c r="S410" s="73" t="s">
        <v>2125</v>
      </c>
    </row>
    <row r="411" spans="1:19" x14ac:dyDescent="0.2">
      <c r="A411" s="1">
        <v>409</v>
      </c>
      <c r="B411" s="1" t="s">
        <v>132</v>
      </c>
      <c r="C411" s="1" t="s">
        <v>2446</v>
      </c>
      <c r="D411" s="11" t="s">
        <v>2539</v>
      </c>
      <c r="E411" s="1" t="s">
        <v>2767</v>
      </c>
      <c r="F411" s="67" t="s">
        <v>915</v>
      </c>
      <c r="G411" s="24" t="s">
        <v>1422</v>
      </c>
      <c r="H411" s="16">
        <v>27</v>
      </c>
      <c r="I411" s="25">
        <v>5</v>
      </c>
      <c r="J411" s="56">
        <v>3685</v>
      </c>
      <c r="K411" s="15">
        <f>955+100</f>
        <v>1055</v>
      </c>
      <c r="L411" s="24" t="s">
        <v>2050</v>
      </c>
      <c r="M411" s="24" t="s">
        <v>2024</v>
      </c>
      <c r="N411" s="1" t="s">
        <v>2013</v>
      </c>
      <c r="O411" s="15" t="s">
        <v>2082</v>
      </c>
      <c r="P411" s="15" t="s">
        <v>2442</v>
      </c>
      <c r="Q411" s="25" t="s">
        <v>2089</v>
      </c>
      <c r="R411" s="25" t="s">
        <v>2434</v>
      </c>
      <c r="S411" s="73" t="s">
        <v>2206</v>
      </c>
    </row>
    <row r="412" spans="1:19" x14ac:dyDescent="0.2">
      <c r="A412" s="1">
        <v>410</v>
      </c>
      <c r="B412" s="1" t="s">
        <v>91</v>
      </c>
      <c r="C412" s="1" t="s">
        <v>2446</v>
      </c>
      <c r="D412" s="1" t="s">
        <v>133</v>
      </c>
      <c r="E412" s="1" t="s">
        <v>864</v>
      </c>
      <c r="F412" s="66" t="s">
        <v>920</v>
      </c>
      <c r="G412" s="24" t="s">
        <v>1423</v>
      </c>
      <c r="H412" s="16">
        <v>45</v>
      </c>
      <c r="I412" s="25">
        <v>2</v>
      </c>
      <c r="J412" s="56">
        <v>1827</v>
      </c>
      <c r="K412" s="15">
        <f>610-70</f>
        <v>540</v>
      </c>
      <c r="L412" s="24" t="s">
        <v>2033</v>
      </c>
      <c r="M412" s="24" t="s">
        <v>2016</v>
      </c>
      <c r="N412" s="1" t="s">
        <v>2013</v>
      </c>
      <c r="O412" s="15" t="s">
        <v>2082</v>
      </c>
      <c r="P412" s="15" t="s">
        <v>2442</v>
      </c>
      <c r="Q412" s="25" t="s">
        <v>2089</v>
      </c>
      <c r="R412" s="25" t="s">
        <v>2437</v>
      </c>
      <c r="S412" s="73" t="s">
        <v>2153</v>
      </c>
    </row>
    <row r="413" spans="1:19" x14ac:dyDescent="0.2">
      <c r="A413" s="1">
        <v>411</v>
      </c>
      <c r="B413" s="1" t="s">
        <v>112</v>
      </c>
      <c r="C413" s="1" t="s">
        <v>2446</v>
      </c>
      <c r="D413" s="11" t="s">
        <v>111</v>
      </c>
      <c r="E413" s="1" t="s">
        <v>822</v>
      </c>
      <c r="F413" s="67" t="s">
        <v>921</v>
      </c>
      <c r="G413" s="24" t="s">
        <v>1424</v>
      </c>
      <c r="H413" s="16">
        <v>52</v>
      </c>
      <c r="I413" s="25">
        <v>3</v>
      </c>
      <c r="J413" s="56">
        <v>6435</v>
      </c>
      <c r="K413" s="15">
        <v>3710</v>
      </c>
      <c r="L413" s="24" t="s">
        <v>2032</v>
      </c>
      <c r="M413" s="24" t="s">
        <v>2016</v>
      </c>
      <c r="N413" s="1" t="s">
        <v>2013</v>
      </c>
      <c r="O413" s="15" t="s">
        <v>2082</v>
      </c>
      <c r="P413" s="15" t="s">
        <v>2442</v>
      </c>
      <c r="Q413" s="25" t="s">
        <v>2085</v>
      </c>
      <c r="R413" s="25" t="s">
        <v>2435</v>
      </c>
      <c r="S413" s="73" t="s">
        <v>2328</v>
      </c>
    </row>
    <row r="414" spans="1:19" x14ac:dyDescent="0.2">
      <c r="A414" s="1">
        <v>412</v>
      </c>
      <c r="B414" s="1" t="s">
        <v>93</v>
      </c>
      <c r="C414" s="1" t="s">
        <v>2446</v>
      </c>
      <c r="D414" s="11" t="s">
        <v>111</v>
      </c>
      <c r="E414" s="1" t="s">
        <v>863</v>
      </c>
      <c r="F414" s="67" t="s">
        <v>922</v>
      </c>
      <c r="G414" s="24" t="s">
        <v>1425</v>
      </c>
      <c r="H414" s="16">
        <v>23</v>
      </c>
      <c r="I414" s="25">
        <v>1</v>
      </c>
      <c r="J414" s="56">
        <v>7390</v>
      </c>
      <c r="K414" s="15">
        <f>3550+270+400-70</f>
        <v>4150</v>
      </c>
      <c r="L414" s="24" t="s">
        <v>2045</v>
      </c>
      <c r="M414" s="24" t="s">
        <v>2014</v>
      </c>
      <c r="N414" s="1" t="s">
        <v>2013</v>
      </c>
      <c r="O414" s="15" t="s">
        <v>2082</v>
      </c>
      <c r="P414" s="15" t="s">
        <v>2442</v>
      </c>
      <c r="Q414" s="25" t="s">
        <v>2087</v>
      </c>
      <c r="R414" s="25" t="s">
        <v>2434</v>
      </c>
      <c r="S414" s="73" t="s">
        <v>2310</v>
      </c>
    </row>
    <row r="415" spans="1:19" x14ac:dyDescent="0.2">
      <c r="A415" s="1">
        <v>412</v>
      </c>
      <c r="B415" s="1" t="s">
        <v>5</v>
      </c>
      <c r="C415" s="1" t="s">
        <v>2445</v>
      </c>
      <c r="D415" s="1" t="s">
        <v>869</v>
      </c>
      <c r="E415" s="1" t="s">
        <v>818</v>
      </c>
      <c r="F415" s="67" t="s">
        <v>923</v>
      </c>
      <c r="G415" s="24" t="s">
        <v>1426</v>
      </c>
      <c r="H415" s="16">
        <v>38</v>
      </c>
      <c r="I415" s="25">
        <v>2</v>
      </c>
      <c r="J415" s="56">
        <v>1190</v>
      </c>
      <c r="K415" s="15">
        <v>700</v>
      </c>
      <c r="L415" s="24" t="s">
        <v>2022</v>
      </c>
      <c r="M415" s="24" t="s">
        <v>2016</v>
      </c>
      <c r="N415" s="1" t="s">
        <v>2013</v>
      </c>
      <c r="O415" s="15" t="s">
        <v>2082</v>
      </c>
      <c r="P415" s="15" t="s">
        <v>2442</v>
      </c>
      <c r="Q415" s="25" t="s">
        <v>2085</v>
      </c>
      <c r="R415" s="25" t="s">
        <v>2436</v>
      </c>
      <c r="S415" s="73" t="s">
        <v>2195</v>
      </c>
    </row>
    <row r="416" spans="1:19" x14ac:dyDescent="0.2">
      <c r="A416" s="1">
        <v>413</v>
      </c>
      <c r="B416" s="1" t="s">
        <v>134</v>
      </c>
      <c r="C416" s="1" t="s">
        <v>2446</v>
      </c>
      <c r="D416" s="11" t="s">
        <v>2540</v>
      </c>
      <c r="E416" s="1" t="s">
        <v>863</v>
      </c>
      <c r="F416" s="67" t="s">
        <v>924</v>
      </c>
      <c r="G416" s="24" t="s">
        <v>1427</v>
      </c>
      <c r="H416" s="16">
        <v>41</v>
      </c>
      <c r="I416" s="25">
        <v>4</v>
      </c>
      <c r="J416" s="56">
        <v>1700</v>
      </c>
      <c r="K416" s="15">
        <f>650+100+60-70</f>
        <v>740</v>
      </c>
      <c r="L416" s="24" t="s">
        <v>2055</v>
      </c>
      <c r="M416" s="24" t="s">
        <v>2014</v>
      </c>
      <c r="N416" s="1" t="s">
        <v>2013</v>
      </c>
      <c r="O416" s="15" t="s">
        <v>2082</v>
      </c>
      <c r="P416" s="15" t="s">
        <v>2442</v>
      </c>
      <c r="Q416" s="25" t="s">
        <v>2087</v>
      </c>
      <c r="R416" s="25" t="s">
        <v>2437</v>
      </c>
      <c r="S416" s="73" t="s">
        <v>2149</v>
      </c>
    </row>
    <row r="417" spans="1:19" x14ac:dyDescent="0.2">
      <c r="A417" s="1">
        <v>414</v>
      </c>
      <c r="B417" s="1" t="s">
        <v>136</v>
      </c>
      <c r="C417" s="1" t="s">
        <v>2446</v>
      </c>
      <c r="D417" s="1" t="s">
        <v>135</v>
      </c>
      <c r="E417" s="1" t="s">
        <v>864</v>
      </c>
      <c r="F417" s="67" t="s">
        <v>925</v>
      </c>
      <c r="G417" s="24" t="s">
        <v>1428</v>
      </c>
      <c r="H417" s="16">
        <v>29</v>
      </c>
      <c r="I417" s="25">
        <v>5</v>
      </c>
      <c r="J417" s="56">
        <v>2030</v>
      </c>
      <c r="K417" s="15">
        <v>670</v>
      </c>
      <c r="L417" s="24" t="s">
        <v>2033</v>
      </c>
      <c r="M417" s="24" t="s">
        <v>2016</v>
      </c>
      <c r="N417" s="1" t="s">
        <v>2013</v>
      </c>
      <c r="O417" s="15" t="s">
        <v>2082</v>
      </c>
      <c r="P417" s="15" t="s">
        <v>2442</v>
      </c>
      <c r="Q417" s="25" t="s">
        <v>2086</v>
      </c>
      <c r="R417" s="25" t="s">
        <v>2435</v>
      </c>
      <c r="S417" s="73" t="s">
        <v>2329</v>
      </c>
    </row>
    <row r="418" spans="1:19" x14ac:dyDescent="0.2">
      <c r="A418" s="1">
        <v>415</v>
      </c>
      <c r="B418" s="1" t="s">
        <v>12</v>
      </c>
      <c r="C418" s="1" t="s">
        <v>2445</v>
      </c>
      <c r="D418" s="1" t="s">
        <v>869</v>
      </c>
      <c r="E418" s="1" t="s">
        <v>817</v>
      </c>
      <c r="F418" s="69" t="s">
        <v>904</v>
      </c>
      <c r="G418" s="24" t="s">
        <v>1429</v>
      </c>
      <c r="H418" s="16">
        <v>60</v>
      </c>
      <c r="I418" s="25">
        <v>2</v>
      </c>
      <c r="J418" s="56">
        <v>1240</v>
      </c>
      <c r="K418" s="15">
        <v>700</v>
      </c>
      <c r="L418" s="24" t="s">
        <v>2038</v>
      </c>
      <c r="M418" s="24" t="s">
        <v>2024</v>
      </c>
      <c r="N418" s="1" t="s">
        <v>2013</v>
      </c>
      <c r="O418" s="15" t="s">
        <v>2082</v>
      </c>
      <c r="P418" s="15" t="s">
        <v>2442</v>
      </c>
      <c r="Q418" s="25" t="s">
        <v>2088</v>
      </c>
      <c r="R418" s="25" t="s">
        <v>2436</v>
      </c>
      <c r="S418" s="73" t="s">
        <v>2155</v>
      </c>
    </row>
    <row r="419" spans="1:19" x14ac:dyDescent="0.2">
      <c r="A419" s="1">
        <v>416</v>
      </c>
      <c r="B419" s="1" t="s">
        <v>137</v>
      </c>
      <c r="C419" s="1" t="s">
        <v>2446</v>
      </c>
      <c r="D419" s="11" t="s">
        <v>2541</v>
      </c>
      <c r="E419" s="1" t="s">
        <v>863</v>
      </c>
      <c r="F419" s="66" t="s">
        <v>926</v>
      </c>
      <c r="G419" s="24" t="s">
        <v>1430</v>
      </c>
      <c r="H419" s="16">
        <v>33</v>
      </c>
      <c r="I419" s="25">
        <v>3</v>
      </c>
      <c r="J419" s="56">
        <v>3460</v>
      </c>
      <c r="K419" s="15">
        <f>1690+250</f>
        <v>1940</v>
      </c>
      <c r="L419" s="24" t="s">
        <v>2027</v>
      </c>
      <c r="M419" s="24" t="s">
        <v>2014</v>
      </c>
      <c r="N419" s="1" t="s">
        <v>2013</v>
      </c>
      <c r="O419" s="15" t="s">
        <v>2082</v>
      </c>
      <c r="P419" s="15" t="s">
        <v>2442</v>
      </c>
      <c r="Q419" s="25" t="s">
        <v>2085</v>
      </c>
      <c r="R419" s="25" t="s">
        <v>2434</v>
      </c>
      <c r="S419" s="73" t="s">
        <v>2274</v>
      </c>
    </row>
    <row r="420" spans="1:19" x14ac:dyDescent="0.2">
      <c r="A420" s="1">
        <v>417</v>
      </c>
      <c r="B420" s="1" t="s">
        <v>138</v>
      </c>
      <c r="C420" s="1" t="s">
        <v>2446</v>
      </c>
      <c r="D420" s="11" t="s">
        <v>2542</v>
      </c>
      <c r="E420" s="1" t="s">
        <v>823</v>
      </c>
      <c r="F420" s="66" t="s">
        <v>927</v>
      </c>
      <c r="G420" s="24" t="s">
        <v>1431</v>
      </c>
      <c r="H420" s="16">
        <v>22</v>
      </c>
      <c r="I420" s="25">
        <v>1</v>
      </c>
      <c r="J420" s="56">
        <v>1700</v>
      </c>
      <c r="K420" s="15">
        <v>875</v>
      </c>
      <c r="L420" s="24" t="s">
        <v>2057</v>
      </c>
      <c r="M420" s="24" t="s">
        <v>2020</v>
      </c>
      <c r="N420" s="1" t="s">
        <v>2013</v>
      </c>
      <c r="O420" s="15" t="s">
        <v>2082</v>
      </c>
      <c r="P420" s="15" t="s">
        <v>2442</v>
      </c>
      <c r="Q420" s="25" t="s">
        <v>2089</v>
      </c>
      <c r="R420" s="25" t="s">
        <v>2437</v>
      </c>
      <c r="S420" s="73" t="s">
        <v>2202</v>
      </c>
    </row>
    <row r="421" spans="1:19" x14ac:dyDescent="0.2">
      <c r="A421" s="1">
        <v>418</v>
      </c>
      <c r="B421" s="1" t="s">
        <v>139</v>
      </c>
      <c r="C421" s="1" t="s">
        <v>2446</v>
      </c>
      <c r="D421" s="11" t="s">
        <v>2543</v>
      </c>
      <c r="E421" s="1" t="s">
        <v>828</v>
      </c>
      <c r="F421" s="66" t="s">
        <v>877</v>
      </c>
      <c r="G421" s="24" t="s">
        <v>1432</v>
      </c>
      <c r="H421" s="16">
        <v>47</v>
      </c>
      <c r="I421" s="25">
        <v>4</v>
      </c>
      <c r="J421" s="56">
        <v>1650</v>
      </c>
      <c r="K421" s="15">
        <v>875</v>
      </c>
      <c r="L421" s="24" t="s">
        <v>2061</v>
      </c>
      <c r="M421" s="24" t="s">
        <v>2014</v>
      </c>
      <c r="N421" s="1" t="s">
        <v>2013</v>
      </c>
      <c r="O421" s="15" t="s">
        <v>2082</v>
      </c>
      <c r="P421" s="15" t="s">
        <v>2442</v>
      </c>
      <c r="Q421" s="25" t="s">
        <v>2087</v>
      </c>
      <c r="R421" s="25" t="s">
        <v>2435</v>
      </c>
      <c r="S421" s="73" t="s">
        <v>2169</v>
      </c>
    </row>
    <row r="422" spans="1:19" x14ac:dyDescent="0.2">
      <c r="A422" s="1">
        <v>419</v>
      </c>
      <c r="B422" s="1" t="s">
        <v>140</v>
      </c>
      <c r="C422" s="1" t="s">
        <v>2446</v>
      </c>
      <c r="D422" s="11" t="s">
        <v>2544</v>
      </c>
      <c r="E422" s="1" t="s">
        <v>822</v>
      </c>
      <c r="F422" s="66" t="s">
        <v>878</v>
      </c>
      <c r="G422" s="24" t="s">
        <v>1433</v>
      </c>
      <c r="H422" s="16">
        <v>55</v>
      </c>
      <c r="I422" s="25">
        <v>5</v>
      </c>
      <c r="J422" s="56">
        <v>5300</v>
      </c>
      <c r="K422" s="15">
        <f>2300+300</f>
        <v>2600</v>
      </c>
      <c r="L422" s="24" t="s">
        <v>2036</v>
      </c>
      <c r="M422" s="24" t="s">
        <v>2014</v>
      </c>
      <c r="N422" s="1" t="s">
        <v>2013</v>
      </c>
      <c r="O422" s="15" t="s">
        <v>2082</v>
      </c>
      <c r="P422" s="15" t="s">
        <v>2442</v>
      </c>
      <c r="Q422" s="25" t="s">
        <v>2090</v>
      </c>
      <c r="R422" s="25" t="s">
        <v>2434</v>
      </c>
      <c r="S422" s="73" t="s">
        <v>2109</v>
      </c>
    </row>
    <row r="423" spans="1:19" x14ac:dyDescent="0.2">
      <c r="A423" s="1">
        <v>420</v>
      </c>
      <c r="B423" s="1" t="s">
        <v>141</v>
      </c>
      <c r="C423" s="1" t="s">
        <v>2446</v>
      </c>
      <c r="D423" s="11" t="s">
        <v>2544</v>
      </c>
      <c r="E423" s="1" t="s">
        <v>822</v>
      </c>
      <c r="F423" s="66" t="s">
        <v>879</v>
      </c>
      <c r="G423" s="24" t="s">
        <v>1434</v>
      </c>
      <c r="H423" s="16">
        <v>36</v>
      </c>
      <c r="I423" s="25">
        <v>3</v>
      </c>
      <c r="J423" s="56">
        <v>5300</v>
      </c>
      <c r="K423" s="15">
        <f>2300+300</f>
        <v>2600</v>
      </c>
      <c r="L423" s="24" t="s">
        <v>2035</v>
      </c>
      <c r="M423" s="24" t="s">
        <v>2024</v>
      </c>
      <c r="N423" s="1" t="s">
        <v>2013</v>
      </c>
      <c r="O423" s="15" t="s">
        <v>2082</v>
      </c>
      <c r="P423" s="15" t="s">
        <v>2442</v>
      </c>
      <c r="Q423" s="25" t="s">
        <v>2089</v>
      </c>
      <c r="R423" s="25" t="s">
        <v>2436</v>
      </c>
      <c r="S423" s="73" t="s">
        <v>2330</v>
      </c>
    </row>
    <row r="424" spans="1:19" x14ac:dyDescent="0.2">
      <c r="A424" s="1">
        <v>421</v>
      </c>
      <c r="B424" s="1" t="s">
        <v>61</v>
      </c>
      <c r="C424" s="1" t="s">
        <v>2446</v>
      </c>
      <c r="D424" s="11" t="s">
        <v>2545</v>
      </c>
      <c r="E424" s="1" t="s">
        <v>863</v>
      </c>
      <c r="F424" s="66" t="s">
        <v>880</v>
      </c>
      <c r="G424" s="24" t="s">
        <v>1435</v>
      </c>
      <c r="H424" s="16">
        <v>28</v>
      </c>
      <c r="I424" s="25">
        <v>2</v>
      </c>
      <c r="J424" s="56">
        <v>5000</v>
      </c>
      <c r="K424" s="15">
        <f>2000+500+550+300</f>
        <v>3350</v>
      </c>
      <c r="L424" s="24" t="s">
        <v>2061</v>
      </c>
      <c r="M424" s="24" t="s">
        <v>2014</v>
      </c>
      <c r="N424" s="1" t="s">
        <v>2013</v>
      </c>
      <c r="O424" s="15" t="s">
        <v>2082</v>
      </c>
      <c r="P424" s="15" t="s">
        <v>2442</v>
      </c>
      <c r="Q424" s="25" t="s">
        <v>2085</v>
      </c>
      <c r="R424" s="25" t="s">
        <v>2437</v>
      </c>
      <c r="S424" s="73" t="s">
        <v>2331</v>
      </c>
    </row>
    <row r="425" spans="1:19" x14ac:dyDescent="0.2">
      <c r="A425" s="1">
        <v>422</v>
      </c>
      <c r="B425" s="1" t="s">
        <v>93</v>
      </c>
      <c r="C425" s="1" t="s">
        <v>2446</v>
      </c>
      <c r="D425" s="1" t="s">
        <v>142</v>
      </c>
      <c r="E425" s="35" t="s">
        <v>864</v>
      </c>
      <c r="F425" s="66" t="s">
        <v>881</v>
      </c>
      <c r="G425" s="24" t="s">
        <v>1436</v>
      </c>
      <c r="H425" s="16">
        <v>50</v>
      </c>
      <c r="I425" s="25">
        <v>4</v>
      </c>
      <c r="J425" s="56">
        <v>8850</v>
      </c>
      <c r="K425" s="15">
        <v>3290</v>
      </c>
      <c r="L425" s="24" t="s">
        <v>2052</v>
      </c>
      <c r="M425" s="24" t="s">
        <v>2020</v>
      </c>
      <c r="N425" s="1" t="s">
        <v>2013</v>
      </c>
      <c r="O425" s="15" t="s">
        <v>2082</v>
      </c>
      <c r="P425" s="15" t="s">
        <v>2442</v>
      </c>
      <c r="Q425" s="25" t="s">
        <v>2090</v>
      </c>
      <c r="R425" s="25" t="s">
        <v>2435</v>
      </c>
      <c r="S425" s="73" t="s">
        <v>2332</v>
      </c>
    </row>
    <row r="426" spans="1:19" x14ac:dyDescent="0.2">
      <c r="A426" s="1">
        <v>423</v>
      </c>
      <c r="B426" s="1" t="s">
        <v>7</v>
      </c>
      <c r="C426" s="1" t="s">
        <v>2445</v>
      </c>
      <c r="D426" s="1" t="s">
        <v>869</v>
      </c>
      <c r="E426" s="35" t="s">
        <v>823</v>
      </c>
      <c r="F426" s="66" t="s">
        <v>882</v>
      </c>
      <c r="G426" s="24" t="s">
        <v>1437</v>
      </c>
      <c r="H426" s="16">
        <v>39</v>
      </c>
      <c r="I426" s="25">
        <v>1</v>
      </c>
      <c r="J426" s="56">
        <f>1190+150</f>
        <v>1340</v>
      </c>
      <c r="K426" s="15">
        <v>750</v>
      </c>
      <c r="L426" s="24" t="s">
        <v>2056</v>
      </c>
      <c r="M426" s="24" t="s">
        <v>2024</v>
      </c>
      <c r="N426" s="1" t="s">
        <v>2013</v>
      </c>
      <c r="O426" s="15" t="s">
        <v>2082</v>
      </c>
      <c r="P426" s="15" t="s">
        <v>2442</v>
      </c>
      <c r="Q426" s="25" t="s">
        <v>2089</v>
      </c>
      <c r="R426" s="25" t="s">
        <v>2436</v>
      </c>
      <c r="S426" s="73" t="s">
        <v>2333</v>
      </c>
    </row>
    <row r="427" spans="1:19" x14ac:dyDescent="0.2">
      <c r="A427" s="1">
        <v>424</v>
      </c>
      <c r="B427" s="1" t="s">
        <v>39</v>
      </c>
      <c r="C427" s="1" t="s">
        <v>2446</v>
      </c>
      <c r="D427" s="11" t="s">
        <v>143</v>
      </c>
      <c r="E427" s="35" t="s">
        <v>823</v>
      </c>
      <c r="F427" s="66" t="s">
        <v>881</v>
      </c>
      <c r="G427" s="24" t="s">
        <v>1438</v>
      </c>
      <c r="H427" s="16">
        <v>31</v>
      </c>
      <c r="I427" s="25">
        <v>5</v>
      </c>
      <c r="J427" s="56">
        <v>2350</v>
      </c>
      <c r="K427" s="15">
        <f>790+100</f>
        <v>890</v>
      </c>
      <c r="L427" s="24" t="s">
        <v>2022</v>
      </c>
      <c r="M427" s="24" t="s">
        <v>2016</v>
      </c>
      <c r="N427" s="1" t="s">
        <v>2013</v>
      </c>
      <c r="O427" s="15" t="s">
        <v>2082</v>
      </c>
      <c r="P427" s="15" t="s">
        <v>2442</v>
      </c>
      <c r="Q427" s="25" t="s">
        <v>2088</v>
      </c>
      <c r="R427" s="25" t="s">
        <v>2434</v>
      </c>
      <c r="S427" s="73" t="s">
        <v>2143</v>
      </c>
    </row>
    <row r="428" spans="1:19" x14ac:dyDescent="0.2">
      <c r="A428" s="1">
        <v>425</v>
      </c>
      <c r="B428" s="1" t="s">
        <v>145</v>
      </c>
      <c r="C428" s="1" t="s">
        <v>2446</v>
      </c>
      <c r="D428" s="11" t="s">
        <v>144</v>
      </c>
      <c r="E428" s="35" t="s">
        <v>863</v>
      </c>
      <c r="F428" s="66" t="s">
        <v>883</v>
      </c>
      <c r="G428" s="24" t="s">
        <v>1439</v>
      </c>
      <c r="H428" s="16">
        <v>44</v>
      </c>
      <c r="I428" s="25">
        <v>2</v>
      </c>
      <c r="J428" s="56">
        <v>6300</v>
      </c>
      <c r="K428" s="15">
        <f>2700+500-70</f>
        <v>3130</v>
      </c>
      <c r="L428" s="24" t="s">
        <v>2038</v>
      </c>
      <c r="M428" s="24" t="s">
        <v>2014</v>
      </c>
      <c r="N428" s="1" t="s">
        <v>2013</v>
      </c>
      <c r="O428" s="15" t="s">
        <v>2082</v>
      </c>
      <c r="P428" s="15" t="s">
        <v>2442</v>
      </c>
      <c r="Q428" s="25" t="s">
        <v>2085</v>
      </c>
      <c r="R428" s="25" t="s">
        <v>2437</v>
      </c>
      <c r="S428" s="73" t="s">
        <v>2220</v>
      </c>
    </row>
    <row r="429" spans="1:19" x14ac:dyDescent="0.2">
      <c r="A429" s="1">
        <v>426</v>
      </c>
      <c r="B429" s="1" t="s">
        <v>147</v>
      </c>
      <c r="C429" s="1" t="s">
        <v>2446</v>
      </c>
      <c r="D429" s="11" t="s">
        <v>146</v>
      </c>
      <c r="E429" s="35" t="s">
        <v>822</v>
      </c>
      <c r="F429" s="66" t="s">
        <v>884</v>
      </c>
      <c r="G429" s="24" t="s">
        <v>1440</v>
      </c>
      <c r="H429" s="16">
        <v>26</v>
      </c>
      <c r="I429" s="25">
        <v>3</v>
      </c>
      <c r="J429" s="56">
        <v>6200</v>
      </c>
      <c r="K429" s="15">
        <f>2600+400-70</f>
        <v>2930</v>
      </c>
      <c r="L429" s="24" t="s">
        <v>2050</v>
      </c>
      <c r="M429" s="24" t="s">
        <v>2024</v>
      </c>
      <c r="N429" s="1" t="s">
        <v>2013</v>
      </c>
      <c r="O429" s="15" t="s">
        <v>2082</v>
      </c>
      <c r="P429" s="15" t="s">
        <v>2442</v>
      </c>
      <c r="Q429" s="25" t="s">
        <v>2090</v>
      </c>
      <c r="R429" s="25" t="s">
        <v>2435</v>
      </c>
      <c r="S429" s="73" t="s">
        <v>2311</v>
      </c>
    </row>
    <row r="430" spans="1:19" x14ac:dyDescent="0.2">
      <c r="A430" s="1">
        <v>427</v>
      </c>
      <c r="B430" s="1" t="s">
        <v>148</v>
      </c>
      <c r="C430" s="1" t="s">
        <v>2446</v>
      </c>
      <c r="D430" s="11" t="s">
        <v>2546</v>
      </c>
      <c r="E430" s="35" t="s">
        <v>817</v>
      </c>
      <c r="F430" s="66" t="s">
        <v>928</v>
      </c>
      <c r="G430" s="24" t="s">
        <v>1441</v>
      </c>
      <c r="H430" s="16">
        <v>48</v>
      </c>
      <c r="I430" s="25">
        <v>4</v>
      </c>
      <c r="J430" s="56">
        <v>5690</v>
      </c>
      <c r="K430" s="15">
        <f>2670+330</f>
        <v>3000</v>
      </c>
      <c r="L430" s="24" t="s">
        <v>2018</v>
      </c>
      <c r="M430" s="24" t="s">
        <v>2020</v>
      </c>
      <c r="N430" s="1" t="s">
        <v>2013</v>
      </c>
      <c r="O430" s="15" t="s">
        <v>2082</v>
      </c>
      <c r="P430" s="15" t="s">
        <v>2442</v>
      </c>
      <c r="Q430" s="25" t="s">
        <v>2087</v>
      </c>
      <c r="R430" s="25" t="s">
        <v>2434</v>
      </c>
      <c r="S430" s="73" t="s">
        <v>2151</v>
      </c>
    </row>
    <row r="431" spans="1:19" x14ac:dyDescent="0.2">
      <c r="A431" s="1">
        <v>428</v>
      </c>
      <c r="B431" s="1" t="s">
        <v>150</v>
      </c>
      <c r="C431" s="1" t="s">
        <v>2446</v>
      </c>
      <c r="D431" s="11" t="s">
        <v>149</v>
      </c>
      <c r="E431" s="1" t="s">
        <v>863</v>
      </c>
      <c r="F431" s="66" t="s">
        <v>929</v>
      </c>
      <c r="G431" s="24" t="s">
        <v>1442</v>
      </c>
      <c r="H431" s="16">
        <v>53</v>
      </c>
      <c r="I431" s="25">
        <v>1</v>
      </c>
      <c r="J431" s="56">
        <f>6880+150</f>
        <v>7030</v>
      </c>
      <c r="K431" s="15">
        <f>1470+1300+80+80+60</f>
        <v>2990</v>
      </c>
      <c r="L431" s="24" t="s">
        <v>2060</v>
      </c>
      <c r="M431" s="24" t="s">
        <v>2024</v>
      </c>
      <c r="N431" s="1" t="s">
        <v>2013</v>
      </c>
      <c r="O431" s="15" t="s">
        <v>2082</v>
      </c>
      <c r="P431" s="15" t="s">
        <v>2442</v>
      </c>
      <c r="Q431" s="25" t="s">
        <v>2083</v>
      </c>
      <c r="R431" s="25" t="s">
        <v>2436</v>
      </c>
      <c r="S431" s="73" t="s">
        <v>2334</v>
      </c>
    </row>
    <row r="432" spans="1:19" x14ac:dyDescent="0.2">
      <c r="A432" s="1">
        <v>429</v>
      </c>
      <c r="B432" s="1" t="s">
        <v>152</v>
      </c>
      <c r="C432" s="1" t="s">
        <v>2446</v>
      </c>
      <c r="D432" s="11" t="s">
        <v>151</v>
      </c>
      <c r="E432" s="1" t="s">
        <v>864</v>
      </c>
      <c r="F432" s="66" t="s">
        <v>882</v>
      </c>
      <c r="G432" s="24" t="s">
        <v>1443</v>
      </c>
      <c r="H432" s="16">
        <v>30</v>
      </c>
      <c r="I432" s="25">
        <v>5</v>
      </c>
      <c r="J432" s="56">
        <f>2120</f>
        <v>2120</v>
      </c>
      <c r="K432" s="15">
        <f>560+120</f>
        <v>680</v>
      </c>
      <c r="L432" s="24" t="s">
        <v>2046</v>
      </c>
      <c r="M432" s="24" t="s">
        <v>2016</v>
      </c>
      <c r="N432" s="1" t="s">
        <v>2013</v>
      </c>
      <c r="O432" s="15" t="s">
        <v>2082</v>
      </c>
      <c r="P432" s="15" t="s">
        <v>2442</v>
      </c>
      <c r="Q432" s="25" t="s">
        <v>2089</v>
      </c>
      <c r="R432" s="25" t="s">
        <v>2437</v>
      </c>
      <c r="S432" s="73" t="s">
        <v>2132</v>
      </c>
    </row>
    <row r="433" spans="1:19" x14ac:dyDescent="0.2">
      <c r="A433" s="1">
        <v>430</v>
      </c>
      <c r="B433" s="1" t="s">
        <v>154</v>
      </c>
      <c r="C433" s="1" t="s">
        <v>2446</v>
      </c>
      <c r="D433" s="11" t="s">
        <v>153</v>
      </c>
      <c r="E433" s="1" t="s">
        <v>822</v>
      </c>
      <c r="F433" s="66" t="s">
        <v>930</v>
      </c>
      <c r="G433" s="24" t="s">
        <v>1444</v>
      </c>
      <c r="H433" s="16">
        <v>37</v>
      </c>
      <c r="I433" s="25">
        <v>3</v>
      </c>
      <c r="J433" s="56">
        <v>9260</v>
      </c>
      <c r="K433" s="15">
        <f>6000+195+410</f>
        <v>6605</v>
      </c>
      <c r="L433" s="24" t="s">
        <v>2050</v>
      </c>
      <c r="M433" s="24" t="s">
        <v>2024</v>
      </c>
      <c r="N433" s="1" t="s">
        <v>2013</v>
      </c>
      <c r="O433" s="15" t="s">
        <v>2082</v>
      </c>
      <c r="P433" s="15" t="s">
        <v>2442</v>
      </c>
      <c r="Q433" s="25" t="s">
        <v>2088</v>
      </c>
      <c r="R433" s="25" t="s">
        <v>2435</v>
      </c>
      <c r="S433" s="73" t="s">
        <v>2335</v>
      </c>
    </row>
    <row r="434" spans="1:19" x14ac:dyDescent="0.2">
      <c r="A434" s="1">
        <v>431</v>
      </c>
      <c r="B434" s="1" t="s">
        <v>155</v>
      </c>
      <c r="C434" s="1" t="s">
        <v>2446</v>
      </c>
      <c r="D434" s="11" t="s">
        <v>2547</v>
      </c>
      <c r="E434" s="1" t="s">
        <v>823</v>
      </c>
      <c r="F434" s="67" t="s">
        <v>915</v>
      </c>
      <c r="G434" s="24" t="s">
        <v>1445</v>
      </c>
      <c r="H434" s="16">
        <v>42</v>
      </c>
      <c r="I434" s="25">
        <v>2</v>
      </c>
      <c r="J434" s="56">
        <v>4850</v>
      </c>
      <c r="K434" s="15">
        <f>1970+410</f>
        <v>2380</v>
      </c>
      <c r="L434" s="24" t="s">
        <v>2048</v>
      </c>
      <c r="M434" s="24" t="s">
        <v>2014</v>
      </c>
      <c r="N434" s="1" t="s">
        <v>2013</v>
      </c>
      <c r="O434" s="15" t="s">
        <v>2082</v>
      </c>
      <c r="P434" s="15" t="s">
        <v>2442</v>
      </c>
      <c r="Q434" s="25" t="s">
        <v>2083</v>
      </c>
      <c r="R434" s="25" t="s">
        <v>2436</v>
      </c>
      <c r="S434" s="73" t="s">
        <v>2299</v>
      </c>
    </row>
    <row r="435" spans="1:19" x14ac:dyDescent="0.2">
      <c r="A435" s="1">
        <v>432</v>
      </c>
      <c r="B435" s="1" t="s">
        <v>157</v>
      </c>
      <c r="C435" s="1" t="s">
        <v>2446</v>
      </c>
      <c r="D435" s="1" t="s">
        <v>156</v>
      </c>
      <c r="E435" s="1" t="s">
        <v>828</v>
      </c>
      <c r="F435" s="66" t="s">
        <v>920</v>
      </c>
      <c r="G435" s="24" t="s">
        <v>1446</v>
      </c>
      <c r="H435" s="16">
        <v>24</v>
      </c>
      <c r="I435" s="25">
        <v>4</v>
      </c>
      <c r="J435" s="56">
        <v>2750</v>
      </c>
      <c r="K435" s="15">
        <v>950</v>
      </c>
      <c r="L435" s="24" t="s">
        <v>2048</v>
      </c>
      <c r="M435" s="24" t="s">
        <v>2014</v>
      </c>
      <c r="N435" s="1" t="s">
        <v>2013</v>
      </c>
      <c r="O435" s="15" t="s">
        <v>2082</v>
      </c>
      <c r="P435" s="15" t="s">
        <v>2442</v>
      </c>
      <c r="Q435" s="25" t="s">
        <v>2086</v>
      </c>
      <c r="R435" s="25" t="s">
        <v>2434</v>
      </c>
      <c r="S435" s="73" t="s">
        <v>2271</v>
      </c>
    </row>
    <row r="436" spans="1:19" x14ac:dyDescent="0.2">
      <c r="A436" s="1">
        <v>433</v>
      </c>
      <c r="B436" s="1" t="s">
        <v>159</v>
      </c>
      <c r="C436" s="1" t="s">
        <v>2446</v>
      </c>
      <c r="D436" s="11" t="s">
        <v>158</v>
      </c>
      <c r="E436" s="1" t="s">
        <v>863</v>
      </c>
      <c r="F436" s="67" t="s">
        <v>921</v>
      </c>
      <c r="G436" s="24" t="s">
        <v>1447</v>
      </c>
      <c r="H436" s="16">
        <v>28</v>
      </c>
      <c r="I436" s="25">
        <v>1</v>
      </c>
      <c r="J436" s="56">
        <v>7670</v>
      </c>
      <c r="K436" s="15">
        <f>1739+60+1500</f>
        <v>3299</v>
      </c>
      <c r="L436" s="24" t="s">
        <v>2061</v>
      </c>
      <c r="M436" s="24" t="s">
        <v>2014</v>
      </c>
      <c r="N436" s="1" t="s">
        <v>2013</v>
      </c>
      <c r="O436" s="15" t="s">
        <v>2082</v>
      </c>
      <c r="P436" s="15" t="s">
        <v>2442</v>
      </c>
      <c r="Q436" s="25" t="s">
        <v>2085</v>
      </c>
      <c r="R436" s="25" t="s">
        <v>2437</v>
      </c>
      <c r="S436" s="73" t="s">
        <v>2284</v>
      </c>
    </row>
    <row r="437" spans="1:19" x14ac:dyDescent="0.2">
      <c r="A437" s="1">
        <v>434</v>
      </c>
      <c r="B437" s="1" t="s">
        <v>68</v>
      </c>
      <c r="C437" s="1" t="s">
        <v>2446</v>
      </c>
      <c r="D437" s="1" t="s">
        <v>160</v>
      </c>
      <c r="E437" s="1" t="s">
        <v>863</v>
      </c>
      <c r="F437" s="67" t="s">
        <v>922</v>
      </c>
      <c r="G437" s="24" t="s">
        <v>1448</v>
      </c>
      <c r="H437" s="16">
        <v>50</v>
      </c>
      <c r="I437" s="25">
        <v>5</v>
      </c>
      <c r="J437" s="56">
        <v>2900</v>
      </c>
      <c r="K437" s="15">
        <f>940+200</f>
        <v>1140</v>
      </c>
      <c r="L437" s="24" t="s">
        <v>2052</v>
      </c>
      <c r="M437" s="24" t="s">
        <v>2014</v>
      </c>
      <c r="N437" s="1" t="s">
        <v>2013</v>
      </c>
      <c r="O437" s="15" t="s">
        <v>2082</v>
      </c>
      <c r="P437" s="15" t="s">
        <v>2442</v>
      </c>
      <c r="Q437" s="25" t="s">
        <v>2088</v>
      </c>
      <c r="R437" s="25" t="s">
        <v>2435</v>
      </c>
      <c r="S437" s="73" t="s">
        <v>2336</v>
      </c>
    </row>
    <row r="438" spans="1:19" x14ac:dyDescent="0.2">
      <c r="A438" s="1">
        <v>435</v>
      </c>
      <c r="B438" s="1" t="s">
        <v>162</v>
      </c>
      <c r="C438" s="1" t="s">
        <v>2446</v>
      </c>
      <c r="D438" s="1" t="s">
        <v>161</v>
      </c>
      <c r="E438" s="1" t="s">
        <v>822</v>
      </c>
      <c r="F438" s="67" t="s">
        <v>923</v>
      </c>
      <c r="G438" s="24" t="s">
        <v>1449</v>
      </c>
      <c r="H438" s="16">
        <v>39</v>
      </c>
      <c r="I438" s="25">
        <v>2</v>
      </c>
      <c r="J438" s="56">
        <f>4930+400</f>
        <v>5330</v>
      </c>
      <c r="K438" s="15">
        <f>2800+310</f>
        <v>3110</v>
      </c>
      <c r="L438" s="24" t="s">
        <v>2036</v>
      </c>
      <c r="M438" s="24" t="s">
        <v>2014</v>
      </c>
      <c r="N438" s="1" t="s">
        <v>2013</v>
      </c>
      <c r="O438" s="15" t="s">
        <v>2082</v>
      </c>
      <c r="P438" s="15" t="s">
        <v>2442</v>
      </c>
      <c r="Q438" s="25" t="s">
        <v>2087</v>
      </c>
      <c r="R438" s="25" t="s">
        <v>2434</v>
      </c>
      <c r="S438" s="73" t="s">
        <v>2169</v>
      </c>
    </row>
    <row r="439" spans="1:19" x14ac:dyDescent="0.2">
      <c r="A439" s="1">
        <v>436</v>
      </c>
      <c r="B439" s="1" t="s">
        <v>164</v>
      </c>
      <c r="C439" s="1" t="s">
        <v>2446</v>
      </c>
      <c r="D439" s="1" t="s">
        <v>163</v>
      </c>
      <c r="E439" s="1" t="s">
        <v>864</v>
      </c>
      <c r="F439" s="67" t="s">
        <v>924</v>
      </c>
      <c r="G439" s="24" t="s">
        <v>1450</v>
      </c>
      <c r="H439" s="16">
        <v>31</v>
      </c>
      <c r="I439" s="25">
        <v>3</v>
      </c>
      <c r="J439" s="56">
        <v>3440</v>
      </c>
      <c r="K439" s="15">
        <v>1750</v>
      </c>
      <c r="L439" s="24" t="s">
        <v>2047</v>
      </c>
      <c r="M439" s="24" t="s">
        <v>2024</v>
      </c>
      <c r="N439" s="1" t="s">
        <v>2013</v>
      </c>
      <c r="O439" s="15" t="s">
        <v>2082</v>
      </c>
      <c r="P439" s="15" t="s">
        <v>2442</v>
      </c>
      <c r="Q439" s="25" t="s">
        <v>2085</v>
      </c>
      <c r="R439" s="25" t="s">
        <v>2436</v>
      </c>
      <c r="S439" s="73" t="s">
        <v>2186</v>
      </c>
    </row>
    <row r="440" spans="1:19" x14ac:dyDescent="0.2">
      <c r="A440" s="1">
        <v>437</v>
      </c>
      <c r="B440" s="1" t="s">
        <v>164</v>
      </c>
      <c r="C440" s="1" t="s">
        <v>2446</v>
      </c>
      <c r="D440" s="1" t="s">
        <v>163</v>
      </c>
      <c r="E440" s="1" t="s">
        <v>822</v>
      </c>
      <c r="F440" s="67" t="s">
        <v>925</v>
      </c>
      <c r="G440" s="24" t="s">
        <v>1451</v>
      </c>
      <c r="H440" s="16">
        <v>24</v>
      </c>
      <c r="I440" s="25">
        <v>4</v>
      </c>
      <c r="J440" s="56">
        <v>3440</v>
      </c>
      <c r="K440" s="15">
        <v>1750</v>
      </c>
      <c r="L440" s="24" t="s">
        <v>2061</v>
      </c>
      <c r="M440" s="24" t="s">
        <v>2014</v>
      </c>
      <c r="N440" s="1" t="s">
        <v>2013</v>
      </c>
      <c r="O440" s="15" t="s">
        <v>2082</v>
      </c>
      <c r="P440" s="15" t="s">
        <v>2442</v>
      </c>
      <c r="Q440" s="25" t="s">
        <v>2089</v>
      </c>
      <c r="R440" s="25" t="s">
        <v>2437</v>
      </c>
      <c r="S440" s="73" t="s">
        <v>2305</v>
      </c>
    </row>
    <row r="441" spans="1:19" x14ac:dyDescent="0.2">
      <c r="A441" s="1">
        <v>438</v>
      </c>
      <c r="B441" s="1" t="s">
        <v>165</v>
      </c>
      <c r="C441" s="1" t="s">
        <v>2446</v>
      </c>
      <c r="D441" s="1" t="s">
        <v>2548</v>
      </c>
      <c r="E441" s="1" t="s">
        <v>2768</v>
      </c>
      <c r="F441" s="69" t="s">
        <v>904</v>
      </c>
      <c r="G441" s="24" t="s">
        <v>1452</v>
      </c>
      <c r="H441" s="16">
        <v>57</v>
      </c>
      <c r="I441" s="25">
        <v>1</v>
      </c>
      <c r="J441" s="56">
        <v>2110</v>
      </c>
      <c r="K441" s="15">
        <v>1050</v>
      </c>
      <c r="L441" s="24" t="s">
        <v>2017</v>
      </c>
      <c r="M441" s="24" t="s">
        <v>2016</v>
      </c>
      <c r="N441" s="1" t="s">
        <v>2013</v>
      </c>
      <c r="O441" s="15" t="s">
        <v>2082</v>
      </c>
      <c r="P441" s="15" t="s">
        <v>2442</v>
      </c>
      <c r="Q441" s="25" t="s">
        <v>2089</v>
      </c>
      <c r="R441" s="25" t="s">
        <v>2435</v>
      </c>
      <c r="S441" s="73" t="s">
        <v>2314</v>
      </c>
    </row>
    <row r="442" spans="1:19" x14ac:dyDescent="0.2">
      <c r="A442" s="1">
        <v>438</v>
      </c>
      <c r="B442" s="1" t="s">
        <v>167</v>
      </c>
      <c r="C442" s="1" t="s">
        <v>2446</v>
      </c>
      <c r="D442" s="1" t="s">
        <v>166</v>
      </c>
      <c r="E442" s="1" t="s">
        <v>864</v>
      </c>
      <c r="F442" s="66" t="s">
        <v>926</v>
      </c>
      <c r="G442" s="24" t="s">
        <v>1453</v>
      </c>
      <c r="H442" s="16">
        <v>35</v>
      </c>
      <c r="I442" s="25">
        <v>5</v>
      </c>
      <c r="J442" s="56">
        <v>7370</v>
      </c>
      <c r="K442" s="15">
        <v>3660</v>
      </c>
      <c r="L442" s="24" t="s">
        <v>2046</v>
      </c>
      <c r="M442" s="24" t="s">
        <v>2016</v>
      </c>
      <c r="N442" s="1" t="s">
        <v>2013</v>
      </c>
      <c r="O442" s="15" t="s">
        <v>2082</v>
      </c>
      <c r="P442" s="15" t="s">
        <v>2442</v>
      </c>
      <c r="Q442" s="25" t="s">
        <v>2088</v>
      </c>
      <c r="R442" s="25" t="s">
        <v>2436</v>
      </c>
      <c r="S442" s="73" t="s">
        <v>2337</v>
      </c>
    </row>
    <row r="443" spans="1:19" x14ac:dyDescent="0.2">
      <c r="A443" s="1">
        <v>440</v>
      </c>
      <c r="B443" s="1" t="s">
        <v>168</v>
      </c>
      <c r="C443" s="1" t="s">
        <v>2446</v>
      </c>
      <c r="D443" s="1" t="s">
        <v>2549</v>
      </c>
      <c r="E443" s="1" t="s">
        <v>822</v>
      </c>
      <c r="F443" s="66" t="s">
        <v>927</v>
      </c>
      <c r="G443" s="24" t="s">
        <v>1454</v>
      </c>
      <c r="H443" s="16">
        <v>40</v>
      </c>
      <c r="I443" s="25">
        <v>3</v>
      </c>
      <c r="J443" s="56">
        <v>3200</v>
      </c>
      <c r="K443" s="15">
        <v>1300</v>
      </c>
      <c r="L443" s="24" t="s">
        <v>2054</v>
      </c>
      <c r="M443" s="24" t="s">
        <v>2016</v>
      </c>
      <c r="N443" s="1" t="s">
        <v>2013</v>
      </c>
      <c r="O443" s="15" t="s">
        <v>2082</v>
      </c>
      <c r="P443" s="15" t="s">
        <v>2442</v>
      </c>
      <c r="Q443" s="25" t="s">
        <v>2084</v>
      </c>
      <c r="R443" s="25" t="s">
        <v>2434</v>
      </c>
      <c r="S443" s="73" t="s">
        <v>2205</v>
      </c>
    </row>
    <row r="444" spans="1:19" x14ac:dyDescent="0.2">
      <c r="A444" s="1">
        <v>441</v>
      </c>
      <c r="B444" s="1" t="s">
        <v>17</v>
      </c>
      <c r="C444" s="1" t="s">
        <v>2446</v>
      </c>
      <c r="D444" s="1" t="s">
        <v>2550</v>
      </c>
      <c r="E444" s="1" t="s">
        <v>863</v>
      </c>
      <c r="F444" s="66" t="s">
        <v>877</v>
      </c>
      <c r="G444" s="24" t="s">
        <v>1455</v>
      </c>
      <c r="H444" s="16">
        <v>21</v>
      </c>
      <c r="I444" s="25">
        <v>2</v>
      </c>
      <c r="J444" s="56">
        <v>1920</v>
      </c>
      <c r="K444" s="15">
        <v>920</v>
      </c>
      <c r="L444" s="24" t="s">
        <v>2032</v>
      </c>
      <c r="M444" s="24" t="s">
        <v>2014</v>
      </c>
      <c r="N444" s="1" t="s">
        <v>2013</v>
      </c>
      <c r="O444" s="15" t="s">
        <v>2082</v>
      </c>
      <c r="P444" s="15" t="s">
        <v>2442</v>
      </c>
      <c r="Q444" s="25" t="s">
        <v>2083</v>
      </c>
      <c r="R444" s="25" t="s">
        <v>2437</v>
      </c>
      <c r="S444" s="73" t="s">
        <v>2194</v>
      </c>
    </row>
    <row r="445" spans="1:19" x14ac:dyDescent="0.2">
      <c r="A445" s="1">
        <v>442</v>
      </c>
      <c r="B445" s="1" t="s">
        <v>169</v>
      </c>
      <c r="C445" s="1" t="s">
        <v>2446</v>
      </c>
      <c r="D445" s="1" t="s">
        <v>2551</v>
      </c>
      <c r="E445" s="1" t="s">
        <v>863</v>
      </c>
      <c r="F445" s="66" t="s">
        <v>878</v>
      </c>
      <c r="G445" s="24" t="s">
        <v>1456</v>
      </c>
      <c r="H445" s="16">
        <v>36</v>
      </c>
      <c r="I445" s="25">
        <v>4</v>
      </c>
      <c r="J445" s="56">
        <v>1610</v>
      </c>
      <c r="K445" s="15">
        <f>660+80</f>
        <v>740</v>
      </c>
      <c r="L445" s="24" t="s">
        <v>2028</v>
      </c>
      <c r="M445" s="24" t="s">
        <v>2020</v>
      </c>
      <c r="N445" s="1" t="s">
        <v>2013</v>
      </c>
      <c r="O445" s="15" t="s">
        <v>2082</v>
      </c>
      <c r="P445" s="15" t="s">
        <v>2442</v>
      </c>
      <c r="Q445" s="25" t="s">
        <v>2087</v>
      </c>
      <c r="R445" s="25" t="s">
        <v>2435</v>
      </c>
      <c r="S445" s="73" t="s">
        <v>2265</v>
      </c>
    </row>
    <row r="446" spans="1:19" x14ac:dyDescent="0.2">
      <c r="A446" s="1">
        <v>443</v>
      </c>
      <c r="B446" s="1" t="s">
        <v>171</v>
      </c>
      <c r="C446" s="1" t="s">
        <v>2446</v>
      </c>
      <c r="D446" s="1" t="s">
        <v>170</v>
      </c>
      <c r="E446" s="1" t="s">
        <v>864</v>
      </c>
      <c r="F446" s="66" t="s">
        <v>879</v>
      </c>
      <c r="G446" s="24" t="s">
        <v>1457</v>
      </c>
      <c r="H446" s="16">
        <v>28</v>
      </c>
      <c r="I446" s="25">
        <v>1</v>
      </c>
      <c r="J446" s="56">
        <v>2560</v>
      </c>
      <c r="K446" s="15">
        <v>730</v>
      </c>
      <c r="L446" s="24" t="s">
        <v>2039</v>
      </c>
      <c r="M446" s="24" t="s">
        <v>2014</v>
      </c>
      <c r="N446" s="1" t="s">
        <v>2013</v>
      </c>
      <c r="O446" s="15" t="s">
        <v>2082</v>
      </c>
      <c r="P446" s="15" t="s">
        <v>2442</v>
      </c>
      <c r="Q446" s="25" t="s">
        <v>2089</v>
      </c>
      <c r="R446" s="25" t="s">
        <v>2434</v>
      </c>
      <c r="S446" s="73" t="s">
        <v>2319</v>
      </c>
    </row>
    <row r="447" spans="1:19" x14ac:dyDescent="0.2">
      <c r="A447" s="1">
        <v>444</v>
      </c>
      <c r="B447" s="1" t="s">
        <v>854</v>
      </c>
      <c r="C447" s="1" t="s">
        <v>2446</v>
      </c>
      <c r="D447" s="1" t="s">
        <v>2552</v>
      </c>
      <c r="E447" s="1" t="s">
        <v>822</v>
      </c>
      <c r="F447" s="66" t="s">
        <v>880</v>
      </c>
      <c r="G447" s="24" t="s">
        <v>1458</v>
      </c>
      <c r="H447" s="16">
        <v>50</v>
      </c>
      <c r="I447" s="25">
        <v>5</v>
      </c>
      <c r="J447" s="56">
        <v>1400</v>
      </c>
      <c r="K447" s="15"/>
      <c r="L447" s="24" t="s">
        <v>2021</v>
      </c>
      <c r="M447" s="24" t="s">
        <v>2020</v>
      </c>
      <c r="N447" s="1" t="s">
        <v>2013</v>
      </c>
      <c r="O447" s="15" t="s">
        <v>2082</v>
      </c>
      <c r="P447" s="15" t="s">
        <v>2442</v>
      </c>
      <c r="Q447" s="25" t="s">
        <v>2083</v>
      </c>
      <c r="R447" s="25" t="s">
        <v>2436</v>
      </c>
      <c r="S447" s="73" t="s">
        <v>2112</v>
      </c>
    </row>
    <row r="448" spans="1:19" x14ac:dyDescent="0.2">
      <c r="A448" s="1">
        <v>445</v>
      </c>
      <c r="B448" s="1" t="s">
        <v>173</v>
      </c>
      <c r="C448" s="1" t="s">
        <v>2446</v>
      </c>
      <c r="D448" s="1" t="s">
        <v>172</v>
      </c>
      <c r="E448" s="1" t="s">
        <v>828</v>
      </c>
      <c r="F448" s="66" t="s">
        <v>878</v>
      </c>
      <c r="G448" s="24" t="s">
        <v>1459</v>
      </c>
      <c r="H448" s="16">
        <v>39</v>
      </c>
      <c r="I448" s="25">
        <v>2</v>
      </c>
      <c r="J448" s="56">
        <v>2955</v>
      </c>
      <c r="K448" s="15">
        <f>1200+200</f>
        <v>1400</v>
      </c>
      <c r="L448" s="24" t="s">
        <v>2040</v>
      </c>
      <c r="M448" s="24" t="s">
        <v>2020</v>
      </c>
      <c r="N448" s="1" t="s">
        <v>2013</v>
      </c>
      <c r="O448" s="15" t="s">
        <v>2082</v>
      </c>
      <c r="P448" s="15" t="s">
        <v>2442</v>
      </c>
      <c r="Q448" s="25" t="s">
        <v>2090</v>
      </c>
      <c r="R448" s="25" t="s">
        <v>2437</v>
      </c>
      <c r="S448" s="73" t="s">
        <v>2101</v>
      </c>
    </row>
    <row r="449" spans="1:19" x14ac:dyDescent="0.2">
      <c r="A449" s="1">
        <v>446</v>
      </c>
      <c r="B449" s="1" t="s">
        <v>174</v>
      </c>
      <c r="C449" s="1" t="s">
        <v>2446</v>
      </c>
      <c r="D449" s="1" t="s">
        <v>2553</v>
      </c>
      <c r="E449" s="1" t="s">
        <v>823</v>
      </c>
      <c r="F449" s="66" t="s">
        <v>879</v>
      </c>
      <c r="G449" s="24" t="s">
        <v>1460</v>
      </c>
      <c r="H449" s="16">
        <v>31</v>
      </c>
      <c r="I449" s="25">
        <v>3</v>
      </c>
      <c r="J449" s="56">
        <f>3680+450</f>
        <v>4130</v>
      </c>
      <c r="K449" s="15">
        <f>1720+370</f>
        <v>2090</v>
      </c>
      <c r="L449" s="24" t="s">
        <v>2019</v>
      </c>
      <c r="M449" s="24" t="s">
        <v>2014</v>
      </c>
      <c r="N449" s="1" t="s">
        <v>2013</v>
      </c>
      <c r="O449" s="15" t="s">
        <v>2082</v>
      </c>
      <c r="P449" s="15" t="s">
        <v>2442</v>
      </c>
      <c r="Q449" s="25" t="s">
        <v>2090</v>
      </c>
      <c r="R449" s="25" t="s">
        <v>2435</v>
      </c>
      <c r="S449" s="73" t="s">
        <v>2130</v>
      </c>
    </row>
    <row r="450" spans="1:19" x14ac:dyDescent="0.2">
      <c r="A450" s="1">
        <v>447</v>
      </c>
      <c r="B450" s="1" t="s">
        <v>45</v>
      </c>
      <c r="C450" s="1" t="s">
        <v>2446</v>
      </c>
      <c r="D450" s="1" t="s">
        <v>2554</v>
      </c>
      <c r="E450" s="1" t="s">
        <v>828</v>
      </c>
      <c r="F450" s="66" t="s">
        <v>880</v>
      </c>
      <c r="G450" s="24" t="s">
        <v>1461</v>
      </c>
      <c r="H450" s="16">
        <v>44</v>
      </c>
      <c r="I450" s="25">
        <v>4</v>
      </c>
      <c r="J450" s="56">
        <v>3195</v>
      </c>
      <c r="K450" s="15">
        <f>1270-50</f>
        <v>1220</v>
      </c>
      <c r="L450" s="24" t="s">
        <v>2044</v>
      </c>
      <c r="M450" s="24" t="s">
        <v>2020</v>
      </c>
      <c r="N450" s="1" t="s">
        <v>2013</v>
      </c>
      <c r="O450" s="15" t="s">
        <v>2082</v>
      </c>
      <c r="P450" s="15" t="s">
        <v>2442</v>
      </c>
      <c r="Q450" s="25" t="s">
        <v>2083</v>
      </c>
      <c r="R450" s="25" t="s">
        <v>2436</v>
      </c>
      <c r="S450" s="73" t="s">
        <v>2338</v>
      </c>
    </row>
    <row r="451" spans="1:19" x14ac:dyDescent="0.2">
      <c r="A451" s="1">
        <v>448</v>
      </c>
      <c r="B451" s="1" t="s">
        <v>45</v>
      </c>
      <c r="C451" s="1" t="s">
        <v>2446</v>
      </c>
      <c r="D451" s="1" t="s">
        <v>2554</v>
      </c>
      <c r="E451" s="1" t="s">
        <v>822</v>
      </c>
      <c r="F451" s="66" t="s">
        <v>881</v>
      </c>
      <c r="G451" s="24" t="s">
        <v>1462</v>
      </c>
      <c r="H451" s="16">
        <v>26</v>
      </c>
      <c r="I451" s="25">
        <v>1</v>
      </c>
      <c r="J451" s="56">
        <v>3195</v>
      </c>
      <c r="K451" s="15">
        <f>1270-50</f>
        <v>1220</v>
      </c>
      <c r="L451" s="24" t="s">
        <v>2023</v>
      </c>
      <c r="M451" s="24" t="s">
        <v>2014</v>
      </c>
      <c r="N451" s="1" t="s">
        <v>2013</v>
      </c>
      <c r="O451" s="15" t="s">
        <v>2082</v>
      </c>
      <c r="P451" s="15" t="s">
        <v>2442</v>
      </c>
      <c r="Q451" s="25" t="s">
        <v>2090</v>
      </c>
      <c r="R451" s="25" t="s">
        <v>2434</v>
      </c>
      <c r="S451" s="73" t="s">
        <v>2168</v>
      </c>
    </row>
    <row r="452" spans="1:19" x14ac:dyDescent="0.2">
      <c r="A452" s="1">
        <v>449</v>
      </c>
      <c r="B452" s="1" t="s">
        <v>56</v>
      </c>
      <c r="C452" s="1" t="s">
        <v>2446</v>
      </c>
      <c r="D452" s="1" t="s">
        <v>2555</v>
      </c>
      <c r="E452" s="1" t="s">
        <v>822</v>
      </c>
      <c r="F452" s="66" t="s">
        <v>882</v>
      </c>
      <c r="G452" s="24" t="s">
        <v>1463</v>
      </c>
      <c r="H452" s="16">
        <v>48</v>
      </c>
      <c r="I452" s="25">
        <v>5</v>
      </c>
      <c r="J452" s="56">
        <v>2600</v>
      </c>
      <c r="K452" s="15">
        <v>1140</v>
      </c>
      <c r="L452" s="24" t="s">
        <v>2046</v>
      </c>
      <c r="M452" s="24" t="s">
        <v>2016</v>
      </c>
      <c r="N452" s="1" t="s">
        <v>2013</v>
      </c>
      <c r="O452" s="15" t="s">
        <v>2082</v>
      </c>
      <c r="P452" s="15" t="s">
        <v>2442</v>
      </c>
      <c r="Q452" s="25" t="s">
        <v>2084</v>
      </c>
      <c r="R452" s="25" t="s">
        <v>2437</v>
      </c>
      <c r="S452" s="73" t="s">
        <v>2339</v>
      </c>
    </row>
    <row r="453" spans="1:19" x14ac:dyDescent="0.2">
      <c r="A453" s="1">
        <v>450</v>
      </c>
      <c r="B453" s="1" t="s">
        <v>176</v>
      </c>
      <c r="C453" s="1" t="s">
        <v>2446</v>
      </c>
      <c r="D453" s="1" t="s">
        <v>175</v>
      </c>
      <c r="E453" s="1" t="s">
        <v>863</v>
      </c>
      <c r="F453" s="66" t="s">
        <v>881</v>
      </c>
      <c r="G453" s="24" t="s">
        <v>1464</v>
      </c>
      <c r="H453" s="16">
        <v>53</v>
      </c>
      <c r="I453" s="25">
        <v>3</v>
      </c>
      <c r="J453" s="56">
        <f>6000+500</f>
        <v>6500</v>
      </c>
      <c r="K453" s="15">
        <f>3000+320</f>
        <v>3320</v>
      </c>
      <c r="L453" s="24" t="s">
        <v>2051</v>
      </c>
      <c r="M453" s="24" t="s">
        <v>2020</v>
      </c>
      <c r="N453" s="1" t="s">
        <v>2013</v>
      </c>
      <c r="O453" s="15" t="s">
        <v>2082</v>
      </c>
      <c r="P453" s="15" t="s">
        <v>2442</v>
      </c>
      <c r="Q453" s="25" t="s">
        <v>2083</v>
      </c>
      <c r="R453" s="25" t="s">
        <v>2435</v>
      </c>
      <c r="S453" s="73" t="s">
        <v>2187</v>
      </c>
    </row>
    <row r="454" spans="1:19" x14ac:dyDescent="0.2">
      <c r="A454" s="1">
        <v>451</v>
      </c>
      <c r="B454" s="1" t="s">
        <v>1</v>
      </c>
      <c r="C454" s="1" t="s">
        <v>2446</v>
      </c>
      <c r="D454" s="1" t="s">
        <v>2556</v>
      </c>
      <c r="E454" s="35" t="s">
        <v>2769</v>
      </c>
      <c r="F454" s="66" t="s">
        <v>883</v>
      </c>
      <c r="G454" s="24" t="s">
        <v>1465</v>
      </c>
      <c r="H454" s="16">
        <v>30</v>
      </c>
      <c r="I454" s="25">
        <v>2</v>
      </c>
      <c r="J454" s="56">
        <v>980</v>
      </c>
      <c r="K454" s="36">
        <f>500+245</f>
        <v>745</v>
      </c>
      <c r="L454" s="24" t="s">
        <v>2050</v>
      </c>
      <c r="M454" s="24" t="s">
        <v>2024</v>
      </c>
      <c r="N454" s="1" t="s">
        <v>2013</v>
      </c>
      <c r="O454" s="15" t="s">
        <v>2082</v>
      </c>
      <c r="P454" s="15" t="s">
        <v>2442</v>
      </c>
      <c r="Q454" s="25" t="s">
        <v>2087</v>
      </c>
      <c r="R454" s="25" t="s">
        <v>2434</v>
      </c>
      <c r="S454" s="73" t="s">
        <v>2340</v>
      </c>
    </row>
    <row r="455" spans="1:19" x14ac:dyDescent="0.2">
      <c r="A455" s="1">
        <v>452</v>
      </c>
      <c r="B455" s="1" t="s">
        <v>178</v>
      </c>
      <c r="C455" s="1" t="s">
        <v>2446</v>
      </c>
      <c r="D455" s="1" t="s">
        <v>177</v>
      </c>
      <c r="E455" s="35" t="s">
        <v>823</v>
      </c>
      <c r="F455" s="66" t="s">
        <v>884</v>
      </c>
      <c r="G455" s="24" t="s">
        <v>1466</v>
      </c>
      <c r="H455" s="16">
        <v>37</v>
      </c>
      <c r="I455" s="25">
        <v>4</v>
      </c>
      <c r="J455" s="56">
        <v>2500</v>
      </c>
      <c r="K455" s="15">
        <f>1250+250</f>
        <v>1500</v>
      </c>
      <c r="L455" s="24" t="s">
        <v>2037</v>
      </c>
      <c r="M455" s="24" t="s">
        <v>2014</v>
      </c>
      <c r="N455" s="1" t="s">
        <v>2013</v>
      </c>
      <c r="O455" s="15" t="s">
        <v>2082</v>
      </c>
      <c r="P455" s="15" t="s">
        <v>2442</v>
      </c>
      <c r="Q455" s="25" t="s">
        <v>2085</v>
      </c>
      <c r="R455" s="25" t="s">
        <v>2436</v>
      </c>
      <c r="S455" s="73" t="s">
        <v>2273</v>
      </c>
    </row>
    <row r="456" spans="1:19" x14ac:dyDescent="0.2">
      <c r="A456" s="1">
        <v>453</v>
      </c>
      <c r="B456" s="1" t="s">
        <v>180</v>
      </c>
      <c r="C456" s="1" t="s">
        <v>2446</v>
      </c>
      <c r="D456" s="1" t="s">
        <v>179</v>
      </c>
      <c r="E456" s="35" t="s">
        <v>823</v>
      </c>
      <c r="F456" s="67" t="s">
        <v>931</v>
      </c>
      <c r="G456" s="24" t="s">
        <v>1467</v>
      </c>
      <c r="H456" s="16">
        <v>42</v>
      </c>
      <c r="I456" s="25">
        <v>1</v>
      </c>
      <c r="J456" s="56">
        <v>3180</v>
      </c>
      <c r="K456" s="15">
        <f>1520+80+318-80</f>
        <v>1838</v>
      </c>
      <c r="L456" s="24" t="s">
        <v>2039</v>
      </c>
      <c r="M456" s="24" t="s">
        <v>2014</v>
      </c>
      <c r="N456" s="1" t="s">
        <v>2013</v>
      </c>
      <c r="O456" s="15" t="s">
        <v>2082</v>
      </c>
      <c r="P456" s="15" t="s">
        <v>2442</v>
      </c>
      <c r="Q456" s="25" t="s">
        <v>2090</v>
      </c>
      <c r="R456" s="25" t="s">
        <v>2437</v>
      </c>
      <c r="S456" s="73" t="s">
        <v>2166</v>
      </c>
    </row>
    <row r="457" spans="1:19" x14ac:dyDescent="0.2">
      <c r="A457" s="1">
        <v>454</v>
      </c>
      <c r="B457" s="1" t="s">
        <v>181</v>
      </c>
      <c r="C457" s="1" t="s">
        <v>2446</v>
      </c>
      <c r="D457" s="1" t="s">
        <v>2557</v>
      </c>
      <c r="E457" s="35" t="s">
        <v>863</v>
      </c>
      <c r="F457" s="66" t="s">
        <v>929</v>
      </c>
      <c r="G457" s="24" t="s">
        <v>1468</v>
      </c>
      <c r="H457" s="16">
        <v>24</v>
      </c>
      <c r="I457" s="25">
        <v>5</v>
      </c>
      <c r="J457" s="56">
        <v>4610</v>
      </c>
      <c r="K457" s="15">
        <f>1560+461+409</f>
        <v>2430</v>
      </c>
      <c r="L457" s="24" t="s">
        <v>2040</v>
      </c>
      <c r="M457" s="24" t="s">
        <v>2020</v>
      </c>
      <c r="N457" s="1" t="s">
        <v>2013</v>
      </c>
      <c r="O457" s="15" t="s">
        <v>2082</v>
      </c>
      <c r="P457" s="15" t="s">
        <v>2442</v>
      </c>
      <c r="Q457" s="25" t="s">
        <v>2085</v>
      </c>
      <c r="R457" s="25" t="s">
        <v>2435</v>
      </c>
      <c r="S457" s="73" t="s">
        <v>2133</v>
      </c>
    </row>
    <row r="458" spans="1:19" x14ac:dyDescent="0.2">
      <c r="A458" s="1">
        <v>455</v>
      </c>
      <c r="B458" s="1" t="s">
        <v>176</v>
      </c>
      <c r="C458" s="1" t="s">
        <v>2446</v>
      </c>
      <c r="D458" s="1" t="s">
        <v>2558</v>
      </c>
      <c r="E458" s="35" t="s">
        <v>822</v>
      </c>
      <c r="F458" s="66" t="s">
        <v>882</v>
      </c>
      <c r="G458" s="24" t="s">
        <v>1469</v>
      </c>
      <c r="H458" s="16">
        <v>57</v>
      </c>
      <c r="I458" s="25">
        <v>2</v>
      </c>
      <c r="J458" s="56">
        <f>6345+450</f>
        <v>6795</v>
      </c>
      <c r="K458" s="15">
        <f>2700+300+380+680-80</f>
        <v>3980</v>
      </c>
      <c r="L458" s="24" t="s">
        <v>2019</v>
      </c>
      <c r="M458" s="24" t="s">
        <v>2014</v>
      </c>
      <c r="N458" s="1" t="s">
        <v>2013</v>
      </c>
      <c r="O458" s="15" t="s">
        <v>2082</v>
      </c>
      <c r="P458" s="15" t="s">
        <v>2442</v>
      </c>
      <c r="Q458" s="25" t="s">
        <v>2088</v>
      </c>
      <c r="R458" s="25" t="s">
        <v>2436</v>
      </c>
      <c r="S458" s="73" t="s">
        <v>2271</v>
      </c>
    </row>
    <row r="459" spans="1:19" x14ac:dyDescent="0.2">
      <c r="A459" s="1">
        <v>456</v>
      </c>
      <c r="B459" s="1" t="s">
        <v>45</v>
      </c>
      <c r="C459" s="1" t="s">
        <v>2446</v>
      </c>
      <c r="D459" s="1" t="s">
        <v>2559</v>
      </c>
      <c r="E459" s="35" t="s">
        <v>864</v>
      </c>
      <c r="F459" s="66" t="s">
        <v>930</v>
      </c>
      <c r="G459" s="24" t="s">
        <v>1470</v>
      </c>
      <c r="H459" s="16">
        <v>35</v>
      </c>
      <c r="I459" s="25">
        <v>3</v>
      </c>
      <c r="J459" s="56">
        <f>5916+450</f>
        <v>6366</v>
      </c>
      <c r="K459" s="15">
        <f>1570+1200+1050+380-40</f>
        <v>4160</v>
      </c>
      <c r="L459" s="24" t="s">
        <v>2059</v>
      </c>
      <c r="M459" s="24" t="s">
        <v>2016</v>
      </c>
      <c r="N459" s="1" t="s">
        <v>2013</v>
      </c>
      <c r="O459" s="15" t="s">
        <v>2082</v>
      </c>
      <c r="P459" s="15" t="s">
        <v>2442</v>
      </c>
      <c r="Q459" s="25" t="s">
        <v>2084</v>
      </c>
      <c r="R459" s="25" t="s">
        <v>2434</v>
      </c>
      <c r="S459" s="73" t="s">
        <v>2250</v>
      </c>
    </row>
    <row r="460" spans="1:19" x14ac:dyDescent="0.2">
      <c r="A460" s="1">
        <v>457</v>
      </c>
      <c r="B460" s="1" t="s">
        <v>1</v>
      </c>
      <c r="C460" s="1" t="s">
        <v>2446</v>
      </c>
      <c r="D460" s="1" t="s">
        <v>2560</v>
      </c>
      <c r="E460" s="1" t="s">
        <v>863</v>
      </c>
      <c r="F460" s="67" t="s">
        <v>887</v>
      </c>
      <c r="G460" s="24" t="s">
        <v>1471</v>
      </c>
      <c r="H460" s="16">
        <v>40</v>
      </c>
      <c r="I460" s="25">
        <v>4</v>
      </c>
      <c r="J460" s="56">
        <v>800</v>
      </c>
      <c r="K460" s="15">
        <f>440+200</f>
        <v>640</v>
      </c>
      <c r="L460" s="24" t="s">
        <v>2043</v>
      </c>
      <c r="M460" s="24" t="s">
        <v>2016</v>
      </c>
      <c r="N460" s="1" t="s">
        <v>2013</v>
      </c>
      <c r="O460" s="15" t="s">
        <v>2082</v>
      </c>
      <c r="P460" s="15" t="s">
        <v>2442</v>
      </c>
      <c r="Q460" s="25" t="s">
        <v>2085</v>
      </c>
      <c r="R460" s="25" t="s">
        <v>2437</v>
      </c>
      <c r="S460" s="73" t="s">
        <v>2325</v>
      </c>
    </row>
    <row r="461" spans="1:19" x14ac:dyDescent="0.2">
      <c r="A461" s="1">
        <v>458</v>
      </c>
      <c r="B461" s="1" t="s">
        <v>183</v>
      </c>
      <c r="C461" s="1" t="s">
        <v>2446</v>
      </c>
      <c r="D461" s="1" t="s">
        <v>182</v>
      </c>
      <c r="E461" s="1" t="s">
        <v>864</v>
      </c>
      <c r="F461" s="66" t="s">
        <v>2758</v>
      </c>
      <c r="G461" s="24" t="s">
        <v>1472</v>
      </c>
      <c r="H461" s="16">
        <v>21</v>
      </c>
      <c r="I461" s="25">
        <v>1</v>
      </c>
      <c r="J461" s="56">
        <v>2600</v>
      </c>
      <c r="K461" s="15">
        <f>1030+260-80</f>
        <v>1210</v>
      </c>
      <c r="L461" s="24" t="s">
        <v>2062</v>
      </c>
      <c r="M461" s="24" t="s">
        <v>2024</v>
      </c>
      <c r="N461" s="1" t="s">
        <v>2013</v>
      </c>
      <c r="O461" s="15" t="s">
        <v>2082</v>
      </c>
      <c r="P461" s="15" t="s">
        <v>2442</v>
      </c>
      <c r="Q461" s="25" t="s">
        <v>2086</v>
      </c>
      <c r="R461" s="25" t="s">
        <v>2435</v>
      </c>
      <c r="S461" s="73" t="s">
        <v>2113</v>
      </c>
    </row>
    <row r="462" spans="1:19" x14ac:dyDescent="0.2">
      <c r="A462" s="1">
        <v>459</v>
      </c>
      <c r="B462" s="1" t="s">
        <v>184</v>
      </c>
      <c r="C462" s="1" t="s">
        <v>2446</v>
      </c>
      <c r="D462" s="1" t="s">
        <v>2561</v>
      </c>
      <c r="E462" s="1" t="s">
        <v>822</v>
      </c>
      <c r="F462" s="67" t="s">
        <v>889</v>
      </c>
      <c r="G462" s="24" t="s">
        <v>1473</v>
      </c>
      <c r="H462" s="16">
        <v>59</v>
      </c>
      <c r="I462" s="25">
        <v>5</v>
      </c>
      <c r="J462" s="56">
        <v>5850</v>
      </c>
      <c r="K462" s="15">
        <f>2550+380+585-80</f>
        <v>3435</v>
      </c>
      <c r="L462" s="24" t="s">
        <v>2058</v>
      </c>
      <c r="M462" s="24" t="s">
        <v>2020</v>
      </c>
      <c r="N462" s="1" t="s">
        <v>2013</v>
      </c>
      <c r="O462" s="15" t="s">
        <v>2082</v>
      </c>
      <c r="P462" s="15" t="s">
        <v>2442</v>
      </c>
      <c r="Q462" s="25" t="s">
        <v>2084</v>
      </c>
      <c r="R462" s="25" t="s">
        <v>2434</v>
      </c>
      <c r="S462" s="73" t="s">
        <v>2151</v>
      </c>
    </row>
    <row r="463" spans="1:19" x14ac:dyDescent="0.2">
      <c r="A463" s="1">
        <v>460</v>
      </c>
      <c r="B463" s="1" t="s">
        <v>1</v>
      </c>
      <c r="C463" s="1" t="s">
        <v>2446</v>
      </c>
      <c r="D463" s="1" t="s">
        <v>2556</v>
      </c>
      <c r="E463" s="1" t="s">
        <v>823</v>
      </c>
      <c r="F463" s="67" t="s">
        <v>890</v>
      </c>
      <c r="G463" s="24" t="s">
        <v>1474</v>
      </c>
      <c r="H463" s="16">
        <v>34</v>
      </c>
      <c r="I463" s="25">
        <v>3</v>
      </c>
      <c r="J463" s="56">
        <v>980</v>
      </c>
      <c r="K463" s="15">
        <f>500+245</f>
        <v>745</v>
      </c>
      <c r="L463" s="24" t="s">
        <v>2055</v>
      </c>
      <c r="M463" s="24" t="s">
        <v>2014</v>
      </c>
      <c r="N463" s="1" t="s">
        <v>2013</v>
      </c>
      <c r="O463" s="15" t="s">
        <v>2082</v>
      </c>
      <c r="P463" s="15" t="s">
        <v>2442</v>
      </c>
      <c r="Q463" s="25" t="s">
        <v>2089</v>
      </c>
      <c r="R463" s="25" t="s">
        <v>2436</v>
      </c>
      <c r="S463" s="73" t="s">
        <v>2231</v>
      </c>
    </row>
    <row r="464" spans="1:19" x14ac:dyDescent="0.2">
      <c r="A464" s="1">
        <v>461</v>
      </c>
      <c r="B464" s="1" t="s">
        <v>1</v>
      </c>
      <c r="C464" s="1" t="s">
        <v>2446</v>
      </c>
      <c r="D464" s="1" t="s">
        <v>2562</v>
      </c>
      <c r="E464" s="1" t="s">
        <v>828</v>
      </c>
      <c r="F464" s="66" t="s">
        <v>891</v>
      </c>
      <c r="G464" s="24" t="s">
        <v>1475</v>
      </c>
      <c r="H464" s="16">
        <v>27</v>
      </c>
      <c r="I464" s="25">
        <v>2</v>
      </c>
      <c r="J464" s="56">
        <v>1080</v>
      </c>
      <c r="K464" s="15">
        <f>440+50+70+250-80</f>
        <v>730</v>
      </c>
      <c r="L464" s="24" t="s">
        <v>2053</v>
      </c>
      <c r="M464" s="24" t="s">
        <v>2014</v>
      </c>
      <c r="N464" s="1" t="s">
        <v>2013</v>
      </c>
      <c r="O464" s="15" t="s">
        <v>2082</v>
      </c>
      <c r="P464" s="15" t="s">
        <v>2442</v>
      </c>
      <c r="Q464" s="25" t="s">
        <v>2085</v>
      </c>
      <c r="R464" s="25" t="s">
        <v>2437</v>
      </c>
      <c r="S464" s="73" t="s">
        <v>2341</v>
      </c>
    </row>
    <row r="465" spans="1:19" x14ac:dyDescent="0.2">
      <c r="A465" s="1">
        <v>462</v>
      </c>
      <c r="B465" s="1" t="s">
        <v>849</v>
      </c>
      <c r="C465" s="1" t="s">
        <v>2446</v>
      </c>
      <c r="D465" s="1" t="s">
        <v>374</v>
      </c>
      <c r="E465" s="1" t="s">
        <v>822</v>
      </c>
      <c r="F465" s="67" t="s">
        <v>892</v>
      </c>
      <c r="G465" s="24" t="s">
        <v>1476</v>
      </c>
      <c r="H465" s="16">
        <v>45</v>
      </c>
      <c r="I465" s="25">
        <v>4</v>
      </c>
      <c r="J465" s="56">
        <v>2650</v>
      </c>
      <c r="K465" s="15">
        <f>2250-50</f>
        <v>2200</v>
      </c>
      <c r="L465" s="24" t="s">
        <v>2052</v>
      </c>
      <c r="M465" s="24" t="s">
        <v>2024</v>
      </c>
      <c r="N465" s="1" t="s">
        <v>2013</v>
      </c>
      <c r="O465" s="15" t="s">
        <v>2082</v>
      </c>
      <c r="P465" s="15" t="s">
        <v>2442</v>
      </c>
      <c r="Q465" s="25" t="s">
        <v>2086</v>
      </c>
      <c r="R465" s="25" t="s">
        <v>2435</v>
      </c>
      <c r="S465" s="73" t="s">
        <v>2342</v>
      </c>
    </row>
    <row r="466" spans="1:19" x14ac:dyDescent="0.2">
      <c r="A466" s="1">
        <v>463</v>
      </c>
      <c r="B466" s="1" t="s">
        <v>186</v>
      </c>
      <c r="C466" s="1" t="s">
        <v>2446</v>
      </c>
      <c r="D466" s="1" t="s">
        <v>185</v>
      </c>
      <c r="E466" s="1" t="s">
        <v>817</v>
      </c>
      <c r="F466" s="67" t="s">
        <v>876</v>
      </c>
      <c r="G466" s="24" t="s">
        <v>1477</v>
      </c>
      <c r="H466" s="16">
        <v>52</v>
      </c>
      <c r="I466" s="25">
        <v>1</v>
      </c>
      <c r="J466" s="56">
        <v>3120</v>
      </c>
      <c r="K466" s="15">
        <f>1300+310-50</f>
        <v>1560</v>
      </c>
      <c r="L466" s="24" t="s">
        <v>2033</v>
      </c>
      <c r="M466" s="24" t="s">
        <v>2016</v>
      </c>
      <c r="N466" s="1" t="s">
        <v>2013</v>
      </c>
      <c r="O466" s="15" t="s">
        <v>2082</v>
      </c>
      <c r="P466" s="15" t="s">
        <v>2442</v>
      </c>
      <c r="Q466" s="25" t="s">
        <v>2088</v>
      </c>
      <c r="R466" s="25" t="s">
        <v>2436</v>
      </c>
      <c r="S466" s="73" t="s">
        <v>2189</v>
      </c>
    </row>
    <row r="467" spans="1:19" x14ac:dyDescent="0.2">
      <c r="A467" s="1">
        <v>464</v>
      </c>
      <c r="B467" s="1" t="s">
        <v>188</v>
      </c>
      <c r="C467" s="1" t="s">
        <v>2446</v>
      </c>
      <c r="D467" s="1" t="s">
        <v>187</v>
      </c>
      <c r="E467" s="1" t="s">
        <v>823</v>
      </c>
      <c r="F467" s="67" t="s">
        <v>885</v>
      </c>
      <c r="G467" s="24" t="s">
        <v>1478</v>
      </c>
      <c r="H467" s="16">
        <v>23</v>
      </c>
      <c r="I467" s="25">
        <v>5</v>
      </c>
      <c r="J467" s="56">
        <v>6000</v>
      </c>
      <c r="K467" s="15">
        <f>3900-50</f>
        <v>3850</v>
      </c>
      <c r="L467" s="24" t="s">
        <v>2034</v>
      </c>
      <c r="M467" s="24" t="s">
        <v>2016</v>
      </c>
      <c r="N467" s="1" t="s">
        <v>2013</v>
      </c>
      <c r="O467" s="15" t="s">
        <v>2082</v>
      </c>
      <c r="P467" s="15" t="s">
        <v>2442</v>
      </c>
      <c r="Q467" s="25" t="s">
        <v>2084</v>
      </c>
      <c r="R467" s="25" t="s">
        <v>2434</v>
      </c>
      <c r="S467" s="73" t="s">
        <v>2250</v>
      </c>
    </row>
    <row r="468" spans="1:19" x14ac:dyDescent="0.2">
      <c r="A468" s="1">
        <v>465</v>
      </c>
      <c r="B468" s="1" t="s">
        <v>1</v>
      </c>
      <c r="C468" s="1" t="s">
        <v>2446</v>
      </c>
      <c r="D468" s="1" t="s">
        <v>2563</v>
      </c>
      <c r="E468" s="1" t="s">
        <v>828</v>
      </c>
      <c r="F468" s="67" t="s">
        <v>893</v>
      </c>
      <c r="G468" s="24" t="s">
        <v>1479</v>
      </c>
      <c r="H468" s="16">
        <v>38</v>
      </c>
      <c r="I468" s="25">
        <v>2</v>
      </c>
      <c r="J468" s="56">
        <v>1000</v>
      </c>
      <c r="K468" s="15">
        <f>420+150</f>
        <v>570</v>
      </c>
      <c r="L468" s="24" t="s">
        <v>2054</v>
      </c>
      <c r="M468" s="24" t="s">
        <v>2016</v>
      </c>
      <c r="N468" s="1" t="s">
        <v>2013</v>
      </c>
      <c r="O468" s="15" t="s">
        <v>2082</v>
      </c>
      <c r="P468" s="15" t="s">
        <v>2442</v>
      </c>
      <c r="Q468" s="25" t="s">
        <v>2084</v>
      </c>
      <c r="R468" s="25" t="s">
        <v>2437</v>
      </c>
      <c r="S468" s="73" t="s">
        <v>2139</v>
      </c>
    </row>
    <row r="469" spans="1:19" x14ac:dyDescent="0.2">
      <c r="A469" s="1">
        <v>466</v>
      </c>
      <c r="B469" s="1" t="s">
        <v>17</v>
      </c>
      <c r="C469" s="1" t="s">
        <v>2446</v>
      </c>
      <c r="D469" s="1" t="s">
        <v>2564</v>
      </c>
      <c r="E469" s="1" t="s">
        <v>822</v>
      </c>
      <c r="F469" s="67" t="s">
        <v>894</v>
      </c>
      <c r="G469" s="24" t="s">
        <v>1480</v>
      </c>
      <c r="H469" s="16">
        <v>41</v>
      </c>
      <c r="I469" s="25">
        <v>3</v>
      </c>
      <c r="J469" s="56">
        <v>1650</v>
      </c>
      <c r="K469" s="15">
        <f>760+80</f>
        <v>840</v>
      </c>
      <c r="L469" s="24" t="s">
        <v>2031</v>
      </c>
      <c r="M469" s="24" t="s">
        <v>2016</v>
      </c>
      <c r="N469" s="1" t="s">
        <v>2013</v>
      </c>
      <c r="O469" s="15" t="s">
        <v>2082</v>
      </c>
      <c r="P469" s="15" t="s">
        <v>2442</v>
      </c>
      <c r="Q469" s="25" t="s">
        <v>2087</v>
      </c>
      <c r="R469" s="25" t="s">
        <v>2435</v>
      </c>
      <c r="S469" s="73" t="s">
        <v>2285</v>
      </c>
    </row>
    <row r="470" spans="1:19" x14ac:dyDescent="0.2">
      <c r="A470" s="1">
        <v>467</v>
      </c>
      <c r="B470" s="1" t="s">
        <v>1</v>
      </c>
      <c r="C470" s="1" t="s">
        <v>2446</v>
      </c>
      <c r="D470" s="1" t="s">
        <v>2565</v>
      </c>
      <c r="E470" s="1" t="s">
        <v>822</v>
      </c>
      <c r="F470" s="66" t="s">
        <v>25</v>
      </c>
      <c r="G470" s="24" t="s">
        <v>1481</v>
      </c>
      <c r="H470" s="16">
        <v>29</v>
      </c>
      <c r="I470" s="25">
        <v>4</v>
      </c>
      <c r="J470" s="56">
        <v>1390</v>
      </c>
      <c r="K470" s="15">
        <v>720</v>
      </c>
      <c r="L470" s="24" t="s">
        <v>2058</v>
      </c>
      <c r="M470" s="24" t="s">
        <v>2020</v>
      </c>
      <c r="N470" s="1" t="s">
        <v>2013</v>
      </c>
      <c r="O470" s="15" t="s">
        <v>2082</v>
      </c>
      <c r="P470" s="15" t="s">
        <v>2442</v>
      </c>
      <c r="Q470" s="25" t="s">
        <v>2084</v>
      </c>
      <c r="R470" s="25" t="s">
        <v>2434</v>
      </c>
      <c r="S470" s="73" t="s">
        <v>2268</v>
      </c>
    </row>
    <row r="471" spans="1:19" x14ac:dyDescent="0.2">
      <c r="A471" s="1">
        <v>468</v>
      </c>
      <c r="B471" s="1" t="s">
        <v>17</v>
      </c>
      <c r="C471" s="1" t="s">
        <v>2446</v>
      </c>
      <c r="D471" s="1" t="s">
        <v>2556</v>
      </c>
      <c r="E471" s="1" t="s">
        <v>863</v>
      </c>
      <c r="F471" s="67" t="s">
        <v>915</v>
      </c>
      <c r="G471" s="24" t="s">
        <v>1482</v>
      </c>
      <c r="H471" s="16">
        <v>60</v>
      </c>
      <c r="I471" s="25">
        <v>1</v>
      </c>
      <c r="J471" s="56">
        <v>1080</v>
      </c>
      <c r="K471" s="15">
        <f>520+30</f>
        <v>550</v>
      </c>
      <c r="L471" s="24" t="s">
        <v>2056</v>
      </c>
      <c r="M471" s="24" t="s">
        <v>2024</v>
      </c>
      <c r="N471" s="1" t="s">
        <v>2013</v>
      </c>
      <c r="O471" s="15" t="s">
        <v>2082</v>
      </c>
      <c r="P471" s="15" t="s">
        <v>2442</v>
      </c>
      <c r="Q471" s="25" t="s">
        <v>2083</v>
      </c>
      <c r="R471" s="25" t="s">
        <v>2436</v>
      </c>
      <c r="S471" s="73" t="s">
        <v>2138</v>
      </c>
    </row>
    <row r="472" spans="1:19" x14ac:dyDescent="0.2">
      <c r="A472" s="1">
        <v>469</v>
      </c>
      <c r="B472" s="1" t="s">
        <v>41</v>
      </c>
      <c r="C472" s="1" t="s">
        <v>2446</v>
      </c>
      <c r="D472" s="1" t="s">
        <v>581</v>
      </c>
      <c r="E472" s="35" t="s">
        <v>864</v>
      </c>
      <c r="F472" s="66" t="s">
        <v>920</v>
      </c>
      <c r="G472" s="24" t="s">
        <v>1483</v>
      </c>
      <c r="H472" s="16">
        <v>33</v>
      </c>
      <c r="I472" s="25">
        <v>5</v>
      </c>
      <c r="J472" s="56">
        <f>4080+750</f>
        <v>4830</v>
      </c>
      <c r="K472" s="15">
        <f>1500+500</f>
        <v>2000</v>
      </c>
      <c r="L472" s="24" t="s">
        <v>2043</v>
      </c>
      <c r="M472" s="24" t="s">
        <v>2016</v>
      </c>
      <c r="N472" s="1" t="s">
        <v>2013</v>
      </c>
      <c r="O472" s="15" t="s">
        <v>2082</v>
      </c>
      <c r="P472" s="15" t="s">
        <v>2442</v>
      </c>
      <c r="Q472" s="25" t="s">
        <v>2089</v>
      </c>
      <c r="R472" s="25" t="s">
        <v>2437</v>
      </c>
      <c r="S472" s="73" t="s">
        <v>2343</v>
      </c>
    </row>
    <row r="473" spans="1:19" x14ac:dyDescent="0.2">
      <c r="A473" s="1">
        <v>470</v>
      </c>
      <c r="B473" s="1" t="s">
        <v>174</v>
      </c>
      <c r="C473" s="1" t="s">
        <v>2446</v>
      </c>
      <c r="D473" s="1" t="s">
        <v>2566</v>
      </c>
      <c r="E473" s="35" t="s">
        <v>823</v>
      </c>
      <c r="F473" s="67" t="s">
        <v>921</v>
      </c>
      <c r="G473" s="24" t="s">
        <v>1484</v>
      </c>
      <c r="H473" s="16">
        <v>22</v>
      </c>
      <c r="I473" s="25">
        <v>5</v>
      </c>
      <c r="J473" s="56">
        <v>4130</v>
      </c>
      <c r="K473" s="15">
        <v>2100</v>
      </c>
      <c r="L473" s="24" t="s">
        <v>2036</v>
      </c>
      <c r="M473" s="24" t="s">
        <v>2014</v>
      </c>
      <c r="N473" s="1" t="s">
        <v>2013</v>
      </c>
      <c r="O473" s="15" t="s">
        <v>2082</v>
      </c>
      <c r="P473" s="15" t="s">
        <v>2442</v>
      </c>
      <c r="Q473" s="25" t="s">
        <v>2090</v>
      </c>
      <c r="R473" s="25" t="s">
        <v>2435</v>
      </c>
      <c r="S473" s="73" t="s">
        <v>2279</v>
      </c>
    </row>
    <row r="474" spans="1:19" x14ac:dyDescent="0.2">
      <c r="A474" s="1">
        <v>471</v>
      </c>
      <c r="B474" s="1" t="s">
        <v>190</v>
      </c>
      <c r="C474" s="1" t="s">
        <v>2446</v>
      </c>
      <c r="D474" s="1" t="s">
        <v>189</v>
      </c>
      <c r="E474" s="35" t="s">
        <v>823</v>
      </c>
      <c r="F474" s="67" t="s">
        <v>922</v>
      </c>
      <c r="G474" s="24" t="s">
        <v>1485</v>
      </c>
      <c r="H474" s="16">
        <v>47</v>
      </c>
      <c r="I474" s="25">
        <v>3</v>
      </c>
      <c r="J474" s="56">
        <v>1480</v>
      </c>
      <c r="K474" s="15">
        <f>750+80</f>
        <v>830</v>
      </c>
      <c r="L474" s="24" t="s">
        <v>2045</v>
      </c>
      <c r="M474" s="24" t="s">
        <v>2014</v>
      </c>
      <c r="N474" s="1" t="s">
        <v>2013</v>
      </c>
      <c r="O474" s="15" t="s">
        <v>2082</v>
      </c>
      <c r="P474" s="15" t="s">
        <v>2442</v>
      </c>
      <c r="Q474" s="25" t="s">
        <v>2084</v>
      </c>
      <c r="R474" s="25" t="s">
        <v>2436</v>
      </c>
      <c r="S474" s="73" t="s">
        <v>2326</v>
      </c>
    </row>
    <row r="475" spans="1:19" x14ac:dyDescent="0.2">
      <c r="A475" s="1">
        <v>472</v>
      </c>
      <c r="B475" s="1" t="s">
        <v>1</v>
      </c>
      <c r="C475" s="1" t="s">
        <v>2445</v>
      </c>
      <c r="D475" s="1" t="s">
        <v>869</v>
      </c>
      <c r="E475" s="35" t="s">
        <v>817</v>
      </c>
      <c r="F475" s="67" t="s">
        <v>923</v>
      </c>
      <c r="G475" s="24" t="s">
        <v>1486</v>
      </c>
      <c r="H475" s="16">
        <v>55</v>
      </c>
      <c r="I475" s="25">
        <v>2</v>
      </c>
      <c r="J475" s="56">
        <v>890</v>
      </c>
      <c r="K475" s="15">
        <v>450</v>
      </c>
      <c r="L475" s="24" t="s">
        <v>2027</v>
      </c>
      <c r="M475" s="24" t="s">
        <v>2014</v>
      </c>
      <c r="N475" s="1" t="s">
        <v>2013</v>
      </c>
      <c r="O475" s="15" t="s">
        <v>2082</v>
      </c>
      <c r="P475" s="15" t="s">
        <v>2442</v>
      </c>
      <c r="Q475" s="25" t="s">
        <v>2086</v>
      </c>
      <c r="R475" s="25" t="s">
        <v>2434</v>
      </c>
      <c r="S475" s="73" t="s">
        <v>2209</v>
      </c>
    </row>
    <row r="476" spans="1:19" x14ac:dyDescent="0.2">
      <c r="A476" s="1">
        <v>473</v>
      </c>
      <c r="B476" s="1" t="s">
        <v>192</v>
      </c>
      <c r="C476" s="1" t="s">
        <v>2446</v>
      </c>
      <c r="D476" s="1" t="s">
        <v>191</v>
      </c>
      <c r="E476" s="35" t="s">
        <v>822</v>
      </c>
      <c r="F476" s="67" t="s">
        <v>924</v>
      </c>
      <c r="G476" s="24" t="s">
        <v>1487</v>
      </c>
      <c r="H476" s="16">
        <v>36</v>
      </c>
      <c r="I476" s="25">
        <v>4</v>
      </c>
      <c r="J476" s="56">
        <f>4980+180</f>
        <v>5160</v>
      </c>
      <c r="K476" s="15">
        <f>2480+280</f>
        <v>2760</v>
      </c>
      <c r="L476" s="24" t="s">
        <v>2040</v>
      </c>
      <c r="M476" s="24" t="s">
        <v>2016</v>
      </c>
      <c r="N476" s="1" t="s">
        <v>2013</v>
      </c>
      <c r="O476" s="15" t="s">
        <v>2082</v>
      </c>
      <c r="P476" s="15" t="s">
        <v>2442</v>
      </c>
      <c r="Q476" s="25" t="s">
        <v>2083</v>
      </c>
      <c r="R476" s="25" t="s">
        <v>2437</v>
      </c>
      <c r="S476" s="73" t="s">
        <v>2344</v>
      </c>
    </row>
    <row r="477" spans="1:19" x14ac:dyDescent="0.2">
      <c r="A477" s="1">
        <v>474</v>
      </c>
      <c r="B477" s="1" t="s">
        <v>193</v>
      </c>
      <c r="C477" s="1" t="s">
        <v>2446</v>
      </c>
      <c r="D477" s="1" t="s">
        <v>237</v>
      </c>
      <c r="E477" s="35" t="s">
        <v>863</v>
      </c>
      <c r="F477" s="67" t="s">
        <v>925</v>
      </c>
      <c r="G477" s="24" t="s">
        <v>1488</v>
      </c>
      <c r="H477" s="16">
        <v>28</v>
      </c>
      <c r="I477" s="25">
        <v>1</v>
      </c>
      <c r="J477" s="56">
        <v>2290</v>
      </c>
      <c r="K477" s="15">
        <v>1000</v>
      </c>
      <c r="L477" s="24" t="s">
        <v>2035</v>
      </c>
      <c r="M477" s="24" t="s">
        <v>2016</v>
      </c>
      <c r="N477" s="1" t="s">
        <v>2013</v>
      </c>
      <c r="O477" s="15" t="s">
        <v>2082</v>
      </c>
      <c r="P477" s="15" t="s">
        <v>2442</v>
      </c>
      <c r="Q477" s="25" t="s">
        <v>2089</v>
      </c>
      <c r="R477" s="25" t="s">
        <v>2435</v>
      </c>
      <c r="S477" s="73" t="s">
        <v>2229</v>
      </c>
    </row>
    <row r="478" spans="1:19" x14ac:dyDescent="0.2">
      <c r="A478" s="1">
        <v>475</v>
      </c>
      <c r="B478" s="1" t="s">
        <v>555</v>
      </c>
      <c r="C478" s="1" t="s">
        <v>2446</v>
      </c>
      <c r="D478" s="1" t="s">
        <v>2567</v>
      </c>
      <c r="E478" s="35" t="s">
        <v>822</v>
      </c>
      <c r="F478" s="69" t="s">
        <v>904</v>
      </c>
      <c r="G478" s="24" t="s">
        <v>1489</v>
      </c>
      <c r="H478" s="16">
        <v>50</v>
      </c>
      <c r="I478" s="25">
        <v>5</v>
      </c>
      <c r="J478" s="56">
        <v>1340</v>
      </c>
      <c r="K478" s="15">
        <v>750</v>
      </c>
      <c r="L478" s="24" t="s">
        <v>2039</v>
      </c>
      <c r="M478" s="24" t="s">
        <v>2014</v>
      </c>
      <c r="N478" s="1" t="s">
        <v>2013</v>
      </c>
      <c r="O478" s="15" t="s">
        <v>2082</v>
      </c>
      <c r="P478" s="15" t="s">
        <v>2442</v>
      </c>
      <c r="Q478" s="25" t="s">
        <v>2090</v>
      </c>
      <c r="R478" s="25" t="s">
        <v>2434</v>
      </c>
      <c r="S478" s="73" t="s">
        <v>2334</v>
      </c>
    </row>
    <row r="479" spans="1:19" x14ac:dyDescent="0.2">
      <c r="A479" s="1">
        <v>476</v>
      </c>
      <c r="B479" s="1" t="s">
        <v>85</v>
      </c>
      <c r="C479" s="1" t="s">
        <v>2446</v>
      </c>
      <c r="D479" s="1" t="s">
        <v>194</v>
      </c>
      <c r="E479" s="35" t="s">
        <v>817</v>
      </c>
      <c r="F479" s="67" t="s">
        <v>925</v>
      </c>
      <c r="G479" s="24" t="s">
        <v>1490</v>
      </c>
      <c r="H479" s="16">
        <v>39</v>
      </c>
      <c r="I479" s="25">
        <v>2</v>
      </c>
      <c r="J479" s="56">
        <v>2330</v>
      </c>
      <c r="K479" s="15">
        <v>1050</v>
      </c>
      <c r="L479" s="24" t="s">
        <v>2027</v>
      </c>
      <c r="M479" s="24" t="s">
        <v>2014</v>
      </c>
      <c r="N479" s="1" t="s">
        <v>2013</v>
      </c>
      <c r="O479" s="15" t="s">
        <v>2082</v>
      </c>
      <c r="P479" s="15" t="s">
        <v>2442</v>
      </c>
      <c r="Q479" s="25" t="s">
        <v>2084</v>
      </c>
      <c r="R479" s="25" t="s">
        <v>2436</v>
      </c>
      <c r="S479" s="73" t="s">
        <v>2129</v>
      </c>
    </row>
    <row r="480" spans="1:19" x14ac:dyDescent="0.2">
      <c r="A480" s="1">
        <v>477</v>
      </c>
      <c r="B480" s="1" t="s">
        <v>855</v>
      </c>
      <c r="C480" s="1" t="s">
        <v>2446</v>
      </c>
      <c r="D480" s="1" t="s">
        <v>2568</v>
      </c>
      <c r="E480" s="1" t="s">
        <v>863</v>
      </c>
      <c r="F480" s="69" t="s">
        <v>904</v>
      </c>
      <c r="G480" s="24" t="s">
        <v>1491</v>
      </c>
      <c r="H480" s="16">
        <v>31</v>
      </c>
      <c r="I480" s="25">
        <v>3</v>
      </c>
      <c r="J480" s="56">
        <f>1050+180</f>
        <v>1230</v>
      </c>
      <c r="K480" s="15">
        <f>450+80</f>
        <v>530</v>
      </c>
      <c r="L480" s="24" t="s">
        <v>2042</v>
      </c>
      <c r="M480" s="24" t="s">
        <v>2014</v>
      </c>
      <c r="N480" s="1" t="s">
        <v>2013</v>
      </c>
      <c r="O480" s="15" t="s">
        <v>2082</v>
      </c>
      <c r="P480" s="15" t="s">
        <v>2442</v>
      </c>
      <c r="Q480" s="25" t="s">
        <v>2084</v>
      </c>
      <c r="R480" s="25" t="s">
        <v>2437</v>
      </c>
      <c r="S480" s="73" t="s">
        <v>2294</v>
      </c>
    </row>
    <row r="481" spans="1:19" x14ac:dyDescent="0.2">
      <c r="A481" s="1">
        <v>478</v>
      </c>
      <c r="B481" s="1" t="s">
        <v>856</v>
      </c>
      <c r="C481" s="1" t="s">
        <v>2446</v>
      </c>
      <c r="D481" s="1" t="s">
        <v>2569</v>
      </c>
      <c r="E481" s="1" t="s">
        <v>864</v>
      </c>
      <c r="F481" s="66" t="s">
        <v>926</v>
      </c>
      <c r="G481" s="24" t="s">
        <v>1492</v>
      </c>
      <c r="H481" s="16">
        <v>44</v>
      </c>
      <c r="I481" s="25">
        <v>4</v>
      </c>
      <c r="J481" s="56">
        <v>1780</v>
      </c>
      <c r="K481" s="15">
        <f>860+80</f>
        <v>940</v>
      </c>
      <c r="L481" s="24" t="s">
        <v>2045</v>
      </c>
      <c r="M481" s="24" t="s">
        <v>2014</v>
      </c>
      <c r="N481" s="1" t="s">
        <v>2013</v>
      </c>
      <c r="O481" s="15" t="s">
        <v>2082</v>
      </c>
      <c r="P481" s="15" t="s">
        <v>2442</v>
      </c>
      <c r="Q481" s="25" t="s">
        <v>2089</v>
      </c>
      <c r="R481" s="25" t="s">
        <v>2435</v>
      </c>
      <c r="S481" s="73" t="s">
        <v>2186</v>
      </c>
    </row>
    <row r="482" spans="1:19" x14ac:dyDescent="0.2">
      <c r="A482" s="1">
        <v>479</v>
      </c>
      <c r="B482" s="1" t="s">
        <v>181</v>
      </c>
      <c r="C482" s="1" t="s">
        <v>2446</v>
      </c>
      <c r="D482" s="1" t="s">
        <v>2570</v>
      </c>
      <c r="E482" s="1" t="s">
        <v>822</v>
      </c>
      <c r="F482" s="66" t="s">
        <v>927</v>
      </c>
      <c r="G482" s="24" t="s">
        <v>1493</v>
      </c>
      <c r="H482" s="16">
        <v>26</v>
      </c>
      <c r="I482" s="25">
        <v>1</v>
      </c>
      <c r="J482" s="56">
        <v>4680</v>
      </c>
      <c r="K482" s="15">
        <f>1630+80</f>
        <v>1710</v>
      </c>
      <c r="L482" s="24" t="s">
        <v>2025</v>
      </c>
      <c r="M482" s="24" t="s">
        <v>2024</v>
      </c>
      <c r="N482" s="1" t="s">
        <v>2013</v>
      </c>
      <c r="O482" s="15" t="s">
        <v>2082</v>
      </c>
      <c r="P482" s="15" t="s">
        <v>2442</v>
      </c>
      <c r="Q482" s="25" t="s">
        <v>2089</v>
      </c>
      <c r="R482" s="25" t="s">
        <v>2436</v>
      </c>
      <c r="S482" s="73" t="s">
        <v>2138</v>
      </c>
    </row>
    <row r="483" spans="1:19" x14ac:dyDescent="0.2">
      <c r="A483" s="1">
        <v>480</v>
      </c>
      <c r="B483" s="1" t="s">
        <v>195</v>
      </c>
      <c r="C483" s="1" t="s">
        <v>2446</v>
      </c>
      <c r="D483" s="1" t="s">
        <v>2571</v>
      </c>
      <c r="E483" s="1" t="s">
        <v>823</v>
      </c>
      <c r="F483" s="66" t="s">
        <v>877</v>
      </c>
      <c r="G483" s="24" t="s">
        <v>1494</v>
      </c>
      <c r="H483" s="16">
        <v>48</v>
      </c>
      <c r="I483" s="25">
        <v>5</v>
      </c>
      <c r="J483" s="56">
        <v>2500</v>
      </c>
      <c r="K483" s="15">
        <v>1300</v>
      </c>
      <c r="L483" s="24" t="s">
        <v>2050</v>
      </c>
      <c r="M483" s="24" t="s">
        <v>2024</v>
      </c>
      <c r="N483" s="1" t="s">
        <v>2013</v>
      </c>
      <c r="O483" s="15" t="s">
        <v>2082</v>
      </c>
      <c r="P483" s="15" t="s">
        <v>2442</v>
      </c>
      <c r="Q483" s="25" t="s">
        <v>2084</v>
      </c>
      <c r="R483" s="25" t="s">
        <v>2434</v>
      </c>
      <c r="S483" s="73" t="s">
        <v>2263</v>
      </c>
    </row>
    <row r="484" spans="1:19" x14ac:dyDescent="0.2">
      <c r="A484" s="1">
        <v>481</v>
      </c>
      <c r="B484" s="1" t="s">
        <v>17</v>
      </c>
      <c r="C484" s="1" t="s">
        <v>2446</v>
      </c>
      <c r="D484" s="1" t="s">
        <v>2572</v>
      </c>
      <c r="E484" s="1" t="s">
        <v>828</v>
      </c>
      <c r="F484" s="66" t="s">
        <v>878</v>
      </c>
      <c r="G484" s="24" t="s">
        <v>1495</v>
      </c>
      <c r="H484" s="16">
        <v>53</v>
      </c>
      <c r="I484" s="25">
        <v>3</v>
      </c>
      <c r="J484" s="56">
        <v>1660</v>
      </c>
      <c r="K484" s="15">
        <v>1000</v>
      </c>
      <c r="L484" s="24" t="s">
        <v>2058</v>
      </c>
      <c r="M484" s="24" t="s">
        <v>2020</v>
      </c>
      <c r="N484" s="1" t="s">
        <v>2013</v>
      </c>
      <c r="O484" s="15" t="s">
        <v>2082</v>
      </c>
      <c r="P484" s="15" t="s">
        <v>2442</v>
      </c>
      <c r="Q484" s="25" t="s">
        <v>2089</v>
      </c>
      <c r="R484" s="25" t="s">
        <v>2437</v>
      </c>
      <c r="S484" s="73" t="s">
        <v>2268</v>
      </c>
    </row>
    <row r="485" spans="1:19" x14ac:dyDescent="0.2">
      <c r="A485" s="1">
        <v>482</v>
      </c>
      <c r="B485" s="1" t="s">
        <v>0</v>
      </c>
      <c r="C485" s="1" t="s">
        <v>2446</v>
      </c>
      <c r="D485" s="1" t="s">
        <v>869</v>
      </c>
      <c r="E485" s="1" t="s">
        <v>822</v>
      </c>
      <c r="F485" s="66" t="s">
        <v>879</v>
      </c>
      <c r="G485" s="24" t="s">
        <v>1496</v>
      </c>
      <c r="H485" s="16">
        <v>30</v>
      </c>
      <c r="I485" s="25">
        <v>2</v>
      </c>
      <c r="J485" s="56">
        <v>1700</v>
      </c>
      <c r="K485" s="15">
        <f>950+55+190+40</f>
        <v>1235</v>
      </c>
      <c r="L485" s="24" t="s">
        <v>2026</v>
      </c>
      <c r="M485" s="24" t="s">
        <v>2014</v>
      </c>
      <c r="N485" s="1" t="s">
        <v>2013</v>
      </c>
      <c r="O485" s="15" t="s">
        <v>2082</v>
      </c>
      <c r="P485" s="15" t="s">
        <v>2442</v>
      </c>
      <c r="Q485" s="25" t="s">
        <v>2085</v>
      </c>
      <c r="R485" s="25" t="s">
        <v>2435</v>
      </c>
      <c r="S485" s="73" t="s">
        <v>2316</v>
      </c>
    </row>
    <row r="486" spans="1:19" x14ac:dyDescent="0.2">
      <c r="A486" s="1">
        <v>483</v>
      </c>
      <c r="B486" s="1" t="s">
        <v>2</v>
      </c>
      <c r="C486" s="1" t="s">
        <v>2445</v>
      </c>
      <c r="D486" s="1" t="s">
        <v>869</v>
      </c>
      <c r="E486" s="1" t="s">
        <v>817</v>
      </c>
      <c r="F486" s="66" t="s">
        <v>880</v>
      </c>
      <c r="G486" s="24" t="s">
        <v>1497</v>
      </c>
      <c r="H486" s="16">
        <v>37</v>
      </c>
      <c r="I486" s="25">
        <v>4</v>
      </c>
      <c r="J486" s="56">
        <v>1500</v>
      </c>
      <c r="K486" s="15">
        <f>800+50+90</f>
        <v>940</v>
      </c>
      <c r="L486" s="24" t="s">
        <v>2037</v>
      </c>
      <c r="M486" s="24" t="s">
        <v>2014</v>
      </c>
      <c r="N486" s="1" t="s">
        <v>2013</v>
      </c>
      <c r="O486" s="15" t="s">
        <v>2082</v>
      </c>
      <c r="P486" s="15" t="s">
        <v>2442</v>
      </c>
      <c r="Q486" s="25" t="s">
        <v>2083</v>
      </c>
      <c r="R486" s="25" t="s">
        <v>2434</v>
      </c>
      <c r="S486" s="73" t="s">
        <v>2345</v>
      </c>
    </row>
    <row r="487" spans="1:19" x14ac:dyDescent="0.2">
      <c r="A487" s="1">
        <v>484</v>
      </c>
      <c r="B487" s="1" t="s">
        <v>196</v>
      </c>
      <c r="C487" s="1" t="s">
        <v>2446</v>
      </c>
      <c r="D487" s="1" t="s">
        <v>2573</v>
      </c>
      <c r="E487" s="1" t="s">
        <v>2770</v>
      </c>
      <c r="F487" s="66" t="s">
        <v>878</v>
      </c>
      <c r="G487" s="24" t="s">
        <v>1498</v>
      </c>
      <c r="H487" s="16">
        <v>42</v>
      </c>
      <c r="I487" s="25">
        <v>1</v>
      </c>
      <c r="J487" s="56">
        <f>2320+180</f>
        <v>2500</v>
      </c>
      <c r="K487" s="15">
        <f>1250+80</f>
        <v>1330</v>
      </c>
      <c r="L487" s="24" t="s">
        <v>2015</v>
      </c>
      <c r="M487" s="24" t="s">
        <v>2014</v>
      </c>
      <c r="N487" s="1" t="s">
        <v>2013</v>
      </c>
      <c r="O487" s="15" t="s">
        <v>2082</v>
      </c>
      <c r="P487" s="15" t="s">
        <v>2442</v>
      </c>
      <c r="Q487" s="25" t="s">
        <v>2089</v>
      </c>
      <c r="R487" s="25" t="s">
        <v>2436</v>
      </c>
      <c r="S487" s="73" t="s">
        <v>2193</v>
      </c>
    </row>
    <row r="488" spans="1:19" x14ac:dyDescent="0.2">
      <c r="A488" s="1">
        <v>485</v>
      </c>
      <c r="B488" s="1" t="s">
        <v>198</v>
      </c>
      <c r="C488" s="1" t="s">
        <v>2446</v>
      </c>
      <c r="D488" s="1" t="s">
        <v>197</v>
      </c>
      <c r="E488" s="1" t="s">
        <v>828</v>
      </c>
      <c r="F488" s="66" t="s">
        <v>879</v>
      </c>
      <c r="G488" s="24" t="s">
        <v>1499</v>
      </c>
      <c r="H488" s="16">
        <v>24</v>
      </c>
      <c r="I488" s="25">
        <v>5</v>
      </c>
      <c r="J488" s="56">
        <v>2790</v>
      </c>
      <c r="K488" s="15">
        <v>1800</v>
      </c>
      <c r="L488" s="24" t="s">
        <v>2029</v>
      </c>
      <c r="M488" s="24" t="s">
        <v>2016</v>
      </c>
      <c r="N488" s="1" t="s">
        <v>2013</v>
      </c>
      <c r="O488" s="15" t="s">
        <v>2082</v>
      </c>
      <c r="P488" s="15" t="s">
        <v>2442</v>
      </c>
      <c r="Q488" s="25" t="s">
        <v>2087</v>
      </c>
      <c r="R488" s="25" t="s">
        <v>2437</v>
      </c>
      <c r="S488" s="73" t="s">
        <v>2346</v>
      </c>
    </row>
    <row r="489" spans="1:19" x14ac:dyDescent="0.2">
      <c r="A489" s="1">
        <v>486</v>
      </c>
      <c r="B489" s="1" t="s">
        <v>200</v>
      </c>
      <c r="C489" s="1" t="s">
        <v>2446</v>
      </c>
      <c r="D489" s="1" t="s">
        <v>199</v>
      </c>
      <c r="E489" s="1" t="s">
        <v>822</v>
      </c>
      <c r="F489" s="66" t="s">
        <v>880</v>
      </c>
      <c r="G489" s="24" t="s">
        <v>1500</v>
      </c>
      <c r="H489" s="16">
        <v>57</v>
      </c>
      <c r="I489" s="25">
        <v>2</v>
      </c>
      <c r="J489" s="56">
        <f>3265+180+350</f>
        <v>3795</v>
      </c>
      <c r="K489" s="15">
        <f>1470+80+50</f>
        <v>1600</v>
      </c>
      <c r="L489" s="24" t="s">
        <v>2028</v>
      </c>
      <c r="M489" s="24" t="s">
        <v>2020</v>
      </c>
      <c r="N489" s="1" t="s">
        <v>2013</v>
      </c>
      <c r="O489" s="15" t="s">
        <v>2082</v>
      </c>
      <c r="P489" s="15" t="s">
        <v>2442</v>
      </c>
      <c r="Q489" s="25" t="s">
        <v>2085</v>
      </c>
      <c r="R489" s="25" t="s">
        <v>2435</v>
      </c>
      <c r="S489" s="73" t="s">
        <v>2169</v>
      </c>
    </row>
    <row r="490" spans="1:19" x14ac:dyDescent="0.2">
      <c r="A490" s="1">
        <v>487</v>
      </c>
      <c r="B490" s="1" t="s">
        <v>9</v>
      </c>
      <c r="C490" s="1" t="s">
        <v>2446</v>
      </c>
      <c r="D490" s="1" t="s">
        <v>869</v>
      </c>
      <c r="E490" s="1" t="s">
        <v>822</v>
      </c>
      <c r="F490" s="66" t="s">
        <v>881</v>
      </c>
      <c r="G490" s="24" t="s">
        <v>1501</v>
      </c>
      <c r="H490" s="16">
        <v>35</v>
      </c>
      <c r="I490" s="25">
        <v>3</v>
      </c>
      <c r="J490" s="56">
        <v>790</v>
      </c>
      <c r="K490" s="15">
        <v>450</v>
      </c>
      <c r="L490" s="24" t="s">
        <v>2053</v>
      </c>
      <c r="M490" s="24" t="s">
        <v>2014</v>
      </c>
      <c r="N490" s="1" t="s">
        <v>2013</v>
      </c>
      <c r="O490" s="15" t="s">
        <v>2082</v>
      </c>
      <c r="P490" s="15" t="s">
        <v>2442</v>
      </c>
      <c r="Q490" s="25" t="s">
        <v>2089</v>
      </c>
      <c r="R490" s="25" t="s">
        <v>2436</v>
      </c>
      <c r="S490" s="73" t="s">
        <v>2107</v>
      </c>
    </row>
    <row r="491" spans="1:19" x14ac:dyDescent="0.2">
      <c r="A491" s="1">
        <v>488</v>
      </c>
      <c r="B491" s="1" t="s">
        <v>201</v>
      </c>
      <c r="C491" s="1" t="s">
        <v>2446</v>
      </c>
      <c r="D491" s="1" t="s">
        <v>2574</v>
      </c>
      <c r="E491" s="1" t="s">
        <v>863</v>
      </c>
      <c r="F491" s="66" t="s">
        <v>882</v>
      </c>
      <c r="G491" s="24" t="s">
        <v>1502</v>
      </c>
      <c r="H491" s="16">
        <v>40</v>
      </c>
      <c r="I491" s="25">
        <v>4</v>
      </c>
      <c r="J491" s="56">
        <f>3*70</f>
        <v>210</v>
      </c>
      <c r="K491" s="15">
        <v>100</v>
      </c>
      <c r="L491" s="24" t="s">
        <v>2039</v>
      </c>
      <c r="M491" s="24" t="s">
        <v>2014</v>
      </c>
      <c r="N491" s="1" t="s">
        <v>2013</v>
      </c>
      <c r="O491" s="15" t="s">
        <v>2082</v>
      </c>
      <c r="P491" s="15" t="s">
        <v>2442</v>
      </c>
      <c r="Q491" s="25" t="s">
        <v>2086</v>
      </c>
      <c r="R491" s="25" t="s">
        <v>2434</v>
      </c>
      <c r="S491" s="73" t="s">
        <v>2238</v>
      </c>
    </row>
    <row r="492" spans="1:19" x14ac:dyDescent="0.2">
      <c r="A492" s="1">
        <v>489</v>
      </c>
      <c r="B492" s="1" t="s">
        <v>202</v>
      </c>
      <c r="C492" s="1" t="s">
        <v>2446</v>
      </c>
      <c r="D492" s="1" t="s">
        <v>2575</v>
      </c>
      <c r="E492" s="35" t="s">
        <v>864</v>
      </c>
      <c r="F492" s="66" t="s">
        <v>881</v>
      </c>
      <c r="G492" s="24" t="s">
        <v>1503</v>
      </c>
      <c r="H492" s="16">
        <v>21</v>
      </c>
      <c r="I492" s="25">
        <v>1</v>
      </c>
      <c r="J492" s="56">
        <v>5050</v>
      </c>
      <c r="K492" s="15">
        <v>2050</v>
      </c>
      <c r="L492" s="24" t="s">
        <v>2058</v>
      </c>
      <c r="M492" s="24" t="s">
        <v>2020</v>
      </c>
      <c r="N492" s="1" t="s">
        <v>2013</v>
      </c>
      <c r="O492" s="15" t="s">
        <v>2082</v>
      </c>
      <c r="P492" s="15" t="s">
        <v>2442</v>
      </c>
      <c r="Q492" s="25" t="s">
        <v>2088</v>
      </c>
      <c r="R492" s="25" t="s">
        <v>2437</v>
      </c>
      <c r="S492" s="73" t="s">
        <v>2223</v>
      </c>
    </row>
    <row r="493" spans="1:19" x14ac:dyDescent="0.2">
      <c r="A493" s="1">
        <v>490</v>
      </c>
      <c r="B493" s="1" t="s">
        <v>203</v>
      </c>
      <c r="C493" s="1" t="s">
        <v>2446</v>
      </c>
      <c r="D493" s="1" t="s">
        <v>2576</v>
      </c>
      <c r="E493" s="35" t="s">
        <v>823</v>
      </c>
      <c r="F493" s="66" t="s">
        <v>883</v>
      </c>
      <c r="G493" s="24" t="s">
        <v>1504</v>
      </c>
      <c r="H493" s="16">
        <v>60</v>
      </c>
      <c r="I493" s="25">
        <v>5</v>
      </c>
      <c r="J493" s="56">
        <v>1560</v>
      </c>
      <c r="K493" s="15">
        <v>900</v>
      </c>
      <c r="L493" s="24" t="s">
        <v>2036</v>
      </c>
      <c r="M493" s="24" t="s">
        <v>2014</v>
      </c>
      <c r="N493" s="1" t="s">
        <v>2013</v>
      </c>
      <c r="O493" s="15" t="s">
        <v>2082</v>
      </c>
      <c r="P493" s="15" t="s">
        <v>2442</v>
      </c>
      <c r="Q493" s="25" t="s">
        <v>2088</v>
      </c>
      <c r="R493" s="25" t="s">
        <v>2435</v>
      </c>
      <c r="S493" s="73" t="s">
        <v>2115</v>
      </c>
    </row>
    <row r="494" spans="1:19" x14ac:dyDescent="0.2">
      <c r="A494" s="1">
        <v>491</v>
      </c>
      <c r="B494" s="1" t="s">
        <v>68</v>
      </c>
      <c r="C494" s="1" t="s">
        <v>2446</v>
      </c>
      <c r="D494" s="1" t="s">
        <v>204</v>
      </c>
      <c r="E494" s="35" t="s">
        <v>823</v>
      </c>
      <c r="F494" s="66" t="s">
        <v>884</v>
      </c>
      <c r="G494" s="24" t="s">
        <v>1505</v>
      </c>
      <c r="H494" s="16">
        <v>33</v>
      </c>
      <c r="I494" s="25">
        <v>3</v>
      </c>
      <c r="J494" s="56">
        <f>2780+180</f>
        <v>2960</v>
      </c>
      <c r="K494" s="15">
        <f>1140+80</f>
        <v>1220</v>
      </c>
      <c r="L494" s="24" t="s">
        <v>2039</v>
      </c>
      <c r="M494" s="24" t="s">
        <v>2014</v>
      </c>
      <c r="N494" s="1" t="s">
        <v>2013</v>
      </c>
      <c r="O494" s="15" t="s">
        <v>2082</v>
      </c>
      <c r="P494" s="15" t="s">
        <v>2442</v>
      </c>
      <c r="Q494" s="25" t="s">
        <v>2087</v>
      </c>
      <c r="R494" s="25" t="s">
        <v>2434</v>
      </c>
      <c r="S494" s="73" t="s">
        <v>2308</v>
      </c>
    </row>
    <row r="495" spans="1:19" x14ac:dyDescent="0.2">
      <c r="A495" s="1">
        <v>492</v>
      </c>
      <c r="B495" s="1" t="s">
        <v>186</v>
      </c>
      <c r="C495" s="1" t="s">
        <v>2446</v>
      </c>
      <c r="D495" s="1" t="s">
        <v>205</v>
      </c>
      <c r="E495" s="1" t="s">
        <v>822</v>
      </c>
      <c r="F495" s="67" t="s">
        <v>931</v>
      </c>
      <c r="G495" s="24" t="s">
        <v>1506</v>
      </c>
      <c r="H495" s="16">
        <v>22</v>
      </c>
      <c r="I495" s="25">
        <v>2</v>
      </c>
      <c r="J495" s="56">
        <v>2000</v>
      </c>
      <c r="K495" s="15">
        <v>1100</v>
      </c>
      <c r="L495" s="24" t="s">
        <v>2037</v>
      </c>
      <c r="M495" s="24" t="s">
        <v>2014</v>
      </c>
      <c r="N495" s="1" t="s">
        <v>2013</v>
      </c>
      <c r="O495" s="15" t="s">
        <v>2082</v>
      </c>
      <c r="P495" s="15" t="s">
        <v>2442</v>
      </c>
      <c r="Q495" s="25" t="s">
        <v>2086</v>
      </c>
      <c r="R495" s="25" t="s">
        <v>2436</v>
      </c>
      <c r="S495" s="73" t="s">
        <v>2347</v>
      </c>
    </row>
    <row r="496" spans="1:19" x14ac:dyDescent="0.2">
      <c r="A496" s="1">
        <v>493</v>
      </c>
      <c r="B496" s="1" t="s">
        <v>206</v>
      </c>
      <c r="C496" s="1" t="s">
        <v>2446</v>
      </c>
      <c r="D496" s="1" t="s">
        <v>2556</v>
      </c>
      <c r="E496" s="1" t="s">
        <v>822</v>
      </c>
      <c r="F496" s="66" t="s">
        <v>929</v>
      </c>
      <c r="G496" s="24" t="s">
        <v>1507</v>
      </c>
      <c r="H496" s="16">
        <v>47</v>
      </c>
      <c r="I496" s="25">
        <v>4</v>
      </c>
      <c r="J496" s="56">
        <v>1040</v>
      </c>
      <c r="K496" s="15">
        <v>520</v>
      </c>
      <c r="L496" s="24" t="s">
        <v>2060</v>
      </c>
      <c r="M496" s="24" t="s">
        <v>2024</v>
      </c>
      <c r="N496" s="1" t="s">
        <v>2013</v>
      </c>
      <c r="O496" s="15" t="s">
        <v>2082</v>
      </c>
      <c r="P496" s="15" t="s">
        <v>2442</v>
      </c>
      <c r="Q496" s="25" t="s">
        <v>2087</v>
      </c>
      <c r="R496" s="25" t="s">
        <v>2437</v>
      </c>
      <c r="S496" s="73" t="s">
        <v>2169</v>
      </c>
    </row>
    <row r="497" spans="1:19" x14ac:dyDescent="0.2">
      <c r="A497" s="1">
        <v>494</v>
      </c>
      <c r="B497" s="1" t="s">
        <v>208</v>
      </c>
      <c r="C497" s="1" t="s">
        <v>2446</v>
      </c>
      <c r="D497" s="1" t="s">
        <v>207</v>
      </c>
      <c r="E497" s="1" t="s">
        <v>823</v>
      </c>
      <c r="F497" s="66" t="s">
        <v>882</v>
      </c>
      <c r="G497" s="24" t="s">
        <v>1508</v>
      </c>
      <c r="H497" s="16">
        <v>55</v>
      </c>
      <c r="I497" s="25">
        <v>1</v>
      </c>
      <c r="J497" s="56">
        <v>3000</v>
      </c>
      <c r="K497" s="15">
        <v>1580</v>
      </c>
      <c r="L497" s="24" t="s">
        <v>2045</v>
      </c>
      <c r="M497" s="24" t="s">
        <v>2014</v>
      </c>
      <c r="N497" s="1" t="s">
        <v>2013</v>
      </c>
      <c r="O497" s="15" t="s">
        <v>2082</v>
      </c>
      <c r="P497" s="15" t="s">
        <v>2442</v>
      </c>
      <c r="Q497" s="25" t="s">
        <v>2090</v>
      </c>
      <c r="R497" s="25" t="s">
        <v>2435</v>
      </c>
      <c r="S497" s="73" t="s">
        <v>2273</v>
      </c>
    </row>
    <row r="498" spans="1:19" x14ac:dyDescent="0.2">
      <c r="A498" s="1">
        <v>495</v>
      </c>
      <c r="B498" s="1" t="s">
        <v>210</v>
      </c>
      <c r="C498" s="1" t="s">
        <v>2446</v>
      </c>
      <c r="D498" s="1" t="s">
        <v>209</v>
      </c>
      <c r="E498" s="1" t="s">
        <v>828</v>
      </c>
      <c r="F498" s="66" t="s">
        <v>930</v>
      </c>
      <c r="G498" s="24" t="s">
        <v>1509</v>
      </c>
      <c r="H498" s="16">
        <v>36</v>
      </c>
      <c r="I498" s="25">
        <v>5</v>
      </c>
      <c r="J498" s="56">
        <v>2144</v>
      </c>
      <c r="K498" s="15">
        <v>1070</v>
      </c>
      <c r="L498" s="24" t="s">
        <v>2035</v>
      </c>
      <c r="M498" s="24" t="s">
        <v>2020</v>
      </c>
      <c r="N498" s="1" t="s">
        <v>2013</v>
      </c>
      <c r="O498" s="15" t="s">
        <v>2082</v>
      </c>
      <c r="P498" s="15" t="s">
        <v>2442</v>
      </c>
      <c r="Q498" s="25" t="s">
        <v>2086</v>
      </c>
      <c r="R498" s="25" t="s">
        <v>2436</v>
      </c>
      <c r="S498" s="73" t="s">
        <v>2321</v>
      </c>
    </row>
    <row r="499" spans="1:19" x14ac:dyDescent="0.2">
      <c r="A499" s="1">
        <v>496</v>
      </c>
      <c r="B499" s="1" t="s">
        <v>211</v>
      </c>
      <c r="C499" s="1" t="s">
        <v>2446</v>
      </c>
      <c r="D499" s="1" t="s">
        <v>2577</v>
      </c>
      <c r="E499" s="1" t="s">
        <v>822</v>
      </c>
      <c r="F499" s="67" t="s">
        <v>885</v>
      </c>
      <c r="G499" s="24" t="s">
        <v>1510</v>
      </c>
      <c r="H499" s="16">
        <v>28</v>
      </c>
      <c r="I499" s="25">
        <v>2</v>
      </c>
      <c r="J499" s="56">
        <v>2150</v>
      </c>
      <c r="K499" s="15">
        <v>750</v>
      </c>
      <c r="L499" s="24" t="s">
        <v>2060</v>
      </c>
      <c r="M499" s="24" t="s">
        <v>2024</v>
      </c>
      <c r="N499" s="1" t="s">
        <v>2013</v>
      </c>
      <c r="O499" s="15" t="s">
        <v>2082</v>
      </c>
      <c r="P499" s="15" t="s">
        <v>2442</v>
      </c>
      <c r="Q499" s="25" t="s">
        <v>2087</v>
      </c>
      <c r="R499" s="25" t="s">
        <v>2434</v>
      </c>
      <c r="S499" s="73" t="s">
        <v>2348</v>
      </c>
    </row>
    <row r="500" spans="1:19" x14ac:dyDescent="0.2">
      <c r="A500" s="1">
        <v>497</v>
      </c>
      <c r="B500" s="1" t="s">
        <v>212</v>
      </c>
      <c r="C500" s="1" t="s">
        <v>2446</v>
      </c>
      <c r="D500" s="1" t="s">
        <v>2578</v>
      </c>
      <c r="E500" s="1" t="s">
        <v>822</v>
      </c>
      <c r="F500" s="67" t="s">
        <v>893</v>
      </c>
      <c r="G500" s="24" t="s">
        <v>1511</v>
      </c>
      <c r="H500" s="16">
        <v>50</v>
      </c>
      <c r="I500" s="25">
        <v>3</v>
      </c>
      <c r="J500" s="56">
        <v>7280</v>
      </c>
      <c r="K500" s="15">
        <v>4780</v>
      </c>
      <c r="L500" s="24" t="s">
        <v>2044</v>
      </c>
      <c r="M500" s="24" t="s">
        <v>2020</v>
      </c>
      <c r="N500" s="1" t="s">
        <v>2013</v>
      </c>
      <c r="O500" s="15" t="s">
        <v>2082</v>
      </c>
      <c r="P500" s="15" t="s">
        <v>2442</v>
      </c>
      <c r="Q500" s="25" t="s">
        <v>2083</v>
      </c>
      <c r="R500" s="25" t="s">
        <v>2437</v>
      </c>
      <c r="S500" s="73" t="s">
        <v>2349</v>
      </c>
    </row>
    <row r="501" spans="1:19" x14ac:dyDescent="0.2">
      <c r="A501" s="1">
        <v>498</v>
      </c>
      <c r="B501" s="1" t="s">
        <v>214</v>
      </c>
      <c r="C501" s="1" t="s">
        <v>2446</v>
      </c>
      <c r="D501" s="1" t="s">
        <v>213</v>
      </c>
      <c r="E501" s="1" t="s">
        <v>863</v>
      </c>
      <c r="F501" s="67" t="s">
        <v>894</v>
      </c>
      <c r="G501" s="24" t="s">
        <v>1512</v>
      </c>
      <c r="H501" s="16">
        <v>39</v>
      </c>
      <c r="I501" s="25">
        <v>4</v>
      </c>
      <c r="J501" s="63">
        <v>2075</v>
      </c>
      <c r="K501" s="37">
        <v>970</v>
      </c>
      <c r="L501" s="24" t="s">
        <v>2055</v>
      </c>
      <c r="M501" s="24" t="s">
        <v>2014</v>
      </c>
      <c r="N501" s="1" t="s">
        <v>2013</v>
      </c>
      <c r="O501" s="15" t="s">
        <v>2082</v>
      </c>
      <c r="P501" s="15" t="s">
        <v>2442</v>
      </c>
      <c r="Q501" s="25" t="s">
        <v>2090</v>
      </c>
      <c r="R501" s="25" t="s">
        <v>2435</v>
      </c>
      <c r="S501" s="73" t="s">
        <v>2158</v>
      </c>
    </row>
    <row r="502" spans="1:19" x14ac:dyDescent="0.2">
      <c r="A502" s="1">
        <v>499</v>
      </c>
      <c r="B502" s="1" t="s">
        <v>214</v>
      </c>
      <c r="C502" s="1" t="s">
        <v>2446</v>
      </c>
      <c r="D502" s="1" t="s">
        <v>215</v>
      </c>
      <c r="E502" s="35" t="s">
        <v>864</v>
      </c>
      <c r="F502" s="66" t="s">
        <v>25</v>
      </c>
      <c r="G502" s="24" t="s">
        <v>1513</v>
      </c>
      <c r="H502" s="16">
        <v>31</v>
      </c>
      <c r="I502" s="25">
        <v>3</v>
      </c>
      <c r="J502" s="63">
        <v>1470</v>
      </c>
      <c r="K502" s="37">
        <v>790</v>
      </c>
      <c r="L502" s="24" t="s">
        <v>2032</v>
      </c>
      <c r="M502" s="24" t="s">
        <v>2016</v>
      </c>
      <c r="N502" s="1" t="s">
        <v>2013</v>
      </c>
      <c r="O502" s="15" t="s">
        <v>2082</v>
      </c>
      <c r="P502" s="15" t="s">
        <v>2442</v>
      </c>
      <c r="Q502" s="25" t="s">
        <v>2088</v>
      </c>
      <c r="R502" s="25" t="s">
        <v>2434</v>
      </c>
      <c r="S502" s="73" t="s">
        <v>2350</v>
      </c>
    </row>
    <row r="503" spans="1:19" x14ac:dyDescent="0.2">
      <c r="A503" s="1">
        <v>500</v>
      </c>
      <c r="B503" s="1" t="s">
        <v>214</v>
      </c>
      <c r="C503" s="1" t="s">
        <v>2446</v>
      </c>
      <c r="D503" s="1" t="s">
        <v>216</v>
      </c>
      <c r="E503" s="35" t="s">
        <v>2770</v>
      </c>
      <c r="F503" s="67" t="s">
        <v>915</v>
      </c>
      <c r="G503" s="24" t="s">
        <v>1514</v>
      </c>
      <c r="H503" s="16">
        <v>44</v>
      </c>
      <c r="I503" s="25">
        <v>1</v>
      </c>
      <c r="J503" s="63">
        <v>1300</v>
      </c>
      <c r="K503" s="37">
        <v>790</v>
      </c>
      <c r="L503" s="24" t="s">
        <v>2058</v>
      </c>
      <c r="M503" s="24" t="s">
        <v>2020</v>
      </c>
      <c r="N503" s="1" t="s">
        <v>2013</v>
      </c>
      <c r="O503" s="15" t="s">
        <v>2082</v>
      </c>
      <c r="P503" s="15" t="s">
        <v>2442</v>
      </c>
      <c r="Q503" s="25" t="s">
        <v>2088</v>
      </c>
      <c r="R503" s="25" t="s">
        <v>2436</v>
      </c>
      <c r="S503" s="73" t="s">
        <v>2351</v>
      </c>
    </row>
    <row r="504" spans="1:19" x14ac:dyDescent="0.2">
      <c r="A504" s="1">
        <v>501</v>
      </c>
      <c r="B504" s="1" t="s">
        <v>218</v>
      </c>
      <c r="C504" s="1" t="s">
        <v>2446</v>
      </c>
      <c r="D504" s="1" t="s">
        <v>217</v>
      </c>
      <c r="E504" s="35" t="s">
        <v>823</v>
      </c>
      <c r="F504" s="66" t="s">
        <v>920</v>
      </c>
      <c r="G504" s="24" t="s">
        <v>1515</v>
      </c>
      <c r="H504" s="16">
        <v>26</v>
      </c>
      <c r="I504" s="25">
        <v>4</v>
      </c>
      <c r="J504" s="56">
        <v>4644</v>
      </c>
      <c r="K504" s="15">
        <v>2550</v>
      </c>
      <c r="L504" s="24" t="s">
        <v>2060</v>
      </c>
      <c r="M504" s="24" t="s">
        <v>2024</v>
      </c>
      <c r="N504" s="1" t="s">
        <v>2013</v>
      </c>
      <c r="O504" s="15" t="s">
        <v>2082</v>
      </c>
      <c r="P504" s="15" t="s">
        <v>2442</v>
      </c>
      <c r="Q504" s="25" t="s">
        <v>2084</v>
      </c>
      <c r="R504" s="25" t="s">
        <v>2437</v>
      </c>
      <c r="S504" s="73" t="s">
        <v>2126</v>
      </c>
    </row>
    <row r="505" spans="1:19" x14ac:dyDescent="0.2">
      <c r="A505" s="1">
        <v>502</v>
      </c>
      <c r="B505" s="1" t="s">
        <v>219</v>
      </c>
      <c r="C505" s="1" t="s">
        <v>2446</v>
      </c>
      <c r="D505" s="1" t="s">
        <v>2579</v>
      </c>
      <c r="E505" s="35" t="s">
        <v>863</v>
      </c>
      <c r="F505" s="67" t="s">
        <v>921</v>
      </c>
      <c r="G505" s="24" t="s">
        <v>1516</v>
      </c>
      <c r="H505" s="16">
        <v>48</v>
      </c>
      <c r="I505" s="25">
        <v>5</v>
      </c>
      <c r="J505" s="56">
        <v>2889</v>
      </c>
      <c r="K505" s="15">
        <v>1320</v>
      </c>
      <c r="L505" s="24" t="s">
        <v>2028</v>
      </c>
      <c r="M505" s="24" t="s">
        <v>2024</v>
      </c>
      <c r="N505" s="1" t="s">
        <v>2013</v>
      </c>
      <c r="O505" s="15" t="s">
        <v>2082</v>
      </c>
      <c r="P505" s="15" t="s">
        <v>2442</v>
      </c>
      <c r="Q505" s="25" t="s">
        <v>2083</v>
      </c>
      <c r="R505" s="25" t="s">
        <v>2435</v>
      </c>
      <c r="S505" s="73" t="s">
        <v>2240</v>
      </c>
    </row>
    <row r="506" spans="1:19" x14ac:dyDescent="0.2">
      <c r="A506" s="1">
        <v>503</v>
      </c>
      <c r="B506" s="1" t="s">
        <v>1</v>
      </c>
      <c r="C506" s="1" t="s">
        <v>2446</v>
      </c>
      <c r="D506" s="1" t="s">
        <v>2580</v>
      </c>
      <c r="E506" s="35" t="s">
        <v>822</v>
      </c>
      <c r="F506" s="67" t="s">
        <v>922</v>
      </c>
      <c r="G506" s="24" t="s">
        <v>1517</v>
      </c>
      <c r="H506" s="16">
        <v>53</v>
      </c>
      <c r="I506" s="25">
        <v>3</v>
      </c>
      <c r="J506" s="56">
        <v>840</v>
      </c>
      <c r="K506" s="15">
        <v>440</v>
      </c>
      <c r="L506" s="24" t="s">
        <v>2056</v>
      </c>
      <c r="M506" s="24" t="s">
        <v>2024</v>
      </c>
      <c r="N506" s="1" t="s">
        <v>2013</v>
      </c>
      <c r="O506" s="15" t="s">
        <v>2082</v>
      </c>
      <c r="P506" s="15" t="s">
        <v>2442</v>
      </c>
      <c r="Q506" s="25" t="s">
        <v>2088</v>
      </c>
      <c r="R506" s="25" t="s">
        <v>2436</v>
      </c>
      <c r="S506" s="73" t="s">
        <v>2207</v>
      </c>
    </row>
    <row r="507" spans="1:19" x14ac:dyDescent="0.2">
      <c r="A507" s="1">
        <v>504</v>
      </c>
      <c r="B507" s="1" t="s">
        <v>220</v>
      </c>
      <c r="C507" s="1" t="s">
        <v>2446</v>
      </c>
      <c r="D507" s="1" t="s">
        <v>2581</v>
      </c>
      <c r="E507" s="35" t="s">
        <v>817</v>
      </c>
      <c r="F507" s="67" t="s">
        <v>923</v>
      </c>
      <c r="G507" s="24" t="s">
        <v>1518</v>
      </c>
      <c r="H507" s="16">
        <v>30</v>
      </c>
      <c r="I507" s="25">
        <v>2</v>
      </c>
      <c r="J507" s="56">
        <v>2720</v>
      </c>
      <c r="K507" s="15">
        <v>1720</v>
      </c>
      <c r="L507" s="24" t="s">
        <v>2028</v>
      </c>
      <c r="M507" s="24" t="s">
        <v>2024</v>
      </c>
      <c r="N507" s="1" t="s">
        <v>2013</v>
      </c>
      <c r="O507" s="15" t="s">
        <v>2082</v>
      </c>
      <c r="P507" s="15" t="s">
        <v>2442</v>
      </c>
      <c r="Q507" s="25" t="s">
        <v>2089</v>
      </c>
      <c r="R507" s="25" t="s">
        <v>2434</v>
      </c>
      <c r="S507" s="73" t="s">
        <v>2123</v>
      </c>
    </row>
    <row r="508" spans="1:19" x14ac:dyDescent="0.2">
      <c r="A508" s="1">
        <v>505</v>
      </c>
      <c r="B508" s="1" t="s">
        <v>222</v>
      </c>
      <c r="C508" s="1" t="s">
        <v>2446</v>
      </c>
      <c r="D508" s="1" t="s">
        <v>221</v>
      </c>
      <c r="E508" s="1" t="s">
        <v>863</v>
      </c>
      <c r="F508" s="67" t="s">
        <v>924</v>
      </c>
      <c r="G508" s="24" t="s">
        <v>1519</v>
      </c>
      <c r="H508" s="16">
        <v>37</v>
      </c>
      <c r="I508" s="25">
        <v>4</v>
      </c>
      <c r="J508" s="56">
        <v>4845</v>
      </c>
      <c r="K508" s="15">
        <v>2550</v>
      </c>
      <c r="L508" s="24" t="s">
        <v>2037</v>
      </c>
      <c r="M508" s="24" t="s">
        <v>2014</v>
      </c>
      <c r="N508" s="1" t="s">
        <v>2013</v>
      </c>
      <c r="O508" s="15" t="s">
        <v>2082</v>
      </c>
      <c r="P508" s="15" t="s">
        <v>2442</v>
      </c>
      <c r="Q508" s="25" t="s">
        <v>2090</v>
      </c>
      <c r="R508" s="25" t="s">
        <v>2437</v>
      </c>
      <c r="S508" s="73" t="s">
        <v>2157</v>
      </c>
    </row>
    <row r="509" spans="1:19" x14ac:dyDescent="0.2">
      <c r="A509" s="1">
        <v>506</v>
      </c>
      <c r="B509" s="1" t="s">
        <v>224</v>
      </c>
      <c r="C509" s="1" t="s">
        <v>2446</v>
      </c>
      <c r="D509" s="1" t="s">
        <v>223</v>
      </c>
      <c r="E509" s="1" t="s">
        <v>864</v>
      </c>
      <c r="F509" s="67" t="s">
        <v>925</v>
      </c>
      <c r="G509" s="24" t="s">
        <v>1520</v>
      </c>
      <c r="H509" s="16">
        <v>42</v>
      </c>
      <c r="I509" s="25">
        <v>1</v>
      </c>
      <c r="J509" s="56">
        <v>1800</v>
      </c>
      <c r="K509" s="15">
        <v>730</v>
      </c>
      <c r="L509" s="24" t="s">
        <v>2044</v>
      </c>
      <c r="M509" s="24" t="s">
        <v>2020</v>
      </c>
      <c r="N509" s="1" t="s">
        <v>2013</v>
      </c>
      <c r="O509" s="15" t="s">
        <v>2082</v>
      </c>
      <c r="P509" s="15" t="s">
        <v>2442</v>
      </c>
      <c r="Q509" s="25" t="s">
        <v>2089</v>
      </c>
      <c r="R509" s="25" t="s">
        <v>2435</v>
      </c>
      <c r="S509" s="73" t="s">
        <v>2296</v>
      </c>
    </row>
    <row r="510" spans="1:19" x14ac:dyDescent="0.2">
      <c r="A510" s="1">
        <v>507</v>
      </c>
      <c r="B510" s="1" t="s">
        <v>226</v>
      </c>
      <c r="C510" s="1" t="s">
        <v>2446</v>
      </c>
      <c r="D510" s="1" t="s">
        <v>225</v>
      </c>
      <c r="E510" s="1" t="s">
        <v>822</v>
      </c>
      <c r="F510" s="69" t="s">
        <v>904</v>
      </c>
      <c r="G510" s="24" t="s">
        <v>1521</v>
      </c>
      <c r="H510" s="16">
        <v>24</v>
      </c>
      <c r="I510" s="25">
        <v>5</v>
      </c>
      <c r="J510" s="56">
        <v>2480</v>
      </c>
      <c r="K510" s="15">
        <v>1200</v>
      </c>
      <c r="L510" s="24" t="s">
        <v>2052</v>
      </c>
      <c r="M510" s="24" t="s">
        <v>2024</v>
      </c>
      <c r="N510" s="1" t="s">
        <v>2013</v>
      </c>
      <c r="O510" s="15" t="s">
        <v>2082</v>
      </c>
      <c r="P510" s="15" t="s">
        <v>2442</v>
      </c>
      <c r="Q510" s="25" t="s">
        <v>2089</v>
      </c>
      <c r="R510" s="25" t="s">
        <v>2434</v>
      </c>
      <c r="S510" s="73" t="s">
        <v>2275</v>
      </c>
    </row>
    <row r="511" spans="1:19" x14ac:dyDescent="0.2">
      <c r="A511" s="1">
        <v>508</v>
      </c>
      <c r="B511" s="1" t="s">
        <v>227</v>
      </c>
      <c r="C511" s="1" t="s">
        <v>2446</v>
      </c>
      <c r="D511" s="1" t="s">
        <v>2582</v>
      </c>
      <c r="E511" s="1" t="s">
        <v>823</v>
      </c>
      <c r="F511" s="67" t="s">
        <v>925</v>
      </c>
      <c r="G511" s="24" t="s">
        <v>1522</v>
      </c>
      <c r="H511" s="16">
        <v>28</v>
      </c>
      <c r="I511" s="25">
        <v>2</v>
      </c>
      <c r="J511" s="56">
        <v>3135</v>
      </c>
      <c r="K511" s="15">
        <v>2135</v>
      </c>
      <c r="L511" s="24" t="s">
        <v>2022</v>
      </c>
      <c r="M511" s="24" t="s">
        <v>2016</v>
      </c>
      <c r="N511" s="1" t="s">
        <v>2013</v>
      </c>
      <c r="O511" s="15" t="s">
        <v>2082</v>
      </c>
      <c r="P511" s="15" t="s">
        <v>2442</v>
      </c>
      <c r="Q511" s="25" t="s">
        <v>2090</v>
      </c>
      <c r="R511" s="25" t="s">
        <v>2436</v>
      </c>
      <c r="S511" s="73" t="s">
        <v>2352</v>
      </c>
    </row>
    <row r="512" spans="1:19" x14ac:dyDescent="0.2">
      <c r="A512" s="1">
        <v>509</v>
      </c>
      <c r="B512" s="1" t="s">
        <v>229</v>
      </c>
      <c r="C512" s="1" t="s">
        <v>2446</v>
      </c>
      <c r="D512" s="1" t="s">
        <v>228</v>
      </c>
      <c r="E512" s="1" t="s">
        <v>828</v>
      </c>
      <c r="F512" s="69" t="s">
        <v>904</v>
      </c>
      <c r="G512" s="24" t="s">
        <v>1523</v>
      </c>
      <c r="H512" s="16">
        <v>50</v>
      </c>
      <c r="I512" s="25">
        <v>3</v>
      </c>
      <c r="J512" s="56">
        <v>4500</v>
      </c>
      <c r="K512" s="15">
        <v>2750</v>
      </c>
      <c r="L512" s="24" t="s">
        <v>2026</v>
      </c>
      <c r="M512" s="24" t="s">
        <v>2016</v>
      </c>
      <c r="N512" s="1" t="s">
        <v>2013</v>
      </c>
      <c r="O512" s="15" t="s">
        <v>2082</v>
      </c>
      <c r="P512" s="15" t="s">
        <v>2442</v>
      </c>
      <c r="Q512" s="25" t="s">
        <v>2084</v>
      </c>
      <c r="R512" s="25" t="s">
        <v>2437</v>
      </c>
      <c r="S512" s="73" t="s">
        <v>2255</v>
      </c>
    </row>
    <row r="513" spans="1:19" x14ac:dyDescent="0.2">
      <c r="A513" s="1">
        <v>510</v>
      </c>
      <c r="B513" s="1" t="s">
        <v>231</v>
      </c>
      <c r="C513" s="1" t="s">
        <v>2446</v>
      </c>
      <c r="D513" s="1" t="s">
        <v>230</v>
      </c>
      <c r="E513" s="1" t="s">
        <v>822</v>
      </c>
      <c r="F513" s="66" t="s">
        <v>926</v>
      </c>
      <c r="G513" s="24" t="s">
        <v>1524</v>
      </c>
      <c r="H513" s="16">
        <v>39</v>
      </c>
      <c r="I513" s="25">
        <v>4</v>
      </c>
      <c r="J513" s="56">
        <v>2960</v>
      </c>
      <c r="K513" s="15">
        <v>1400</v>
      </c>
      <c r="L513" s="24" t="s">
        <v>2021</v>
      </c>
      <c r="M513" s="24" t="s">
        <v>2020</v>
      </c>
      <c r="N513" s="1" t="s">
        <v>2013</v>
      </c>
      <c r="O513" s="15" t="s">
        <v>2082</v>
      </c>
      <c r="P513" s="15" t="s">
        <v>2442</v>
      </c>
      <c r="Q513" s="25" t="s">
        <v>2090</v>
      </c>
      <c r="R513" s="25" t="s">
        <v>2435</v>
      </c>
      <c r="S513" s="73" t="s">
        <v>2353</v>
      </c>
    </row>
    <row r="514" spans="1:19" x14ac:dyDescent="0.2">
      <c r="A514" s="1">
        <v>511</v>
      </c>
      <c r="B514" s="1" t="s">
        <v>231</v>
      </c>
      <c r="C514" s="1" t="s">
        <v>2446</v>
      </c>
      <c r="D514" s="1" t="s">
        <v>230</v>
      </c>
      <c r="E514" s="1" t="s">
        <v>864</v>
      </c>
      <c r="F514" s="66" t="s">
        <v>927</v>
      </c>
      <c r="G514" s="24" t="s">
        <v>1525</v>
      </c>
      <c r="H514" s="16">
        <v>31</v>
      </c>
      <c r="I514" s="25">
        <v>1</v>
      </c>
      <c r="J514" s="56">
        <v>2960</v>
      </c>
      <c r="K514" s="15">
        <v>1400</v>
      </c>
      <c r="L514" s="24" t="s">
        <v>2037</v>
      </c>
      <c r="M514" s="24" t="s">
        <v>2014</v>
      </c>
      <c r="N514" s="1" t="s">
        <v>2013</v>
      </c>
      <c r="O514" s="15" t="s">
        <v>2082</v>
      </c>
      <c r="P514" s="15" t="s">
        <v>2442</v>
      </c>
      <c r="Q514" s="25" t="s">
        <v>2088</v>
      </c>
      <c r="R514" s="25" t="s">
        <v>2436</v>
      </c>
      <c r="S514" s="73" t="s">
        <v>2354</v>
      </c>
    </row>
    <row r="515" spans="1:19" x14ac:dyDescent="0.2">
      <c r="A515" s="1">
        <v>512</v>
      </c>
      <c r="B515" s="1" t="s">
        <v>52</v>
      </c>
      <c r="C515" s="1" t="s">
        <v>2446</v>
      </c>
      <c r="D515" s="1" t="s">
        <v>232</v>
      </c>
      <c r="E515" s="1" t="s">
        <v>823</v>
      </c>
      <c r="F515" s="66" t="s">
        <v>877</v>
      </c>
      <c r="G515" s="24" t="s">
        <v>1526</v>
      </c>
      <c r="H515" s="16">
        <v>24</v>
      </c>
      <c r="I515" s="25">
        <v>5</v>
      </c>
      <c r="J515" s="56">
        <v>7200</v>
      </c>
      <c r="K515" s="15">
        <v>3700</v>
      </c>
      <c r="L515" s="24" t="s">
        <v>2058</v>
      </c>
      <c r="M515" s="24" t="s">
        <v>2020</v>
      </c>
      <c r="N515" s="1" t="s">
        <v>2013</v>
      </c>
      <c r="O515" s="15" t="s">
        <v>2082</v>
      </c>
      <c r="P515" s="15" t="s">
        <v>2442</v>
      </c>
      <c r="Q515" s="25" t="s">
        <v>2088</v>
      </c>
      <c r="R515" s="25" t="s">
        <v>2434</v>
      </c>
      <c r="S515" s="73" t="s">
        <v>2169</v>
      </c>
    </row>
    <row r="516" spans="1:19" x14ac:dyDescent="0.2">
      <c r="A516" s="1">
        <v>513</v>
      </c>
      <c r="B516" s="1" t="s">
        <v>40</v>
      </c>
      <c r="C516" s="1" t="s">
        <v>2446</v>
      </c>
      <c r="D516" s="1" t="s">
        <v>233</v>
      </c>
      <c r="E516" s="1" t="s">
        <v>828</v>
      </c>
      <c r="F516" s="66" t="s">
        <v>878</v>
      </c>
      <c r="G516" s="24" t="s">
        <v>1527</v>
      </c>
      <c r="H516" s="16">
        <v>57</v>
      </c>
      <c r="I516" s="25">
        <v>3</v>
      </c>
      <c r="J516" s="56">
        <f>3845+180</f>
        <v>4025</v>
      </c>
      <c r="K516" s="15">
        <f>1550+80</f>
        <v>1630</v>
      </c>
      <c r="L516" s="24" t="s">
        <v>2030</v>
      </c>
      <c r="M516" s="24" t="s">
        <v>2024</v>
      </c>
      <c r="N516" s="1" t="s">
        <v>2013</v>
      </c>
      <c r="O516" s="15" t="s">
        <v>2082</v>
      </c>
      <c r="P516" s="15" t="s">
        <v>2442</v>
      </c>
      <c r="Q516" s="25" t="s">
        <v>2090</v>
      </c>
      <c r="R516" s="25" t="s">
        <v>2437</v>
      </c>
      <c r="S516" s="73" t="s">
        <v>2250</v>
      </c>
    </row>
    <row r="517" spans="1:19" x14ac:dyDescent="0.2">
      <c r="A517" s="1">
        <v>514</v>
      </c>
      <c r="B517" s="1" t="s">
        <v>234</v>
      </c>
      <c r="C517" s="1" t="s">
        <v>2446</v>
      </c>
      <c r="D517" s="1" t="s">
        <v>869</v>
      </c>
      <c r="E517" s="1" t="s">
        <v>822</v>
      </c>
      <c r="F517" s="66" t="s">
        <v>879</v>
      </c>
      <c r="G517" s="24" t="s">
        <v>1528</v>
      </c>
      <c r="H517" s="16">
        <v>35</v>
      </c>
      <c r="I517" s="25">
        <v>2</v>
      </c>
      <c r="J517" s="56">
        <f>790+150</f>
        <v>940</v>
      </c>
      <c r="K517" s="15">
        <f>450+100</f>
        <v>550</v>
      </c>
      <c r="L517" s="24" t="s">
        <v>2021</v>
      </c>
      <c r="M517" s="24" t="s">
        <v>2020</v>
      </c>
      <c r="N517" s="1" t="s">
        <v>2013</v>
      </c>
      <c r="O517" s="15" t="s">
        <v>2082</v>
      </c>
      <c r="P517" s="15" t="s">
        <v>2442</v>
      </c>
      <c r="Q517" s="25" t="s">
        <v>2083</v>
      </c>
      <c r="R517" s="25" t="s">
        <v>2435</v>
      </c>
      <c r="S517" s="73" t="s">
        <v>2100</v>
      </c>
    </row>
    <row r="518" spans="1:19" x14ac:dyDescent="0.2">
      <c r="A518" s="1">
        <v>515</v>
      </c>
      <c r="B518" s="1" t="s">
        <v>236</v>
      </c>
      <c r="C518" s="1" t="s">
        <v>2446</v>
      </c>
      <c r="D518" s="1" t="s">
        <v>235</v>
      </c>
      <c r="E518" s="1" t="s">
        <v>822</v>
      </c>
      <c r="F518" s="66" t="s">
        <v>880</v>
      </c>
      <c r="G518" s="24" t="s">
        <v>1529</v>
      </c>
      <c r="H518" s="16">
        <v>40</v>
      </c>
      <c r="I518" s="25">
        <v>4</v>
      </c>
      <c r="J518" s="56">
        <f>2740+180+30</f>
        <v>2950</v>
      </c>
      <c r="K518" s="15">
        <f>1480+80+30</f>
        <v>1590</v>
      </c>
      <c r="L518" s="24" t="s">
        <v>2021</v>
      </c>
      <c r="M518" s="24" t="s">
        <v>2020</v>
      </c>
      <c r="N518" s="1" t="s">
        <v>2013</v>
      </c>
      <c r="O518" s="15" t="s">
        <v>2082</v>
      </c>
      <c r="P518" s="15" t="s">
        <v>2442</v>
      </c>
      <c r="Q518" s="25" t="s">
        <v>2084</v>
      </c>
      <c r="R518" s="25" t="s">
        <v>2434</v>
      </c>
      <c r="S518" s="73" t="s">
        <v>2338</v>
      </c>
    </row>
    <row r="519" spans="1:19" x14ac:dyDescent="0.2">
      <c r="A519" s="1">
        <v>516</v>
      </c>
      <c r="B519" s="1" t="s">
        <v>238</v>
      </c>
      <c r="C519" s="1" t="s">
        <v>2446</v>
      </c>
      <c r="D519" s="1" t="s">
        <v>237</v>
      </c>
      <c r="E519" s="1" t="s">
        <v>863</v>
      </c>
      <c r="F519" s="66" t="s">
        <v>878</v>
      </c>
      <c r="G519" s="24" t="s">
        <v>1530</v>
      </c>
      <c r="H519" s="16">
        <v>21</v>
      </c>
      <c r="I519" s="25">
        <v>1</v>
      </c>
      <c r="J519" s="56">
        <v>1980</v>
      </c>
      <c r="K519" s="15">
        <v>986</v>
      </c>
      <c r="L519" s="24" t="s">
        <v>2053</v>
      </c>
      <c r="M519" s="24" t="s">
        <v>2014</v>
      </c>
      <c r="N519" s="1" t="s">
        <v>2013</v>
      </c>
      <c r="O519" s="15" t="s">
        <v>2082</v>
      </c>
      <c r="P519" s="15" t="s">
        <v>2442</v>
      </c>
      <c r="Q519" s="25" t="s">
        <v>2084</v>
      </c>
      <c r="R519" s="25" t="s">
        <v>2436</v>
      </c>
      <c r="S519" s="73" t="s">
        <v>2355</v>
      </c>
    </row>
    <row r="520" spans="1:19" x14ac:dyDescent="0.2">
      <c r="A520" s="1">
        <v>517</v>
      </c>
      <c r="B520" s="1" t="s">
        <v>239</v>
      </c>
      <c r="C520" s="1" t="s">
        <v>2446</v>
      </c>
      <c r="D520" s="1" t="s">
        <v>2583</v>
      </c>
      <c r="E520" s="35" t="s">
        <v>864</v>
      </c>
      <c r="F520" s="66" t="s">
        <v>879</v>
      </c>
      <c r="G520" s="24" t="s">
        <v>1531</v>
      </c>
      <c r="H520" s="16">
        <v>36</v>
      </c>
      <c r="I520" s="25">
        <v>5</v>
      </c>
      <c r="J520" s="56">
        <v>2525</v>
      </c>
      <c r="K520" s="15">
        <v>1420</v>
      </c>
      <c r="L520" s="24" t="s">
        <v>2030</v>
      </c>
      <c r="M520" s="24" t="s">
        <v>2024</v>
      </c>
      <c r="N520" s="1" t="s">
        <v>2013</v>
      </c>
      <c r="O520" s="15" t="s">
        <v>2082</v>
      </c>
      <c r="P520" s="15" t="s">
        <v>2442</v>
      </c>
      <c r="Q520" s="25" t="s">
        <v>2085</v>
      </c>
      <c r="R520" s="25" t="s">
        <v>2437</v>
      </c>
      <c r="S520" s="73" t="s">
        <v>2343</v>
      </c>
    </row>
    <row r="521" spans="1:19" x14ac:dyDescent="0.2">
      <c r="A521" s="1">
        <v>518</v>
      </c>
      <c r="B521" s="1" t="s">
        <v>241</v>
      </c>
      <c r="C521" s="1" t="s">
        <v>2446</v>
      </c>
      <c r="D521" s="1" t="s">
        <v>240</v>
      </c>
      <c r="E521" s="35" t="s">
        <v>823</v>
      </c>
      <c r="F521" s="66" t="s">
        <v>880</v>
      </c>
      <c r="G521" s="24" t="s">
        <v>1532</v>
      </c>
      <c r="H521" s="16">
        <v>28</v>
      </c>
      <c r="I521" s="25">
        <v>2</v>
      </c>
      <c r="J521" s="56">
        <v>2360</v>
      </c>
      <c r="K521" s="15">
        <v>1100</v>
      </c>
      <c r="L521" s="24" t="s">
        <v>2034</v>
      </c>
      <c r="M521" s="24" t="s">
        <v>2016</v>
      </c>
      <c r="N521" s="1" t="s">
        <v>2013</v>
      </c>
      <c r="O521" s="15" t="s">
        <v>2082</v>
      </c>
      <c r="P521" s="15" t="s">
        <v>2442</v>
      </c>
      <c r="Q521" s="25" t="s">
        <v>2084</v>
      </c>
      <c r="R521" s="25" t="s">
        <v>2435</v>
      </c>
      <c r="S521" s="73" t="s">
        <v>2224</v>
      </c>
    </row>
    <row r="522" spans="1:19" x14ac:dyDescent="0.2">
      <c r="A522" s="1">
        <v>519</v>
      </c>
      <c r="B522" s="1" t="s">
        <v>176</v>
      </c>
      <c r="C522" s="1" t="s">
        <v>2446</v>
      </c>
      <c r="D522" s="1" t="s">
        <v>242</v>
      </c>
      <c r="E522" s="35" t="s">
        <v>823</v>
      </c>
      <c r="F522" s="67" t="s">
        <v>915</v>
      </c>
      <c r="G522" s="24" t="s">
        <v>1533</v>
      </c>
      <c r="H522" s="16">
        <v>50</v>
      </c>
      <c r="I522" s="25">
        <v>3</v>
      </c>
      <c r="J522" s="56">
        <v>4848</v>
      </c>
      <c r="K522" s="15">
        <v>2820</v>
      </c>
      <c r="L522" s="24" t="s">
        <v>2015</v>
      </c>
      <c r="M522" s="24" t="s">
        <v>2014</v>
      </c>
      <c r="N522" s="1" t="s">
        <v>2013</v>
      </c>
      <c r="O522" s="15" t="s">
        <v>2082</v>
      </c>
      <c r="P522" s="15" t="s">
        <v>2442</v>
      </c>
      <c r="Q522" s="25" t="s">
        <v>2086</v>
      </c>
      <c r="R522" s="25" t="s">
        <v>2436</v>
      </c>
      <c r="S522" s="73" t="s">
        <v>2356</v>
      </c>
    </row>
    <row r="523" spans="1:19" x14ac:dyDescent="0.2">
      <c r="A523" s="1">
        <v>520</v>
      </c>
      <c r="B523" s="1" t="s">
        <v>150</v>
      </c>
      <c r="C523" s="1" t="s">
        <v>2446</v>
      </c>
      <c r="D523" s="1" t="s">
        <v>243</v>
      </c>
      <c r="E523" s="35" t="s">
        <v>863</v>
      </c>
      <c r="F523" s="66" t="s">
        <v>920</v>
      </c>
      <c r="G523" s="24" t="s">
        <v>1534</v>
      </c>
      <c r="H523" s="16">
        <v>39</v>
      </c>
      <c r="I523" s="25">
        <v>4</v>
      </c>
      <c r="J523" s="56">
        <v>2870</v>
      </c>
      <c r="K523" s="15">
        <v>1680</v>
      </c>
      <c r="L523" s="24" t="s">
        <v>2034</v>
      </c>
      <c r="M523" s="24" t="s">
        <v>2016</v>
      </c>
      <c r="N523" s="1" t="s">
        <v>2013</v>
      </c>
      <c r="O523" s="15" t="s">
        <v>2082</v>
      </c>
      <c r="P523" s="15" t="s">
        <v>2442</v>
      </c>
      <c r="Q523" s="25" t="s">
        <v>2087</v>
      </c>
      <c r="R523" s="25" t="s">
        <v>2434</v>
      </c>
      <c r="S523" s="73" t="s">
        <v>2357</v>
      </c>
    </row>
    <row r="524" spans="1:19" x14ac:dyDescent="0.2">
      <c r="A524" s="1">
        <v>521</v>
      </c>
      <c r="B524" s="1" t="s">
        <v>244</v>
      </c>
      <c r="C524" s="1" t="s">
        <v>2446</v>
      </c>
      <c r="D524" s="1" t="s">
        <v>2584</v>
      </c>
      <c r="E524" s="35" t="s">
        <v>822</v>
      </c>
      <c r="F524" s="67" t="s">
        <v>921</v>
      </c>
      <c r="G524" s="24" t="s">
        <v>1535</v>
      </c>
      <c r="H524" s="16">
        <v>31</v>
      </c>
      <c r="I524" s="25">
        <v>1</v>
      </c>
      <c r="J524" s="56">
        <v>4050</v>
      </c>
      <c r="K524" s="15">
        <v>1920</v>
      </c>
      <c r="L524" s="24" t="s">
        <v>2017</v>
      </c>
      <c r="M524" s="24" t="s">
        <v>2016</v>
      </c>
      <c r="N524" s="1" t="s">
        <v>2013</v>
      </c>
      <c r="O524" s="15" t="s">
        <v>2082</v>
      </c>
      <c r="P524" s="15" t="s">
        <v>2442</v>
      </c>
      <c r="Q524" s="25" t="s">
        <v>2090</v>
      </c>
      <c r="R524" s="25" t="s">
        <v>2437</v>
      </c>
      <c r="S524" s="73" t="s">
        <v>2337</v>
      </c>
    </row>
    <row r="525" spans="1:19" x14ac:dyDescent="0.2">
      <c r="A525" s="1">
        <v>522</v>
      </c>
      <c r="B525" s="1" t="s">
        <v>246</v>
      </c>
      <c r="C525" s="1" t="s">
        <v>2446</v>
      </c>
      <c r="D525" s="1" t="s">
        <v>245</v>
      </c>
      <c r="E525" s="35" t="s">
        <v>863</v>
      </c>
      <c r="F525" s="67" t="s">
        <v>922</v>
      </c>
      <c r="G525" s="24" t="s">
        <v>1536</v>
      </c>
      <c r="H525" s="16">
        <v>44</v>
      </c>
      <c r="I525" s="25">
        <v>5</v>
      </c>
      <c r="J525" s="56">
        <v>1690</v>
      </c>
      <c r="K525" s="15">
        <v>900</v>
      </c>
      <c r="L525" s="24" t="s">
        <v>2052</v>
      </c>
      <c r="M525" s="24" t="s">
        <v>2014</v>
      </c>
      <c r="N525" s="1" t="s">
        <v>2013</v>
      </c>
      <c r="O525" s="15" t="s">
        <v>2082</v>
      </c>
      <c r="P525" s="15" t="s">
        <v>2442</v>
      </c>
      <c r="Q525" s="25" t="s">
        <v>2084</v>
      </c>
      <c r="R525" s="25" t="s">
        <v>2435</v>
      </c>
      <c r="S525" s="73" t="s">
        <v>2153</v>
      </c>
    </row>
    <row r="526" spans="1:19" x14ac:dyDescent="0.2">
      <c r="A526" s="1">
        <v>522</v>
      </c>
      <c r="B526" s="1" t="s">
        <v>248</v>
      </c>
      <c r="C526" s="1" t="s">
        <v>2446</v>
      </c>
      <c r="D526" s="1" t="s">
        <v>247</v>
      </c>
      <c r="E526" s="35" t="s">
        <v>822</v>
      </c>
      <c r="F526" s="67" t="s">
        <v>923</v>
      </c>
      <c r="G526" s="24" t="s">
        <v>1537</v>
      </c>
      <c r="H526" s="16">
        <v>26</v>
      </c>
      <c r="I526" s="25">
        <v>3</v>
      </c>
      <c r="J526" s="56">
        <v>1300</v>
      </c>
      <c r="K526" s="15">
        <v>710</v>
      </c>
      <c r="L526" s="24" t="s">
        <v>2052</v>
      </c>
      <c r="M526" s="24" t="s">
        <v>2024</v>
      </c>
      <c r="N526" s="1" t="s">
        <v>2013</v>
      </c>
      <c r="O526" s="15" t="s">
        <v>2082</v>
      </c>
      <c r="P526" s="15" t="s">
        <v>2442</v>
      </c>
      <c r="Q526" s="25" t="s">
        <v>2088</v>
      </c>
      <c r="R526" s="25" t="s">
        <v>2434</v>
      </c>
      <c r="S526" s="73" t="s">
        <v>2149</v>
      </c>
    </row>
    <row r="527" spans="1:19" x14ac:dyDescent="0.2">
      <c r="A527" s="1">
        <v>523</v>
      </c>
      <c r="B527" s="1" t="s">
        <v>195</v>
      </c>
      <c r="C527" s="1" t="s">
        <v>2446</v>
      </c>
      <c r="D527" s="1" t="s">
        <v>2585</v>
      </c>
      <c r="E527" s="35" t="s">
        <v>864</v>
      </c>
      <c r="F527" s="67" t="s">
        <v>924</v>
      </c>
      <c r="G527" s="24" t="s">
        <v>1538</v>
      </c>
      <c r="H527" s="16">
        <v>48</v>
      </c>
      <c r="I527" s="25">
        <v>2</v>
      </c>
      <c r="J527" s="56">
        <f>2300+180</f>
        <v>2480</v>
      </c>
      <c r="K527" s="15">
        <f>1380+80</f>
        <v>1460</v>
      </c>
      <c r="L527" s="24" t="s">
        <v>2036</v>
      </c>
      <c r="M527" s="24" t="s">
        <v>2014</v>
      </c>
      <c r="N527" s="1" t="s">
        <v>2013</v>
      </c>
      <c r="O527" s="15" t="s">
        <v>2082</v>
      </c>
      <c r="P527" s="15" t="s">
        <v>2442</v>
      </c>
      <c r="Q527" s="25" t="s">
        <v>2089</v>
      </c>
      <c r="R527" s="25" t="s">
        <v>2436</v>
      </c>
      <c r="S527" s="73" t="s">
        <v>2178</v>
      </c>
    </row>
    <row r="528" spans="1:19" x14ac:dyDescent="0.2">
      <c r="A528" s="1">
        <v>524</v>
      </c>
      <c r="B528" s="1" t="s">
        <v>250</v>
      </c>
      <c r="C528" s="1" t="s">
        <v>2446</v>
      </c>
      <c r="D528" s="1" t="s">
        <v>249</v>
      </c>
      <c r="E528" s="1" t="s">
        <v>863</v>
      </c>
      <c r="F528" s="67" t="s">
        <v>925</v>
      </c>
      <c r="G528" s="24" t="s">
        <v>1539</v>
      </c>
      <c r="H528" s="16">
        <v>53</v>
      </c>
      <c r="I528" s="25">
        <v>4</v>
      </c>
      <c r="J528" s="56">
        <v>3660</v>
      </c>
      <c r="K528" s="15">
        <v>1700</v>
      </c>
      <c r="L528" s="24" t="s">
        <v>2018</v>
      </c>
      <c r="M528" s="24" t="s">
        <v>2014</v>
      </c>
      <c r="N528" s="1" t="s">
        <v>2013</v>
      </c>
      <c r="O528" s="15" t="s">
        <v>2082</v>
      </c>
      <c r="P528" s="15" t="s">
        <v>2442</v>
      </c>
      <c r="Q528" s="25" t="s">
        <v>2089</v>
      </c>
      <c r="R528" s="25" t="s">
        <v>2437</v>
      </c>
      <c r="S528" s="73" t="s">
        <v>2237</v>
      </c>
    </row>
    <row r="529" spans="1:19" x14ac:dyDescent="0.2">
      <c r="A529" s="1">
        <v>525</v>
      </c>
      <c r="B529" s="1" t="s">
        <v>252</v>
      </c>
      <c r="C529" s="1" t="s">
        <v>2446</v>
      </c>
      <c r="D529" s="1" t="s">
        <v>251</v>
      </c>
      <c r="E529" s="1" t="s">
        <v>864</v>
      </c>
      <c r="F529" s="69" t="s">
        <v>904</v>
      </c>
      <c r="G529" s="24" t="s">
        <v>1540</v>
      </c>
      <c r="H529" s="16">
        <v>30</v>
      </c>
      <c r="I529" s="25">
        <v>1</v>
      </c>
      <c r="J529" s="56">
        <v>4360</v>
      </c>
      <c r="K529" s="15">
        <v>2280</v>
      </c>
      <c r="L529" s="24" t="s">
        <v>2031</v>
      </c>
      <c r="M529" s="24" t="s">
        <v>2016</v>
      </c>
      <c r="N529" s="1" t="s">
        <v>2013</v>
      </c>
      <c r="O529" s="15" t="s">
        <v>2082</v>
      </c>
      <c r="P529" s="15" t="s">
        <v>2442</v>
      </c>
      <c r="Q529" s="25" t="s">
        <v>2090</v>
      </c>
      <c r="R529" s="25" t="s">
        <v>2435</v>
      </c>
      <c r="S529" s="73" t="s">
        <v>2257</v>
      </c>
    </row>
    <row r="530" spans="1:19" x14ac:dyDescent="0.2">
      <c r="A530" s="1">
        <v>523</v>
      </c>
      <c r="B530" s="1" t="s">
        <v>254</v>
      </c>
      <c r="C530" s="1" t="s">
        <v>2446</v>
      </c>
      <c r="D530" s="1" t="s">
        <v>253</v>
      </c>
      <c r="E530" s="1" t="s">
        <v>822</v>
      </c>
      <c r="F530" s="67" t="s">
        <v>925</v>
      </c>
      <c r="G530" s="24" t="s">
        <v>1541</v>
      </c>
      <c r="H530" s="16">
        <v>37</v>
      </c>
      <c r="I530" s="25">
        <v>5</v>
      </c>
      <c r="J530" s="56">
        <v>3000</v>
      </c>
      <c r="K530" s="15">
        <v>1900</v>
      </c>
      <c r="L530" s="24" t="s">
        <v>2015</v>
      </c>
      <c r="M530" s="24" t="s">
        <v>2014</v>
      </c>
      <c r="N530" s="1" t="s">
        <v>2013</v>
      </c>
      <c r="O530" s="15" t="s">
        <v>2082</v>
      </c>
      <c r="P530" s="15" t="s">
        <v>2442</v>
      </c>
      <c r="Q530" s="25" t="s">
        <v>2089</v>
      </c>
      <c r="R530" s="25" t="s">
        <v>2436</v>
      </c>
      <c r="S530" s="73" t="s">
        <v>2302</v>
      </c>
    </row>
    <row r="531" spans="1:19" x14ac:dyDescent="0.2">
      <c r="A531" s="1">
        <v>524</v>
      </c>
      <c r="B531" s="1" t="s">
        <v>255</v>
      </c>
      <c r="C531" s="1" t="s">
        <v>2446</v>
      </c>
      <c r="D531" s="1" t="s">
        <v>2013</v>
      </c>
      <c r="E531" s="1" t="s">
        <v>823</v>
      </c>
      <c r="F531" s="69" t="s">
        <v>904</v>
      </c>
      <c r="G531" s="24" t="s">
        <v>1542</v>
      </c>
      <c r="H531" s="16">
        <v>42</v>
      </c>
      <c r="I531" s="25">
        <v>2</v>
      </c>
      <c r="J531" s="56">
        <v>3130</v>
      </c>
      <c r="K531" s="15">
        <v>1350</v>
      </c>
      <c r="L531" s="24" t="s">
        <v>2060</v>
      </c>
      <c r="M531" s="24" t="s">
        <v>2024</v>
      </c>
      <c r="N531" s="1" t="s">
        <v>2013</v>
      </c>
      <c r="O531" s="15" t="s">
        <v>2082</v>
      </c>
      <c r="P531" s="15" t="s">
        <v>2442</v>
      </c>
      <c r="Q531" s="25" t="s">
        <v>2088</v>
      </c>
      <c r="R531" s="25" t="s">
        <v>2434</v>
      </c>
      <c r="S531" s="73" t="s">
        <v>2358</v>
      </c>
    </row>
    <row r="532" spans="1:19" x14ac:dyDescent="0.2">
      <c r="A532" s="1">
        <v>525</v>
      </c>
      <c r="B532" s="1" t="s">
        <v>91</v>
      </c>
      <c r="C532" s="1" t="s">
        <v>2446</v>
      </c>
      <c r="D532" s="1" t="s">
        <v>256</v>
      </c>
      <c r="E532" s="35" t="s">
        <v>822</v>
      </c>
      <c r="F532" s="66" t="s">
        <v>926</v>
      </c>
      <c r="G532" s="24" t="s">
        <v>1543</v>
      </c>
      <c r="H532" s="16">
        <v>24</v>
      </c>
      <c r="I532" s="25">
        <v>3</v>
      </c>
      <c r="J532" s="56">
        <v>2590</v>
      </c>
      <c r="K532" s="15">
        <v>1500</v>
      </c>
      <c r="L532" s="24" t="s">
        <v>2055</v>
      </c>
      <c r="M532" s="24" t="s">
        <v>2014</v>
      </c>
      <c r="N532" s="1" t="s">
        <v>2013</v>
      </c>
      <c r="O532" s="15" t="s">
        <v>2082</v>
      </c>
      <c r="P532" s="15" t="s">
        <v>2442</v>
      </c>
      <c r="Q532" s="25" t="s">
        <v>2085</v>
      </c>
      <c r="R532" s="25" t="s">
        <v>2437</v>
      </c>
      <c r="S532" s="73" t="s">
        <v>2154</v>
      </c>
    </row>
    <row r="533" spans="1:19" x14ac:dyDescent="0.2">
      <c r="A533" s="1">
        <v>526</v>
      </c>
      <c r="B533" s="1" t="s">
        <v>127</v>
      </c>
      <c r="C533" s="1" t="s">
        <v>2446</v>
      </c>
      <c r="D533" s="1" t="s">
        <v>257</v>
      </c>
      <c r="E533" s="35" t="s">
        <v>863</v>
      </c>
      <c r="F533" s="66" t="s">
        <v>927</v>
      </c>
      <c r="G533" s="24" t="s">
        <v>1544</v>
      </c>
      <c r="H533" s="16">
        <v>57</v>
      </c>
      <c r="I533" s="25">
        <v>4</v>
      </c>
      <c r="J533" s="56">
        <v>3360</v>
      </c>
      <c r="K533" s="15">
        <v>1390</v>
      </c>
      <c r="L533" s="24" t="s">
        <v>2044</v>
      </c>
      <c r="M533" s="24" t="s">
        <v>2020</v>
      </c>
      <c r="N533" s="1" t="s">
        <v>2013</v>
      </c>
      <c r="O533" s="15" t="s">
        <v>2082</v>
      </c>
      <c r="P533" s="15" t="s">
        <v>2442</v>
      </c>
      <c r="Q533" s="25" t="s">
        <v>2086</v>
      </c>
      <c r="R533" s="25" t="s">
        <v>2435</v>
      </c>
      <c r="S533" s="73" t="s">
        <v>2115</v>
      </c>
    </row>
    <row r="534" spans="1:19" x14ac:dyDescent="0.2">
      <c r="A534" s="1">
        <v>527</v>
      </c>
      <c r="B534" s="1" t="s">
        <v>13</v>
      </c>
      <c r="C534" s="1" t="s">
        <v>2445</v>
      </c>
      <c r="D534" s="1" t="s">
        <v>869</v>
      </c>
      <c r="E534" s="1" t="s">
        <v>863</v>
      </c>
      <c r="F534" s="66" t="s">
        <v>877</v>
      </c>
      <c r="G534" s="24" t="s">
        <v>1545</v>
      </c>
      <c r="H534" s="16">
        <v>35</v>
      </c>
      <c r="I534" s="25">
        <v>5</v>
      </c>
      <c r="J534" s="56">
        <v>990</v>
      </c>
      <c r="K534" s="15">
        <v>500</v>
      </c>
      <c r="L534" s="24" t="s">
        <v>2055</v>
      </c>
      <c r="M534" s="24" t="s">
        <v>2014</v>
      </c>
      <c r="N534" s="1" t="s">
        <v>2013</v>
      </c>
      <c r="O534" s="15" t="s">
        <v>2082</v>
      </c>
      <c r="P534" s="15" t="s">
        <v>2442</v>
      </c>
      <c r="Q534" s="25" t="s">
        <v>2086</v>
      </c>
      <c r="R534" s="25" t="s">
        <v>2434</v>
      </c>
      <c r="S534" s="73" t="s">
        <v>2299</v>
      </c>
    </row>
    <row r="535" spans="1:19" x14ac:dyDescent="0.2">
      <c r="A535" s="12">
        <v>528</v>
      </c>
      <c r="B535" s="1" t="s">
        <v>79</v>
      </c>
      <c r="C535" s="1" t="s">
        <v>2446</v>
      </c>
      <c r="D535" s="1" t="s">
        <v>259</v>
      </c>
      <c r="E535" s="1" t="s">
        <v>864</v>
      </c>
      <c r="F535" s="66" t="s">
        <v>878</v>
      </c>
      <c r="G535" s="24" t="s">
        <v>1546</v>
      </c>
      <c r="H535" s="16">
        <v>40</v>
      </c>
      <c r="I535" s="25">
        <v>2</v>
      </c>
      <c r="J535" s="56">
        <v>3820</v>
      </c>
      <c r="K535" s="15">
        <v>1480</v>
      </c>
      <c r="L535" s="24" t="s">
        <v>2047</v>
      </c>
      <c r="M535" s="24" t="s">
        <v>2024</v>
      </c>
      <c r="N535" s="1" t="s">
        <v>2013</v>
      </c>
      <c r="O535" s="15" t="s">
        <v>2082</v>
      </c>
      <c r="P535" s="15" t="s">
        <v>2442</v>
      </c>
      <c r="Q535" s="25" t="s">
        <v>2090</v>
      </c>
      <c r="R535" s="25" t="s">
        <v>2436</v>
      </c>
      <c r="S535" s="73" t="s">
        <v>2359</v>
      </c>
    </row>
    <row r="536" spans="1:19" x14ac:dyDescent="0.2">
      <c r="A536" s="1">
        <v>529</v>
      </c>
      <c r="B536" s="1" t="s">
        <v>52</v>
      </c>
      <c r="C536" s="1" t="s">
        <v>2446</v>
      </c>
      <c r="D536" s="1" t="s">
        <v>235</v>
      </c>
      <c r="E536" s="1" t="s">
        <v>822</v>
      </c>
      <c r="F536" s="66" t="s">
        <v>879</v>
      </c>
      <c r="G536" s="24" t="s">
        <v>1547</v>
      </c>
      <c r="H536" s="16">
        <v>21</v>
      </c>
      <c r="I536" s="25">
        <v>3</v>
      </c>
      <c r="J536" s="56">
        <v>9790</v>
      </c>
      <c r="K536" s="15">
        <v>5490</v>
      </c>
      <c r="L536" s="24" t="s">
        <v>2029</v>
      </c>
      <c r="M536" s="24" t="s">
        <v>2016</v>
      </c>
      <c r="N536" s="1" t="s">
        <v>2013</v>
      </c>
      <c r="O536" s="15" t="s">
        <v>2082</v>
      </c>
      <c r="P536" s="15" t="s">
        <v>2442</v>
      </c>
      <c r="Q536" s="25" t="s">
        <v>2088</v>
      </c>
      <c r="R536" s="25" t="s">
        <v>2437</v>
      </c>
      <c r="S536" s="73" t="s">
        <v>2202</v>
      </c>
    </row>
    <row r="537" spans="1:19" x14ac:dyDescent="0.2">
      <c r="A537" s="1">
        <v>530</v>
      </c>
      <c r="B537" s="1" t="s">
        <v>260</v>
      </c>
      <c r="C537" s="1" t="s">
        <v>2446</v>
      </c>
      <c r="D537" s="1" t="s">
        <v>2586</v>
      </c>
      <c r="E537" s="1" t="s">
        <v>823</v>
      </c>
      <c r="F537" s="66" t="s">
        <v>880</v>
      </c>
      <c r="G537" s="24" t="s">
        <v>1548</v>
      </c>
      <c r="H537" s="16">
        <v>59</v>
      </c>
      <c r="I537" s="25">
        <v>4</v>
      </c>
      <c r="J537" s="56">
        <v>7125</v>
      </c>
      <c r="K537" s="15">
        <v>2450</v>
      </c>
      <c r="L537" s="24" t="s">
        <v>2062</v>
      </c>
      <c r="M537" s="24" t="s">
        <v>2014</v>
      </c>
      <c r="N537" s="1" t="s">
        <v>2013</v>
      </c>
      <c r="O537" s="15" t="s">
        <v>2082</v>
      </c>
      <c r="P537" s="15" t="s">
        <v>2442</v>
      </c>
      <c r="Q537" s="25" t="s">
        <v>2090</v>
      </c>
      <c r="R537" s="25" t="s">
        <v>2435</v>
      </c>
      <c r="S537" s="73" t="s">
        <v>2316</v>
      </c>
    </row>
    <row r="538" spans="1:19" x14ac:dyDescent="0.2">
      <c r="A538" s="1">
        <v>531</v>
      </c>
      <c r="B538" s="1" t="s">
        <v>262</v>
      </c>
      <c r="C538" s="1" t="s">
        <v>2446</v>
      </c>
      <c r="D538" s="1" t="s">
        <v>261</v>
      </c>
      <c r="E538" s="1" t="s">
        <v>828</v>
      </c>
      <c r="F538" s="66" t="s">
        <v>878</v>
      </c>
      <c r="G538" s="24" t="s">
        <v>1549</v>
      </c>
      <c r="H538" s="16">
        <v>34</v>
      </c>
      <c r="I538" s="25">
        <v>3</v>
      </c>
      <c r="J538" s="56">
        <v>4150</v>
      </c>
      <c r="K538" s="15">
        <v>2100</v>
      </c>
      <c r="L538" s="24" t="s">
        <v>2049</v>
      </c>
      <c r="M538" s="24" t="s">
        <v>2016</v>
      </c>
      <c r="N538" s="1" t="s">
        <v>2013</v>
      </c>
      <c r="O538" s="15" t="s">
        <v>2082</v>
      </c>
      <c r="P538" s="15" t="s">
        <v>2442</v>
      </c>
      <c r="Q538" s="25" t="s">
        <v>2084</v>
      </c>
      <c r="R538" s="25" t="s">
        <v>2436</v>
      </c>
      <c r="S538" s="73" t="s">
        <v>2360</v>
      </c>
    </row>
    <row r="539" spans="1:19" x14ac:dyDescent="0.2">
      <c r="A539" s="1">
        <v>532</v>
      </c>
      <c r="B539" s="1" t="s">
        <v>53</v>
      </c>
      <c r="C539" s="1" t="s">
        <v>2446</v>
      </c>
      <c r="D539" s="1" t="s">
        <v>2587</v>
      </c>
      <c r="E539" s="1" t="s">
        <v>822</v>
      </c>
      <c r="F539" s="66" t="s">
        <v>879</v>
      </c>
      <c r="G539" s="24" t="s">
        <v>1550</v>
      </c>
      <c r="H539" s="16">
        <v>27</v>
      </c>
      <c r="I539" s="25">
        <v>1</v>
      </c>
      <c r="J539" s="56">
        <v>3355</v>
      </c>
      <c r="K539" s="15">
        <v>1650</v>
      </c>
      <c r="L539" s="24" t="s">
        <v>2062</v>
      </c>
      <c r="M539" s="24" t="s">
        <v>2020</v>
      </c>
      <c r="N539" s="1" t="s">
        <v>2013</v>
      </c>
      <c r="O539" s="15" t="s">
        <v>2082</v>
      </c>
      <c r="P539" s="15" t="s">
        <v>2442</v>
      </c>
      <c r="Q539" s="25" t="s">
        <v>2085</v>
      </c>
      <c r="R539" s="25" t="s">
        <v>2434</v>
      </c>
      <c r="S539" s="73" t="s">
        <v>2315</v>
      </c>
    </row>
    <row r="540" spans="1:19" x14ac:dyDescent="0.2">
      <c r="A540" s="1">
        <v>533</v>
      </c>
      <c r="B540" s="1" t="s">
        <v>263</v>
      </c>
      <c r="C540" s="1" t="s">
        <v>2446</v>
      </c>
      <c r="D540" s="1" t="s">
        <v>2588</v>
      </c>
      <c r="E540" s="1" t="s">
        <v>2769</v>
      </c>
      <c r="F540" s="66" t="s">
        <v>959</v>
      </c>
      <c r="G540" s="24" t="s">
        <v>1551</v>
      </c>
      <c r="H540" s="16">
        <v>45</v>
      </c>
      <c r="I540" s="25">
        <v>4</v>
      </c>
      <c r="J540" s="56">
        <v>4800</v>
      </c>
      <c r="K540" s="15">
        <f>3300+300</f>
        <v>3600</v>
      </c>
      <c r="L540" s="24" t="s">
        <v>2018</v>
      </c>
      <c r="M540" s="24" t="s">
        <v>2024</v>
      </c>
      <c r="N540" s="1" t="s">
        <v>2013</v>
      </c>
      <c r="O540" s="15" t="s">
        <v>2082</v>
      </c>
      <c r="P540" s="15" t="s">
        <v>2442</v>
      </c>
      <c r="Q540" s="25" t="s">
        <v>2088</v>
      </c>
      <c r="R540" s="25" t="s">
        <v>2437</v>
      </c>
      <c r="S540" s="73" t="s">
        <v>2361</v>
      </c>
    </row>
    <row r="541" spans="1:19" x14ac:dyDescent="0.2">
      <c r="A541" s="1">
        <v>534</v>
      </c>
      <c r="B541" s="1" t="s">
        <v>12</v>
      </c>
      <c r="C541" s="1" t="s">
        <v>2445</v>
      </c>
      <c r="D541" s="1" t="s">
        <v>4</v>
      </c>
      <c r="E541" s="1" t="s">
        <v>823</v>
      </c>
      <c r="F541" s="66" t="s">
        <v>870</v>
      </c>
      <c r="G541" s="24" t="s">
        <v>1552</v>
      </c>
      <c r="H541" s="16">
        <v>52</v>
      </c>
      <c r="I541" s="25">
        <v>5</v>
      </c>
      <c r="J541" s="56">
        <v>1090</v>
      </c>
      <c r="K541" s="15">
        <v>700</v>
      </c>
      <c r="L541" s="24" t="s">
        <v>2027</v>
      </c>
      <c r="M541" s="24" t="s">
        <v>2014</v>
      </c>
      <c r="N541" s="1" t="s">
        <v>2013</v>
      </c>
      <c r="O541" s="15" t="s">
        <v>2082</v>
      </c>
      <c r="P541" s="15" t="s">
        <v>2442</v>
      </c>
      <c r="Q541" s="25" t="s">
        <v>2085</v>
      </c>
      <c r="R541" s="25" t="s">
        <v>2435</v>
      </c>
      <c r="S541" s="73" t="s">
        <v>2141</v>
      </c>
    </row>
    <row r="542" spans="1:19" x14ac:dyDescent="0.2">
      <c r="A542" s="1">
        <v>535</v>
      </c>
      <c r="B542" s="1" t="s">
        <v>264</v>
      </c>
      <c r="C542" s="1" t="s">
        <v>2446</v>
      </c>
      <c r="D542" s="1" t="s">
        <v>251</v>
      </c>
      <c r="E542" s="1" t="s">
        <v>823</v>
      </c>
      <c r="F542" s="66" t="s">
        <v>871</v>
      </c>
      <c r="G542" s="24" t="s">
        <v>1553</v>
      </c>
      <c r="H542" s="16">
        <v>23</v>
      </c>
      <c r="I542" s="25">
        <v>3</v>
      </c>
      <c r="J542" s="56">
        <v>5000</v>
      </c>
      <c r="K542" s="15">
        <v>2900</v>
      </c>
      <c r="L542" s="24" t="s">
        <v>2015</v>
      </c>
      <c r="M542" s="24" t="s">
        <v>2014</v>
      </c>
      <c r="N542" s="1" t="s">
        <v>2013</v>
      </c>
      <c r="O542" s="15" t="s">
        <v>2082</v>
      </c>
      <c r="P542" s="15" t="s">
        <v>2442</v>
      </c>
      <c r="Q542" s="25" t="s">
        <v>2089</v>
      </c>
      <c r="R542" s="25" t="s">
        <v>2434</v>
      </c>
      <c r="S542" s="73" t="s">
        <v>2325</v>
      </c>
    </row>
    <row r="543" spans="1:19" x14ac:dyDescent="0.2">
      <c r="A543" s="1">
        <v>534</v>
      </c>
      <c r="B543" s="1" t="s">
        <v>266</v>
      </c>
      <c r="C543" s="1" t="s">
        <v>2446</v>
      </c>
      <c r="D543" s="1" t="s">
        <v>265</v>
      </c>
      <c r="E543" s="1" t="s">
        <v>828</v>
      </c>
      <c r="F543" s="66" t="s">
        <v>872</v>
      </c>
      <c r="G543" s="24" t="s">
        <v>1554</v>
      </c>
      <c r="H543" s="16">
        <v>38</v>
      </c>
      <c r="I543" s="25">
        <v>2</v>
      </c>
      <c r="J543" s="56">
        <v>2700</v>
      </c>
      <c r="K543" s="15">
        <v>1500</v>
      </c>
      <c r="L543" s="24" t="s">
        <v>2015</v>
      </c>
      <c r="M543" s="24" t="s">
        <v>2014</v>
      </c>
      <c r="N543" s="1" t="s">
        <v>2013</v>
      </c>
      <c r="O543" s="15" t="s">
        <v>2082</v>
      </c>
      <c r="P543" s="15" t="s">
        <v>2442</v>
      </c>
      <c r="Q543" s="25" t="s">
        <v>2086</v>
      </c>
      <c r="R543" s="25" t="s">
        <v>2436</v>
      </c>
      <c r="S543" s="73" t="s">
        <v>2121</v>
      </c>
    </row>
    <row r="544" spans="1:19" x14ac:dyDescent="0.2">
      <c r="A544" s="1">
        <v>535</v>
      </c>
      <c r="B544" s="1" t="s">
        <v>268</v>
      </c>
      <c r="C544" s="1" t="s">
        <v>2446</v>
      </c>
      <c r="D544" s="1" t="s">
        <v>267</v>
      </c>
      <c r="E544" s="1" t="s">
        <v>822</v>
      </c>
      <c r="F544" s="66" t="s">
        <v>873</v>
      </c>
      <c r="G544" s="24" t="s">
        <v>1555</v>
      </c>
      <c r="H544" s="16">
        <v>41</v>
      </c>
      <c r="I544" s="25">
        <v>4</v>
      </c>
      <c r="J544" s="56">
        <v>5190</v>
      </c>
      <c r="K544" s="15">
        <v>2750</v>
      </c>
      <c r="L544" s="24" t="s">
        <v>2059</v>
      </c>
      <c r="M544" s="24" t="s">
        <v>2016</v>
      </c>
      <c r="N544" s="1" t="s">
        <v>2013</v>
      </c>
      <c r="O544" s="15" t="s">
        <v>2082</v>
      </c>
      <c r="P544" s="15" t="s">
        <v>2442</v>
      </c>
      <c r="Q544" s="25" t="s">
        <v>2086</v>
      </c>
      <c r="R544" s="25" t="s">
        <v>2437</v>
      </c>
      <c r="S544" s="73" t="s">
        <v>2130</v>
      </c>
    </row>
    <row r="545" spans="1:19" x14ac:dyDescent="0.2">
      <c r="A545" s="1">
        <v>536</v>
      </c>
      <c r="B545" s="1" t="s">
        <v>270</v>
      </c>
      <c r="C545" s="1" t="s">
        <v>2446</v>
      </c>
      <c r="D545" s="1" t="s">
        <v>269</v>
      </c>
      <c r="E545" s="1" t="s">
        <v>822</v>
      </c>
      <c r="F545" s="66" t="s">
        <v>874</v>
      </c>
      <c r="G545" s="24" t="s">
        <v>1556</v>
      </c>
      <c r="H545" s="16">
        <v>29</v>
      </c>
      <c r="I545" s="25">
        <v>1</v>
      </c>
      <c r="J545" s="56">
        <v>2500</v>
      </c>
      <c r="K545" s="15">
        <v>1500</v>
      </c>
      <c r="L545" s="24" t="s">
        <v>2034</v>
      </c>
      <c r="M545" s="24" t="s">
        <v>2016</v>
      </c>
      <c r="N545" s="1" t="s">
        <v>2013</v>
      </c>
      <c r="O545" s="15" t="s">
        <v>2082</v>
      </c>
      <c r="P545" s="15" t="s">
        <v>2442</v>
      </c>
      <c r="Q545" s="25" t="s">
        <v>2089</v>
      </c>
      <c r="R545" s="25" t="s">
        <v>2435</v>
      </c>
      <c r="S545" s="73" t="s">
        <v>2338</v>
      </c>
    </row>
    <row r="546" spans="1:19" x14ac:dyDescent="0.2">
      <c r="A546" s="1">
        <v>537</v>
      </c>
      <c r="B546" s="1" t="s">
        <v>272</v>
      </c>
      <c r="C546" s="1" t="s">
        <v>2446</v>
      </c>
      <c r="D546" s="1" t="s">
        <v>271</v>
      </c>
      <c r="E546" s="1" t="s">
        <v>863</v>
      </c>
      <c r="F546" s="67" t="s">
        <v>875</v>
      </c>
      <c r="G546" s="24" t="s">
        <v>1557</v>
      </c>
      <c r="H546" s="16">
        <v>60</v>
      </c>
      <c r="I546" s="25">
        <v>5</v>
      </c>
      <c r="J546" s="56">
        <v>2970</v>
      </c>
      <c r="K546" s="15">
        <v>1600</v>
      </c>
      <c r="L546" s="24" t="s">
        <v>2036</v>
      </c>
      <c r="M546" s="24" t="s">
        <v>2014</v>
      </c>
      <c r="N546" s="1" t="s">
        <v>2013</v>
      </c>
      <c r="O546" s="15" t="s">
        <v>2082</v>
      </c>
      <c r="P546" s="15" t="s">
        <v>2442</v>
      </c>
      <c r="Q546" s="25" t="s">
        <v>2087</v>
      </c>
      <c r="R546" s="25" t="s">
        <v>2436</v>
      </c>
      <c r="S546" s="73" t="s">
        <v>2362</v>
      </c>
    </row>
    <row r="547" spans="1:19" x14ac:dyDescent="0.2">
      <c r="A547" s="1">
        <v>538</v>
      </c>
      <c r="B547" s="1" t="s">
        <v>270</v>
      </c>
      <c r="C547" s="1" t="s">
        <v>2446</v>
      </c>
      <c r="D547" s="1" t="s">
        <v>269</v>
      </c>
      <c r="E547" s="35" t="s">
        <v>864</v>
      </c>
      <c r="F547" s="66" t="s">
        <v>876</v>
      </c>
      <c r="G547" s="24" t="s">
        <v>1558</v>
      </c>
      <c r="H547" s="16">
        <v>33</v>
      </c>
      <c r="I547" s="25">
        <v>2</v>
      </c>
      <c r="J547" s="56">
        <v>2500</v>
      </c>
      <c r="K547" s="15">
        <v>1500</v>
      </c>
      <c r="L547" s="24" t="s">
        <v>2060</v>
      </c>
      <c r="M547" s="24" t="s">
        <v>2024</v>
      </c>
      <c r="N547" s="1" t="s">
        <v>2013</v>
      </c>
      <c r="O547" s="15" t="s">
        <v>2082</v>
      </c>
      <c r="P547" s="15" t="s">
        <v>2442</v>
      </c>
      <c r="Q547" s="25" t="s">
        <v>2088</v>
      </c>
      <c r="R547" s="25" t="s">
        <v>2434</v>
      </c>
      <c r="S547" s="73" t="s">
        <v>2249</v>
      </c>
    </row>
    <row r="548" spans="1:19" x14ac:dyDescent="0.2">
      <c r="A548" s="1">
        <v>539</v>
      </c>
      <c r="B548" s="1" t="s">
        <v>285</v>
      </c>
      <c r="C548" s="1" t="s">
        <v>2446</v>
      </c>
      <c r="D548" s="1" t="s">
        <v>2589</v>
      </c>
      <c r="E548" s="35" t="s">
        <v>823</v>
      </c>
      <c r="F548" s="66" t="s">
        <v>877</v>
      </c>
      <c r="G548" s="24" t="s">
        <v>1559</v>
      </c>
      <c r="H548" s="16">
        <v>22</v>
      </c>
      <c r="I548" s="25">
        <v>3</v>
      </c>
      <c r="J548" s="63">
        <v>3020</v>
      </c>
      <c r="K548" s="37">
        <v>1850</v>
      </c>
      <c r="L548" s="24" t="s">
        <v>2031</v>
      </c>
      <c r="M548" s="24" t="s">
        <v>2016</v>
      </c>
      <c r="N548" s="1" t="s">
        <v>2013</v>
      </c>
      <c r="O548" s="15" t="s">
        <v>2082</v>
      </c>
      <c r="P548" s="15" t="s">
        <v>2442</v>
      </c>
      <c r="Q548" s="25" t="s">
        <v>2083</v>
      </c>
      <c r="R548" s="25" t="s">
        <v>2437</v>
      </c>
      <c r="S548" s="73" t="s">
        <v>2224</v>
      </c>
    </row>
    <row r="549" spans="1:19" x14ac:dyDescent="0.2">
      <c r="A549" s="1">
        <v>540</v>
      </c>
      <c r="B549" s="1" t="s">
        <v>848</v>
      </c>
      <c r="C549" s="1" t="s">
        <v>2446</v>
      </c>
      <c r="D549" s="1" t="s">
        <v>273</v>
      </c>
      <c r="E549" s="35" t="s">
        <v>823</v>
      </c>
      <c r="F549" s="66" t="s">
        <v>878</v>
      </c>
      <c r="G549" s="24" t="s">
        <v>1560</v>
      </c>
      <c r="H549" s="16">
        <v>47</v>
      </c>
      <c r="I549" s="25">
        <v>4</v>
      </c>
      <c r="J549" s="63">
        <v>2360</v>
      </c>
      <c r="K549" s="37">
        <v>1100</v>
      </c>
      <c r="L549" s="24" t="s">
        <v>2055</v>
      </c>
      <c r="M549" s="24" t="s">
        <v>2014</v>
      </c>
      <c r="N549" s="1" t="s">
        <v>2013</v>
      </c>
      <c r="O549" s="15" t="s">
        <v>2082</v>
      </c>
      <c r="P549" s="15" t="s">
        <v>2442</v>
      </c>
      <c r="Q549" s="25" t="s">
        <v>2089</v>
      </c>
      <c r="R549" s="25" t="s">
        <v>2435</v>
      </c>
      <c r="S549" s="73" t="s">
        <v>2316</v>
      </c>
    </row>
    <row r="550" spans="1:19" x14ac:dyDescent="0.2">
      <c r="A550" s="1">
        <v>541</v>
      </c>
      <c r="B550" s="1" t="s">
        <v>264</v>
      </c>
      <c r="C550" s="1" t="s">
        <v>2446</v>
      </c>
      <c r="D550" s="1" t="s">
        <v>274</v>
      </c>
      <c r="E550" s="35" t="s">
        <v>863</v>
      </c>
      <c r="F550" s="66" t="s">
        <v>879</v>
      </c>
      <c r="G550" s="24" t="s">
        <v>1561</v>
      </c>
      <c r="H550" s="16">
        <v>55</v>
      </c>
      <c r="I550" s="25">
        <v>1</v>
      </c>
      <c r="J550" s="56">
        <v>5000</v>
      </c>
      <c r="K550" s="15">
        <v>2900</v>
      </c>
      <c r="L550" s="24" t="s">
        <v>2017</v>
      </c>
      <c r="M550" s="24" t="s">
        <v>2016</v>
      </c>
      <c r="N550" s="1" t="s">
        <v>2013</v>
      </c>
      <c r="O550" s="15" t="s">
        <v>2082</v>
      </c>
      <c r="P550" s="15" t="s">
        <v>2442</v>
      </c>
      <c r="Q550" s="25" t="s">
        <v>2083</v>
      </c>
      <c r="R550" s="25" t="s">
        <v>2434</v>
      </c>
      <c r="S550" s="73" t="s">
        <v>2099</v>
      </c>
    </row>
    <row r="551" spans="1:19" x14ac:dyDescent="0.2">
      <c r="A551" s="1">
        <v>542</v>
      </c>
      <c r="B551" s="1" t="s">
        <v>276</v>
      </c>
      <c r="C551" s="1" t="s">
        <v>2446</v>
      </c>
      <c r="D551" s="1" t="s">
        <v>275</v>
      </c>
      <c r="E551" s="35" t="s">
        <v>822</v>
      </c>
      <c r="F551" s="66" t="s">
        <v>880</v>
      </c>
      <c r="G551" s="24" t="s">
        <v>1562</v>
      </c>
      <c r="H551" s="16">
        <v>36</v>
      </c>
      <c r="I551" s="25">
        <v>5</v>
      </c>
      <c r="J551" s="56">
        <v>4750</v>
      </c>
      <c r="K551" s="15">
        <v>2850</v>
      </c>
      <c r="L551" s="24" t="s">
        <v>2039</v>
      </c>
      <c r="M551" s="24" t="s">
        <v>2014</v>
      </c>
      <c r="N551" s="1" t="s">
        <v>2013</v>
      </c>
      <c r="O551" s="15" t="s">
        <v>2082</v>
      </c>
      <c r="P551" s="15" t="s">
        <v>2442</v>
      </c>
      <c r="Q551" s="25" t="s">
        <v>2085</v>
      </c>
      <c r="R551" s="25" t="s">
        <v>2436</v>
      </c>
      <c r="S551" s="73" t="s">
        <v>2363</v>
      </c>
    </row>
    <row r="552" spans="1:19" x14ac:dyDescent="0.2">
      <c r="A552" s="1">
        <v>543</v>
      </c>
      <c r="B552" s="1" t="s">
        <v>85</v>
      </c>
      <c r="C552" s="1" t="s">
        <v>2446</v>
      </c>
      <c r="D552" s="1" t="s">
        <v>277</v>
      </c>
      <c r="E552" s="35" t="s">
        <v>817</v>
      </c>
      <c r="F552" s="66" t="s">
        <v>2759</v>
      </c>
      <c r="G552" s="24" t="s">
        <v>1563</v>
      </c>
      <c r="H552" s="16">
        <v>28</v>
      </c>
      <c r="I552" s="25">
        <v>3</v>
      </c>
      <c r="J552" s="56">
        <v>2140</v>
      </c>
      <c r="K552" s="15">
        <f>1050+75</f>
        <v>1125</v>
      </c>
      <c r="L552" s="24" t="s">
        <v>2031</v>
      </c>
      <c r="M552" s="24" t="s">
        <v>2016</v>
      </c>
      <c r="N552" s="1" t="s">
        <v>2013</v>
      </c>
      <c r="O552" s="15" t="s">
        <v>2082</v>
      </c>
      <c r="P552" s="15" t="s">
        <v>2442</v>
      </c>
      <c r="Q552" s="25" t="s">
        <v>2090</v>
      </c>
      <c r="R552" s="25" t="s">
        <v>2437</v>
      </c>
      <c r="S552" s="73" t="s">
        <v>2224</v>
      </c>
    </row>
    <row r="553" spans="1:19" x14ac:dyDescent="0.2">
      <c r="A553" s="1">
        <v>544</v>
      </c>
      <c r="B553" s="1" t="s">
        <v>279</v>
      </c>
      <c r="C553" s="1" t="s">
        <v>2446</v>
      </c>
      <c r="D553" s="1" t="s">
        <v>278</v>
      </c>
      <c r="E553" s="1" t="s">
        <v>863</v>
      </c>
      <c r="F553" s="66" t="s">
        <v>882</v>
      </c>
      <c r="G553" s="24" t="s">
        <v>1564</v>
      </c>
      <c r="H553" s="16">
        <v>50</v>
      </c>
      <c r="I553" s="25">
        <v>2</v>
      </c>
      <c r="J553" s="56">
        <v>2370</v>
      </c>
      <c r="K553" s="15">
        <f>1050+75</f>
        <v>1125</v>
      </c>
      <c r="L553" s="24" t="s">
        <v>2043</v>
      </c>
      <c r="M553" s="24" t="s">
        <v>2016</v>
      </c>
      <c r="N553" s="1" t="s">
        <v>2013</v>
      </c>
      <c r="O553" s="15" t="s">
        <v>2082</v>
      </c>
      <c r="P553" s="15" t="s">
        <v>2442</v>
      </c>
      <c r="Q553" s="25" t="s">
        <v>2084</v>
      </c>
      <c r="R553" s="25" t="s">
        <v>2435</v>
      </c>
      <c r="S553" s="73" t="s">
        <v>2161</v>
      </c>
    </row>
    <row r="554" spans="1:19" x14ac:dyDescent="0.2">
      <c r="A554" s="1">
        <v>545</v>
      </c>
      <c r="B554" s="1" t="s">
        <v>281</v>
      </c>
      <c r="C554" s="1" t="s">
        <v>2446</v>
      </c>
      <c r="D554" s="1" t="s">
        <v>280</v>
      </c>
      <c r="E554" s="1" t="s">
        <v>864</v>
      </c>
      <c r="F554" s="66" t="s">
        <v>881</v>
      </c>
      <c r="G554" s="24" t="s">
        <v>1565</v>
      </c>
      <c r="H554" s="16">
        <v>39</v>
      </c>
      <c r="I554" s="25">
        <v>4</v>
      </c>
      <c r="J554" s="56">
        <v>5370</v>
      </c>
      <c r="K554" s="15">
        <v>6600</v>
      </c>
      <c r="L554" s="24" t="s">
        <v>2050</v>
      </c>
      <c r="M554" s="24" t="s">
        <v>2024</v>
      </c>
      <c r="N554" s="1" t="s">
        <v>2013</v>
      </c>
      <c r="O554" s="15" t="s">
        <v>2082</v>
      </c>
      <c r="P554" s="15" t="s">
        <v>2442</v>
      </c>
      <c r="Q554" s="25" t="s">
        <v>2087</v>
      </c>
      <c r="R554" s="25" t="s">
        <v>2436</v>
      </c>
      <c r="S554" s="73" t="s">
        <v>2201</v>
      </c>
    </row>
    <row r="555" spans="1:19" x14ac:dyDescent="0.2">
      <c r="A555" s="1">
        <v>546</v>
      </c>
      <c r="B555" s="1" t="s">
        <v>282</v>
      </c>
      <c r="C555" s="1" t="s">
        <v>2446</v>
      </c>
      <c r="D555" s="1" t="s">
        <v>2587</v>
      </c>
      <c r="E555" s="1" t="s">
        <v>822</v>
      </c>
      <c r="F555" s="66" t="s">
        <v>883</v>
      </c>
      <c r="G555" s="24" t="s">
        <v>1566</v>
      </c>
      <c r="H555" s="16">
        <v>31</v>
      </c>
      <c r="I555" s="25">
        <v>1</v>
      </c>
      <c r="J555" s="56">
        <v>3740</v>
      </c>
      <c r="K555" s="15">
        <v>2100</v>
      </c>
      <c r="L555" s="24" t="s">
        <v>2041</v>
      </c>
      <c r="M555" s="24" t="s">
        <v>2024</v>
      </c>
      <c r="N555" s="1" t="s">
        <v>2013</v>
      </c>
      <c r="O555" s="15" t="s">
        <v>2082</v>
      </c>
      <c r="P555" s="15" t="s">
        <v>2442</v>
      </c>
      <c r="Q555" s="25" t="s">
        <v>2083</v>
      </c>
      <c r="R555" s="25" t="s">
        <v>2434</v>
      </c>
      <c r="S555" s="73" t="s">
        <v>2364</v>
      </c>
    </row>
    <row r="556" spans="1:19" x14ac:dyDescent="0.2">
      <c r="A556" s="1">
        <v>547</v>
      </c>
      <c r="B556" s="1" t="s">
        <v>57</v>
      </c>
      <c r="C556" s="1" t="s">
        <v>2446</v>
      </c>
      <c r="D556" s="1" t="s">
        <v>2590</v>
      </c>
      <c r="E556" s="1" t="s">
        <v>823</v>
      </c>
      <c r="F556" s="66" t="s">
        <v>884</v>
      </c>
      <c r="G556" s="24" t="s">
        <v>1567</v>
      </c>
      <c r="H556" s="16">
        <v>44</v>
      </c>
      <c r="I556" s="25">
        <v>5</v>
      </c>
      <c r="J556" s="56">
        <v>1650</v>
      </c>
      <c r="K556" s="15">
        <v>830</v>
      </c>
      <c r="L556" s="24" t="s">
        <v>2036</v>
      </c>
      <c r="M556" s="24" t="s">
        <v>2014</v>
      </c>
      <c r="N556" s="1" t="s">
        <v>2013</v>
      </c>
      <c r="O556" s="15" t="s">
        <v>2082</v>
      </c>
      <c r="P556" s="15" t="s">
        <v>2442</v>
      </c>
      <c r="Q556" s="25" t="s">
        <v>2085</v>
      </c>
      <c r="R556" s="25" t="s">
        <v>2437</v>
      </c>
      <c r="S556" s="73" t="s">
        <v>2365</v>
      </c>
    </row>
    <row r="557" spans="1:19" x14ac:dyDescent="0.2">
      <c r="A557" s="1">
        <v>548</v>
      </c>
      <c r="B557" s="1" t="s">
        <v>12</v>
      </c>
      <c r="C557" s="1" t="s">
        <v>2446</v>
      </c>
      <c r="D557" s="1" t="s">
        <v>2591</v>
      </c>
      <c r="E557" s="1" t="s">
        <v>828</v>
      </c>
      <c r="F557" s="66" t="s">
        <v>885</v>
      </c>
      <c r="G557" s="24" t="s">
        <v>1568</v>
      </c>
      <c r="H557" s="16">
        <v>26</v>
      </c>
      <c r="I557" s="25">
        <v>2</v>
      </c>
      <c r="J557" s="56">
        <v>1090</v>
      </c>
      <c r="K557" s="15">
        <v>500</v>
      </c>
      <c r="L557" s="24" t="s">
        <v>2060</v>
      </c>
      <c r="M557" s="24" t="s">
        <v>2024</v>
      </c>
      <c r="N557" s="1" t="s">
        <v>2013</v>
      </c>
      <c r="O557" s="15" t="s">
        <v>2082</v>
      </c>
      <c r="P557" s="15" t="s">
        <v>2442</v>
      </c>
      <c r="Q557" s="25" t="s">
        <v>2087</v>
      </c>
      <c r="R557" s="25" t="s">
        <v>2435</v>
      </c>
      <c r="S557" s="73" t="s">
        <v>2243</v>
      </c>
    </row>
    <row r="558" spans="1:19" x14ac:dyDescent="0.2">
      <c r="A558" s="1">
        <v>549</v>
      </c>
      <c r="B558" s="1" t="s">
        <v>283</v>
      </c>
      <c r="C558" s="1" t="s">
        <v>2446</v>
      </c>
      <c r="D558" s="1" t="s">
        <v>2592</v>
      </c>
      <c r="E558" s="1" t="s">
        <v>822</v>
      </c>
      <c r="F558" s="66" t="s">
        <v>886</v>
      </c>
      <c r="G558" s="24" t="s">
        <v>1569</v>
      </c>
      <c r="H558" s="16">
        <v>48</v>
      </c>
      <c r="I558" s="25">
        <v>3</v>
      </c>
      <c r="J558" s="56">
        <v>2400</v>
      </c>
      <c r="K558" s="15">
        <v>800</v>
      </c>
      <c r="L558" s="24" t="s">
        <v>2046</v>
      </c>
      <c r="M558" s="24" t="s">
        <v>2016</v>
      </c>
      <c r="N558" s="1" t="s">
        <v>2013</v>
      </c>
      <c r="O558" s="15" t="s">
        <v>2082</v>
      </c>
      <c r="P558" s="15" t="s">
        <v>2442</v>
      </c>
      <c r="Q558" s="25" t="s">
        <v>2088</v>
      </c>
      <c r="R558" s="25" t="s">
        <v>2434</v>
      </c>
      <c r="S558" s="73" t="s">
        <v>2118</v>
      </c>
    </row>
    <row r="559" spans="1:19" x14ac:dyDescent="0.2">
      <c r="A559" s="1">
        <v>550</v>
      </c>
      <c r="B559" s="1" t="s">
        <v>285</v>
      </c>
      <c r="C559" s="1" t="s">
        <v>2446</v>
      </c>
      <c r="D559" s="1" t="s">
        <v>284</v>
      </c>
      <c r="E559" s="1" t="s">
        <v>817</v>
      </c>
      <c r="F559" s="66" t="s">
        <v>878</v>
      </c>
      <c r="G559" s="24" t="s">
        <v>1570</v>
      </c>
      <c r="H559" s="16">
        <v>53</v>
      </c>
      <c r="I559" s="25">
        <v>4</v>
      </c>
      <c r="J559" s="56">
        <v>2820</v>
      </c>
      <c r="K559" s="15">
        <v>1380</v>
      </c>
      <c r="L559" s="24" t="s">
        <v>2055</v>
      </c>
      <c r="M559" s="24" t="s">
        <v>2014</v>
      </c>
      <c r="N559" s="1" t="s">
        <v>2013</v>
      </c>
      <c r="O559" s="15" t="s">
        <v>2082</v>
      </c>
      <c r="P559" s="15" t="s">
        <v>2442</v>
      </c>
      <c r="Q559" s="25" t="s">
        <v>2088</v>
      </c>
      <c r="R559" s="25" t="s">
        <v>2436</v>
      </c>
      <c r="S559" s="73" t="s">
        <v>2366</v>
      </c>
    </row>
    <row r="560" spans="1:19" x14ac:dyDescent="0.2">
      <c r="A560" s="1">
        <v>551</v>
      </c>
      <c r="B560" s="1" t="s">
        <v>286</v>
      </c>
      <c r="C560" s="1" t="s">
        <v>2446</v>
      </c>
      <c r="D560" s="1" t="s">
        <v>284</v>
      </c>
      <c r="E560" s="1" t="s">
        <v>823</v>
      </c>
      <c r="F560" s="67" t="s">
        <v>887</v>
      </c>
      <c r="G560" s="24" t="s">
        <v>1571</v>
      </c>
      <c r="H560" s="16">
        <v>30</v>
      </c>
      <c r="I560" s="25">
        <v>1</v>
      </c>
      <c r="J560" s="56">
        <v>3980</v>
      </c>
      <c r="K560" s="15">
        <v>2180</v>
      </c>
      <c r="L560" s="24" t="s">
        <v>2021</v>
      </c>
      <c r="M560" s="24" t="s">
        <v>2020</v>
      </c>
      <c r="N560" s="1" t="s">
        <v>2013</v>
      </c>
      <c r="O560" s="15" t="s">
        <v>2082</v>
      </c>
      <c r="P560" s="15" t="s">
        <v>2442</v>
      </c>
      <c r="Q560" s="25" t="s">
        <v>2083</v>
      </c>
      <c r="R560" s="25" t="s">
        <v>2437</v>
      </c>
      <c r="S560" s="73" t="s">
        <v>2309</v>
      </c>
    </row>
    <row r="561" spans="1:19" x14ac:dyDescent="0.2">
      <c r="A561" s="1">
        <v>552</v>
      </c>
      <c r="B561" s="1" t="s">
        <v>555</v>
      </c>
      <c r="C561" s="1" t="s">
        <v>2446</v>
      </c>
      <c r="D561" s="1" t="s">
        <v>2593</v>
      </c>
      <c r="E561" s="1" t="s">
        <v>828</v>
      </c>
      <c r="F561" s="66" t="s">
        <v>888</v>
      </c>
      <c r="G561" s="24" t="s">
        <v>1572</v>
      </c>
      <c r="H561" s="16">
        <v>37</v>
      </c>
      <c r="I561" s="25">
        <v>5</v>
      </c>
      <c r="J561" s="56">
        <v>1000</v>
      </c>
      <c r="K561" s="15"/>
      <c r="L561" s="24" t="s">
        <v>2042</v>
      </c>
      <c r="M561" s="24" t="s">
        <v>2014</v>
      </c>
      <c r="N561" s="1" t="s">
        <v>2013</v>
      </c>
      <c r="O561" s="15" t="s">
        <v>2082</v>
      </c>
      <c r="P561" s="15" t="s">
        <v>2442</v>
      </c>
      <c r="Q561" s="25" t="s">
        <v>2090</v>
      </c>
      <c r="R561" s="25" t="s">
        <v>2435</v>
      </c>
      <c r="S561" s="73" t="s">
        <v>2208</v>
      </c>
    </row>
    <row r="562" spans="1:19" x14ac:dyDescent="0.2">
      <c r="A562" s="1">
        <v>553</v>
      </c>
      <c r="B562" s="1" t="s">
        <v>288</v>
      </c>
      <c r="C562" s="1" t="s">
        <v>2446</v>
      </c>
      <c r="D562" s="1" t="s">
        <v>287</v>
      </c>
      <c r="E562" s="1" t="s">
        <v>822</v>
      </c>
      <c r="F562" s="67" t="s">
        <v>889</v>
      </c>
      <c r="G562" s="24" t="s">
        <v>1573</v>
      </c>
      <c r="H562" s="16">
        <v>42</v>
      </c>
      <c r="I562" s="25">
        <v>3</v>
      </c>
      <c r="J562" s="56">
        <f>5580+550</f>
        <v>6130</v>
      </c>
      <c r="K562" s="15">
        <f>3150+450</f>
        <v>3600</v>
      </c>
      <c r="L562" s="24" t="s">
        <v>2033</v>
      </c>
      <c r="M562" s="24" t="s">
        <v>2016</v>
      </c>
      <c r="N562" s="1" t="s">
        <v>2013</v>
      </c>
      <c r="O562" s="15" t="s">
        <v>2082</v>
      </c>
      <c r="P562" s="15" t="s">
        <v>2442</v>
      </c>
      <c r="Q562" s="25" t="s">
        <v>2088</v>
      </c>
      <c r="R562" s="25" t="s">
        <v>2436</v>
      </c>
      <c r="S562" s="73" t="s">
        <v>2170</v>
      </c>
    </row>
    <row r="563" spans="1:19" x14ac:dyDescent="0.2">
      <c r="A563" s="1">
        <v>554</v>
      </c>
      <c r="B563" s="1" t="s">
        <v>849</v>
      </c>
      <c r="C563" s="1" t="s">
        <v>2446</v>
      </c>
      <c r="D563" s="1" t="s">
        <v>2594</v>
      </c>
      <c r="E563" s="1" t="s">
        <v>822</v>
      </c>
      <c r="F563" s="67" t="s">
        <v>890</v>
      </c>
      <c r="G563" s="24" t="s">
        <v>1574</v>
      </c>
      <c r="H563" s="16">
        <v>24</v>
      </c>
      <c r="I563" s="25">
        <v>5</v>
      </c>
      <c r="J563" s="56">
        <v>500</v>
      </c>
      <c r="K563" s="15"/>
      <c r="L563" s="24" t="s">
        <v>2039</v>
      </c>
      <c r="M563" s="24" t="s">
        <v>2014</v>
      </c>
      <c r="N563" s="1" t="s">
        <v>2013</v>
      </c>
      <c r="O563" s="15" t="s">
        <v>2082</v>
      </c>
      <c r="P563" s="15" t="s">
        <v>2442</v>
      </c>
      <c r="Q563" s="25" t="s">
        <v>2087</v>
      </c>
      <c r="R563" s="25" t="s">
        <v>2434</v>
      </c>
      <c r="S563" s="73" t="s">
        <v>2288</v>
      </c>
    </row>
    <row r="564" spans="1:19" x14ac:dyDescent="0.2">
      <c r="A564" s="1">
        <v>555</v>
      </c>
      <c r="B564" s="1" t="s">
        <v>290</v>
      </c>
      <c r="C564" s="1" t="s">
        <v>2446</v>
      </c>
      <c r="D564" s="1" t="s">
        <v>289</v>
      </c>
      <c r="E564" s="1" t="s">
        <v>2771</v>
      </c>
      <c r="F564" s="66" t="s">
        <v>891</v>
      </c>
      <c r="G564" s="24" t="s">
        <v>1575</v>
      </c>
      <c r="H564" s="16">
        <v>57</v>
      </c>
      <c r="I564" s="25">
        <v>2</v>
      </c>
      <c r="J564" s="56">
        <v>3400</v>
      </c>
      <c r="K564" s="15">
        <f>860+150+140+26+52+90+20</f>
        <v>1338</v>
      </c>
      <c r="L564" s="24" t="s">
        <v>2062</v>
      </c>
      <c r="M564" s="24" t="s">
        <v>2014</v>
      </c>
      <c r="N564" s="1" t="s">
        <v>2013</v>
      </c>
      <c r="O564" s="15" t="s">
        <v>2082</v>
      </c>
      <c r="P564" s="15" t="s">
        <v>2442</v>
      </c>
      <c r="Q564" s="25" t="s">
        <v>2089</v>
      </c>
      <c r="R564" s="25" t="s">
        <v>2437</v>
      </c>
      <c r="S564" s="73" t="s">
        <v>2103</v>
      </c>
    </row>
    <row r="565" spans="1:19" x14ac:dyDescent="0.2">
      <c r="A565" s="1">
        <v>556</v>
      </c>
      <c r="B565" s="1" t="s">
        <v>288</v>
      </c>
      <c r="C565" s="1" t="s">
        <v>2446</v>
      </c>
      <c r="D565" s="1" t="s">
        <v>287</v>
      </c>
      <c r="E565" s="35" t="s">
        <v>864</v>
      </c>
      <c r="F565" s="67" t="s">
        <v>892</v>
      </c>
      <c r="G565" s="24" t="s">
        <v>1576</v>
      </c>
      <c r="H565" s="16">
        <v>35</v>
      </c>
      <c r="I565" s="25">
        <v>1</v>
      </c>
      <c r="J565" s="56">
        <f>5580+550</f>
        <v>6130</v>
      </c>
      <c r="K565" s="15">
        <f>3150+450-90</f>
        <v>3510</v>
      </c>
      <c r="L565" s="24" t="s">
        <v>2019</v>
      </c>
      <c r="M565" s="24" t="s">
        <v>2014</v>
      </c>
      <c r="N565" s="1" t="s">
        <v>2013</v>
      </c>
      <c r="O565" s="15" t="s">
        <v>2082</v>
      </c>
      <c r="P565" s="15" t="s">
        <v>2442</v>
      </c>
      <c r="Q565" s="25" t="s">
        <v>2088</v>
      </c>
      <c r="R565" s="25" t="s">
        <v>2435</v>
      </c>
      <c r="S565" s="73" t="s">
        <v>2140</v>
      </c>
    </row>
    <row r="566" spans="1:19" x14ac:dyDescent="0.2">
      <c r="A566" s="1">
        <v>557</v>
      </c>
      <c r="B566" s="1" t="s">
        <v>849</v>
      </c>
      <c r="C566" s="1" t="s">
        <v>2446</v>
      </c>
      <c r="D566" s="1" t="s">
        <v>2595</v>
      </c>
      <c r="E566" s="35" t="s">
        <v>823</v>
      </c>
      <c r="F566" s="67" t="s">
        <v>876</v>
      </c>
      <c r="G566" s="24" t="s">
        <v>1577</v>
      </c>
      <c r="H566" s="16">
        <v>40</v>
      </c>
      <c r="I566" s="25">
        <v>3</v>
      </c>
      <c r="J566" s="56">
        <v>500</v>
      </c>
      <c r="K566" s="15"/>
      <c r="L566" s="24" t="s">
        <v>2017</v>
      </c>
      <c r="M566" s="24" t="s">
        <v>2016</v>
      </c>
      <c r="N566" s="1" t="s">
        <v>2013</v>
      </c>
      <c r="O566" s="15" t="s">
        <v>2082</v>
      </c>
      <c r="P566" s="15" t="s">
        <v>2442</v>
      </c>
      <c r="Q566" s="25" t="s">
        <v>2085</v>
      </c>
      <c r="R566" s="25" t="s">
        <v>2434</v>
      </c>
      <c r="S566" s="73" t="s">
        <v>2367</v>
      </c>
    </row>
    <row r="567" spans="1:19" x14ac:dyDescent="0.2">
      <c r="A567" s="1">
        <v>558</v>
      </c>
      <c r="B567" s="1" t="s">
        <v>291</v>
      </c>
      <c r="C567" s="1" t="s">
        <v>2446</v>
      </c>
      <c r="D567" s="1" t="s">
        <v>287</v>
      </c>
      <c r="E567" s="35" t="s">
        <v>823</v>
      </c>
      <c r="F567" s="67" t="s">
        <v>885</v>
      </c>
      <c r="G567" s="24" t="s">
        <v>1578</v>
      </c>
      <c r="H567" s="16">
        <v>21</v>
      </c>
      <c r="I567" s="25">
        <v>4</v>
      </c>
      <c r="J567" s="56">
        <f>5230+550</f>
        <v>5780</v>
      </c>
      <c r="K567" s="15">
        <f>2800+450-90</f>
        <v>3160</v>
      </c>
      <c r="L567" s="24" t="s">
        <v>2050</v>
      </c>
      <c r="M567" s="24" t="s">
        <v>2024</v>
      </c>
      <c r="N567" s="1" t="s">
        <v>2013</v>
      </c>
      <c r="O567" s="15" t="s">
        <v>2082</v>
      </c>
      <c r="P567" s="15" t="s">
        <v>2442</v>
      </c>
      <c r="Q567" s="25" t="s">
        <v>2085</v>
      </c>
      <c r="R567" s="25" t="s">
        <v>2436</v>
      </c>
      <c r="S567" s="73" t="s">
        <v>2222</v>
      </c>
    </row>
    <row r="568" spans="1:19" x14ac:dyDescent="0.2">
      <c r="A568" s="1">
        <v>559</v>
      </c>
      <c r="B568" s="1" t="s">
        <v>849</v>
      </c>
      <c r="C568" s="1" t="s">
        <v>2446</v>
      </c>
      <c r="D568" s="1" t="s">
        <v>2596</v>
      </c>
      <c r="E568" s="35" t="s">
        <v>863</v>
      </c>
      <c r="F568" s="66" t="s">
        <v>960</v>
      </c>
      <c r="G568" s="24" t="s">
        <v>1579</v>
      </c>
      <c r="H568" s="16">
        <v>45</v>
      </c>
      <c r="I568" s="25">
        <v>5</v>
      </c>
      <c r="J568" s="56">
        <v>500</v>
      </c>
      <c r="K568" s="15"/>
      <c r="L568" s="24" t="s">
        <v>2018</v>
      </c>
      <c r="M568" s="24" t="s">
        <v>2020</v>
      </c>
      <c r="N568" s="1" t="s">
        <v>2013</v>
      </c>
      <c r="O568" s="15" t="s">
        <v>2082</v>
      </c>
      <c r="P568" s="15" t="s">
        <v>2442</v>
      </c>
      <c r="Q568" s="25" t="s">
        <v>2086</v>
      </c>
      <c r="R568" s="25" t="s">
        <v>2437</v>
      </c>
      <c r="S568" s="73" t="s">
        <v>2361</v>
      </c>
    </row>
    <row r="569" spans="1:19" x14ac:dyDescent="0.2">
      <c r="A569" s="1">
        <v>560</v>
      </c>
      <c r="B569" s="1" t="s">
        <v>292</v>
      </c>
      <c r="C569" s="1" t="s">
        <v>2446</v>
      </c>
      <c r="D569" s="1" t="s">
        <v>287</v>
      </c>
      <c r="E569" s="35" t="s">
        <v>822</v>
      </c>
      <c r="F569" s="67" t="s">
        <v>25</v>
      </c>
      <c r="G569" s="24" t="s">
        <v>1580</v>
      </c>
      <c r="H569" s="16">
        <v>52</v>
      </c>
      <c r="I569" s="25">
        <v>2</v>
      </c>
      <c r="J569" s="56">
        <f>5880+550</f>
        <v>6430</v>
      </c>
      <c r="K569" s="15">
        <f>3450+450-90</f>
        <v>3810</v>
      </c>
      <c r="L569" s="24" t="s">
        <v>2027</v>
      </c>
      <c r="M569" s="24" t="s">
        <v>2014</v>
      </c>
      <c r="N569" s="1" t="s">
        <v>2013</v>
      </c>
      <c r="O569" s="15" t="s">
        <v>2082</v>
      </c>
      <c r="P569" s="15" t="s">
        <v>2442</v>
      </c>
      <c r="Q569" s="25" t="s">
        <v>2087</v>
      </c>
      <c r="R569" s="25" t="s">
        <v>2435</v>
      </c>
      <c r="S569" s="73" t="s">
        <v>2277</v>
      </c>
    </row>
    <row r="570" spans="1:19" x14ac:dyDescent="0.2">
      <c r="A570" s="1">
        <v>561</v>
      </c>
      <c r="B570" s="1" t="s">
        <v>849</v>
      </c>
      <c r="C570" s="1" t="s">
        <v>2446</v>
      </c>
      <c r="D570" s="1" t="s">
        <v>2597</v>
      </c>
      <c r="E570" s="35" t="s">
        <v>863</v>
      </c>
      <c r="F570" s="66" t="s">
        <v>961</v>
      </c>
      <c r="G570" s="24" t="s">
        <v>1581</v>
      </c>
      <c r="H570" s="16">
        <v>23</v>
      </c>
      <c r="I570" s="25">
        <v>3</v>
      </c>
      <c r="J570" s="56">
        <v>500</v>
      </c>
      <c r="K570" s="15"/>
      <c r="L570" s="24" t="s">
        <v>2055</v>
      </c>
      <c r="M570" s="24" t="s">
        <v>2014</v>
      </c>
      <c r="N570" s="1" t="s">
        <v>2013</v>
      </c>
      <c r="O570" s="15" t="s">
        <v>2082</v>
      </c>
      <c r="P570" s="15" t="s">
        <v>2442</v>
      </c>
      <c r="Q570" s="25" t="s">
        <v>2089</v>
      </c>
      <c r="R570" s="25" t="s">
        <v>2436</v>
      </c>
      <c r="S570" s="73" t="s">
        <v>2139</v>
      </c>
    </row>
    <row r="571" spans="1:19" x14ac:dyDescent="0.2">
      <c r="A571" s="1">
        <v>562</v>
      </c>
      <c r="B571" s="1" t="s">
        <v>293</v>
      </c>
      <c r="C571" s="1" t="s">
        <v>2446</v>
      </c>
      <c r="D571" s="1" t="s">
        <v>287</v>
      </c>
      <c r="E571" s="35" t="s">
        <v>822</v>
      </c>
      <c r="F571" s="67" t="s">
        <v>974</v>
      </c>
      <c r="G571" s="24" t="s">
        <v>1582</v>
      </c>
      <c r="H571" s="16">
        <v>38</v>
      </c>
      <c r="I571" s="25">
        <v>1</v>
      </c>
      <c r="J571" s="56">
        <f>4480+550</f>
        <v>5030</v>
      </c>
      <c r="K571" s="15">
        <f>2050+450-90</f>
        <v>2410</v>
      </c>
      <c r="L571" s="24" t="s">
        <v>2037</v>
      </c>
      <c r="M571" s="24" t="s">
        <v>2014</v>
      </c>
      <c r="N571" s="1" t="s">
        <v>2013</v>
      </c>
      <c r="O571" s="15" t="s">
        <v>2082</v>
      </c>
      <c r="P571" s="15" t="s">
        <v>2442</v>
      </c>
      <c r="Q571" s="25" t="s">
        <v>2090</v>
      </c>
      <c r="R571" s="25" t="s">
        <v>2434</v>
      </c>
      <c r="S571" s="73" t="s">
        <v>2211</v>
      </c>
    </row>
    <row r="572" spans="1:19" x14ac:dyDescent="0.2">
      <c r="A572" s="1">
        <v>563</v>
      </c>
      <c r="B572" s="1" t="s">
        <v>39</v>
      </c>
      <c r="C572" s="1" t="s">
        <v>2446</v>
      </c>
      <c r="D572" s="1" t="s">
        <v>2598</v>
      </c>
      <c r="E572" s="35" t="s">
        <v>828</v>
      </c>
      <c r="F572" s="66" t="s">
        <v>962</v>
      </c>
      <c r="G572" s="24" t="s">
        <v>1583</v>
      </c>
      <c r="H572" s="16">
        <v>41</v>
      </c>
      <c r="I572" s="25">
        <v>4</v>
      </c>
      <c r="J572" s="56">
        <v>1000</v>
      </c>
      <c r="K572" s="15"/>
      <c r="L572" s="24" t="s">
        <v>2045</v>
      </c>
      <c r="M572" s="24" t="s">
        <v>2014</v>
      </c>
      <c r="N572" s="1" t="s">
        <v>2013</v>
      </c>
      <c r="O572" s="15" t="s">
        <v>2082</v>
      </c>
      <c r="P572" s="15" t="s">
        <v>2442</v>
      </c>
      <c r="Q572" s="25" t="s">
        <v>2090</v>
      </c>
      <c r="R572" s="25" t="s">
        <v>2437</v>
      </c>
      <c r="S572" s="73" t="s">
        <v>2298</v>
      </c>
    </row>
    <row r="573" spans="1:19" x14ac:dyDescent="0.2">
      <c r="A573" s="1">
        <v>564</v>
      </c>
      <c r="B573" s="1" t="s">
        <v>295</v>
      </c>
      <c r="C573" s="1" t="s">
        <v>2446</v>
      </c>
      <c r="D573" s="1" t="s">
        <v>294</v>
      </c>
      <c r="E573" s="1" t="s">
        <v>863</v>
      </c>
      <c r="F573" s="67" t="s">
        <v>876</v>
      </c>
      <c r="G573" s="24" t="s">
        <v>1584</v>
      </c>
      <c r="H573" s="16">
        <v>29</v>
      </c>
      <c r="I573" s="25">
        <v>5</v>
      </c>
      <c r="J573" s="56">
        <v>6273</v>
      </c>
      <c r="K573" s="15">
        <f>3130-90</f>
        <v>3040</v>
      </c>
      <c r="L573" s="24" t="s">
        <v>2048</v>
      </c>
      <c r="M573" s="24" t="s">
        <v>2014</v>
      </c>
      <c r="N573" s="1" t="s">
        <v>2013</v>
      </c>
      <c r="O573" s="15" t="s">
        <v>2082</v>
      </c>
      <c r="P573" s="15" t="s">
        <v>2442</v>
      </c>
      <c r="Q573" s="25" t="s">
        <v>2089</v>
      </c>
      <c r="R573" s="25" t="s">
        <v>2435</v>
      </c>
      <c r="S573" s="73" t="s">
        <v>2348</v>
      </c>
    </row>
    <row r="574" spans="1:19" x14ac:dyDescent="0.2">
      <c r="A574" s="1">
        <v>565</v>
      </c>
      <c r="B574" s="1" t="s">
        <v>296</v>
      </c>
      <c r="C574" s="1" t="s">
        <v>2446</v>
      </c>
      <c r="D574" s="1" t="s">
        <v>2599</v>
      </c>
      <c r="E574" s="1" t="s">
        <v>864</v>
      </c>
      <c r="F574" s="66" t="s">
        <v>963</v>
      </c>
      <c r="G574" s="24" t="s">
        <v>1585</v>
      </c>
      <c r="H574" s="16">
        <v>60</v>
      </c>
      <c r="I574" s="25">
        <v>3</v>
      </c>
      <c r="J574" s="56">
        <v>6230</v>
      </c>
      <c r="K574" s="15">
        <f>3230-90</f>
        <v>3140</v>
      </c>
      <c r="L574" s="24" t="s">
        <v>2053</v>
      </c>
      <c r="M574" s="24" t="s">
        <v>2014</v>
      </c>
      <c r="N574" s="1" t="s">
        <v>2013</v>
      </c>
      <c r="O574" s="15" t="s">
        <v>2082</v>
      </c>
      <c r="P574" s="15" t="s">
        <v>2442</v>
      </c>
      <c r="Q574" s="25" t="s">
        <v>2085</v>
      </c>
      <c r="R574" s="25" t="s">
        <v>2434</v>
      </c>
      <c r="S574" s="73" t="s">
        <v>2178</v>
      </c>
    </row>
    <row r="575" spans="1:19" x14ac:dyDescent="0.2">
      <c r="A575" s="1">
        <v>566</v>
      </c>
      <c r="B575" s="1" t="s">
        <v>298</v>
      </c>
      <c r="C575" s="1" t="s">
        <v>2446</v>
      </c>
      <c r="D575" s="1" t="s">
        <v>297</v>
      </c>
      <c r="E575" s="1" t="s">
        <v>822</v>
      </c>
      <c r="F575" s="67" t="s">
        <v>887</v>
      </c>
      <c r="G575" s="24" t="s">
        <v>1586</v>
      </c>
      <c r="H575" s="16">
        <v>33</v>
      </c>
      <c r="I575" s="25">
        <v>2</v>
      </c>
      <c r="J575" s="56">
        <v>4480</v>
      </c>
      <c r="K575" s="15">
        <f>2480-90</f>
        <v>2390</v>
      </c>
      <c r="L575" s="24" t="s">
        <v>2025</v>
      </c>
      <c r="M575" s="24" t="s">
        <v>2024</v>
      </c>
      <c r="N575" s="1" t="s">
        <v>2013</v>
      </c>
      <c r="O575" s="15" t="s">
        <v>2082</v>
      </c>
      <c r="P575" s="15" t="s">
        <v>2442</v>
      </c>
      <c r="Q575" s="25" t="s">
        <v>2084</v>
      </c>
      <c r="R575" s="25" t="s">
        <v>2436</v>
      </c>
      <c r="S575" s="73" t="s">
        <v>2291</v>
      </c>
    </row>
    <row r="576" spans="1:19" x14ac:dyDescent="0.2">
      <c r="A576" s="1">
        <v>567</v>
      </c>
      <c r="B576" s="1" t="s">
        <v>300</v>
      </c>
      <c r="C576" s="1" t="s">
        <v>2446</v>
      </c>
      <c r="D576" s="1" t="s">
        <v>299</v>
      </c>
      <c r="E576" s="1" t="s">
        <v>823</v>
      </c>
      <c r="F576" s="66" t="s">
        <v>964</v>
      </c>
      <c r="G576" s="24" t="s">
        <v>1587</v>
      </c>
      <c r="H576" s="16">
        <v>22</v>
      </c>
      <c r="I576" s="25">
        <v>4</v>
      </c>
      <c r="J576" s="56">
        <v>4350</v>
      </c>
      <c r="K576" s="15">
        <f>2050-90</f>
        <v>1960</v>
      </c>
      <c r="L576" s="24" t="s">
        <v>2033</v>
      </c>
      <c r="M576" s="24" t="s">
        <v>2016</v>
      </c>
      <c r="N576" s="1" t="s">
        <v>2013</v>
      </c>
      <c r="O576" s="15" t="s">
        <v>2082</v>
      </c>
      <c r="P576" s="15" t="s">
        <v>2442</v>
      </c>
      <c r="Q576" s="25" t="s">
        <v>2089</v>
      </c>
      <c r="R576" s="25" t="s">
        <v>2437</v>
      </c>
      <c r="S576" s="73" t="s">
        <v>2252</v>
      </c>
    </row>
    <row r="577" spans="1:19" x14ac:dyDescent="0.2">
      <c r="A577" s="1">
        <v>568</v>
      </c>
      <c r="B577" s="1" t="s">
        <v>302</v>
      </c>
      <c r="C577" s="1" t="s">
        <v>2446</v>
      </c>
      <c r="D577" s="1" t="s">
        <v>301</v>
      </c>
      <c r="E577" s="35" t="s">
        <v>822</v>
      </c>
      <c r="F577" s="67" t="s">
        <v>975</v>
      </c>
      <c r="G577" s="24" t="s">
        <v>1588</v>
      </c>
      <c r="H577" s="16">
        <v>47</v>
      </c>
      <c r="I577" s="25">
        <v>1</v>
      </c>
      <c r="J577" s="56">
        <v>4070</v>
      </c>
      <c r="K577" s="15">
        <f>2070-90</f>
        <v>1980</v>
      </c>
      <c r="L577" s="24" t="s">
        <v>2058</v>
      </c>
      <c r="M577" s="24" t="s">
        <v>2020</v>
      </c>
      <c r="N577" s="1" t="s">
        <v>2013</v>
      </c>
      <c r="O577" s="15" t="s">
        <v>2082</v>
      </c>
      <c r="P577" s="15" t="s">
        <v>2442</v>
      </c>
      <c r="Q577" s="25" t="s">
        <v>2088</v>
      </c>
      <c r="R577" s="25" t="s">
        <v>2435</v>
      </c>
      <c r="S577" s="73" t="s">
        <v>2161</v>
      </c>
    </row>
    <row r="578" spans="1:19" x14ac:dyDescent="0.2">
      <c r="A578" s="1">
        <v>569</v>
      </c>
      <c r="B578" s="1" t="s">
        <v>304</v>
      </c>
      <c r="C578" s="1" t="s">
        <v>2446</v>
      </c>
      <c r="D578" s="1" t="s">
        <v>303</v>
      </c>
      <c r="E578" s="35" t="s">
        <v>864</v>
      </c>
      <c r="F578" s="66" t="s">
        <v>965</v>
      </c>
      <c r="G578" s="24" t="s">
        <v>1589</v>
      </c>
      <c r="H578" s="16">
        <v>55</v>
      </c>
      <c r="I578" s="25">
        <v>5</v>
      </c>
      <c r="J578" s="56">
        <v>5200</v>
      </c>
      <c r="K578" s="15">
        <f>2200+200-90</f>
        <v>2310</v>
      </c>
      <c r="L578" s="24" t="s">
        <v>2035</v>
      </c>
      <c r="M578" s="24" t="s">
        <v>2020</v>
      </c>
      <c r="N578" s="1" t="s">
        <v>2013</v>
      </c>
      <c r="O578" s="15" t="s">
        <v>2082</v>
      </c>
      <c r="P578" s="15" t="s">
        <v>2442</v>
      </c>
      <c r="Q578" s="25" t="s">
        <v>2086</v>
      </c>
      <c r="R578" s="25" t="s">
        <v>2436</v>
      </c>
      <c r="S578" s="73" t="s">
        <v>2368</v>
      </c>
    </row>
    <row r="579" spans="1:19" x14ac:dyDescent="0.2">
      <c r="A579" s="1">
        <v>570</v>
      </c>
      <c r="B579" s="1" t="s">
        <v>306</v>
      </c>
      <c r="C579" s="1" t="s">
        <v>2446</v>
      </c>
      <c r="D579" s="1" t="s">
        <v>305</v>
      </c>
      <c r="E579" s="1" t="s">
        <v>863</v>
      </c>
      <c r="F579" s="67" t="s">
        <v>976</v>
      </c>
      <c r="G579" s="24" t="s">
        <v>1590</v>
      </c>
      <c r="H579" s="16">
        <v>36</v>
      </c>
      <c r="I579" s="25">
        <v>2</v>
      </c>
      <c r="J579" s="56">
        <v>7870</v>
      </c>
      <c r="K579" s="15">
        <f>3250+200-90</f>
        <v>3360</v>
      </c>
      <c r="L579" s="24" t="s">
        <v>2035</v>
      </c>
      <c r="M579" s="24" t="s">
        <v>2014</v>
      </c>
      <c r="N579" s="1" t="s">
        <v>2013</v>
      </c>
      <c r="O579" s="15" t="s">
        <v>2082</v>
      </c>
      <c r="P579" s="15" t="s">
        <v>2442</v>
      </c>
      <c r="Q579" s="25" t="s">
        <v>2083</v>
      </c>
      <c r="R579" s="25" t="s">
        <v>2434</v>
      </c>
      <c r="S579" s="73" t="s">
        <v>2243</v>
      </c>
    </row>
    <row r="580" spans="1:19" x14ac:dyDescent="0.2">
      <c r="A580" s="1">
        <v>571</v>
      </c>
      <c r="B580" s="1" t="s">
        <v>81</v>
      </c>
      <c r="C580" s="1" t="s">
        <v>2446</v>
      </c>
      <c r="D580" s="1" t="s">
        <v>675</v>
      </c>
      <c r="E580" s="1" t="s">
        <v>864</v>
      </c>
      <c r="F580" s="66" t="s">
        <v>966</v>
      </c>
      <c r="G580" s="24" t="s">
        <v>1591</v>
      </c>
      <c r="H580" s="16">
        <v>28</v>
      </c>
      <c r="I580" s="25">
        <v>3</v>
      </c>
      <c r="J580" s="56">
        <f>1310+300</f>
        <v>1610</v>
      </c>
      <c r="K580" s="15">
        <f>510+150-90</f>
        <v>570</v>
      </c>
      <c r="L580" s="24" t="s">
        <v>2037</v>
      </c>
      <c r="M580" s="24" t="s">
        <v>2014</v>
      </c>
      <c r="N580" s="1" t="s">
        <v>2013</v>
      </c>
      <c r="O580" s="15" t="s">
        <v>2082</v>
      </c>
      <c r="P580" s="15" t="s">
        <v>2442</v>
      </c>
      <c r="Q580" s="25" t="s">
        <v>2086</v>
      </c>
      <c r="R580" s="25" t="s">
        <v>2437</v>
      </c>
      <c r="S580" s="73" t="s">
        <v>2191</v>
      </c>
    </row>
    <row r="581" spans="1:19" x14ac:dyDescent="0.2">
      <c r="A581" s="1">
        <v>572</v>
      </c>
      <c r="B581" s="1" t="s">
        <v>211</v>
      </c>
      <c r="C581" s="1" t="s">
        <v>2446</v>
      </c>
      <c r="D581" s="1" t="s">
        <v>2600</v>
      </c>
      <c r="E581" s="1" t="s">
        <v>822</v>
      </c>
      <c r="F581" s="67" t="s">
        <v>977</v>
      </c>
      <c r="G581" s="24" t="s">
        <v>1592</v>
      </c>
      <c r="H581" s="16">
        <v>50</v>
      </c>
      <c r="I581" s="25">
        <v>4</v>
      </c>
      <c r="J581" s="56">
        <v>2500</v>
      </c>
      <c r="K581" s="15">
        <v>1200</v>
      </c>
      <c r="L581" s="24" t="s">
        <v>2060</v>
      </c>
      <c r="M581" s="24" t="s">
        <v>2024</v>
      </c>
      <c r="N581" s="1" t="s">
        <v>2013</v>
      </c>
      <c r="O581" s="15" t="s">
        <v>2082</v>
      </c>
      <c r="P581" s="15" t="s">
        <v>2442</v>
      </c>
      <c r="Q581" s="25" t="s">
        <v>2087</v>
      </c>
      <c r="R581" s="25" t="s">
        <v>2435</v>
      </c>
      <c r="S581" s="73" t="s">
        <v>2135</v>
      </c>
    </row>
    <row r="582" spans="1:19" x14ac:dyDescent="0.2">
      <c r="A582" s="1">
        <v>573</v>
      </c>
      <c r="B582" s="1" t="s">
        <v>307</v>
      </c>
      <c r="C582" s="1" t="s">
        <v>2446</v>
      </c>
      <c r="D582" s="1" t="s">
        <v>287</v>
      </c>
      <c r="E582" s="1" t="s">
        <v>823</v>
      </c>
      <c r="F582" s="66" t="s">
        <v>937</v>
      </c>
      <c r="G582" s="24" t="s">
        <v>1593</v>
      </c>
      <c r="H582" s="16">
        <v>39</v>
      </c>
      <c r="I582" s="25">
        <v>1</v>
      </c>
      <c r="J582" s="56">
        <f>5530+550</f>
        <v>6080</v>
      </c>
      <c r="K582" s="15">
        <f>3100+450</f>
        <v>3550</v>
      </c>
      <c r="L582" s="24" t="s">
        <v>2017</v>
      </c>
      <c r="M582" s="24" t="s">
        <v>2016</v>
      </c>
      <c r="N582" s="1" t="s">
        <v>2013</v>
      </c>
      <c r="O582" s="15" t="s">
        <v>2082</v>
      </c>
      <c r="P582" s="15" t="s">
        <v>2442</v>
      </c>
      <c r="Q582" s="25" t="s">
        <v>2084</v>
      </c>
      <c r="R582" s="25" t="s">
        <v>2434</v>
      </c>
      <c r="S582" s="73" t="s">
        <v>2353</v>
      </c>
    </row>
    <row r="583" spans="1:19" x14ac:dyDescent="0.2">
      <c r="A583" s="1">
        <v>574</v>
      </c>
      <c r="B583" s="1" t="s">
        <v>39</v>
      </c>
      <c r="C583" s="1" t="s">
        <v>2446</v>
      </c>
      <c r="D583" s="1" t="s">
        <v>2601</v>
      </c>
      <c r="E583" s="1" t="s">
        <v>828</v>
      </c>
      <c r="F583" s="67" t="s">
        <v>978</v>
      </c>
      <c r="G583" s="24" t="s">
        <v>1594</v>
      </c>
      <c r="H583" s="16">
        <v>31</v>
      </c>
      <c r="I583" s="25">
        <v>5</v>
      </c>
      <c r="J583" s="56">
        <v>500</v>
      </c>
      <c r="K583" s="15"/>
      <c r="L583" s="24" t="s">
        <v>2025</v>
      </c>
      <c r="M583" s="24" t="s">
        <v>2024</v>
      </c>
      <c r="N583" s="1" t="s">
        <v>2013</v>
      </c>
      <c r="O583" s="15" t="s">
        <v>2082</v>
      </c>
      <c r="P583" s="15" t="s">
        <v>2442</v>
      </c>
      <c r="Q583" s="25" t="s">
        <v>2089</v>
      </c>
      <c r="R583" s="25" t="s">
        <v>2436</v>
      </c>
      <c r="S583" s="73" t="s">
        <v>2317</v>
      </c>
    </row>
    <row r="584" spans="1:19" x14ac:dyDescent="0.2">
      <c r="A584" s="1">
        <v>575</v>
      </c>
      <c r="B584" s="1" t="s">
        <v>308</v>
      </c>
      <c r="C584" s="1" t="s">
        <v>2446</v>
      </c>
      <c r="D584" s="1" t="s">
        <v>2602</v>
      </c>
      <c r="E584" s="1" t="s">
        <v>822</v>
      </c>
      <c r="F584" s="66" t="s">
        <v>967</v>
      </c>
      <c r="G584" s="24" t="s">
        <v>1595</v>
      </c>
      <c r="H584" s="16">
        <v>44</v>
      </c>
      <c r="I584" s="25">
        <v>3</v>
      </c>
      <c r="J584" s="56">
        <v>2780</v>
      </c>
      <c r="K584" s="15">
        <v>1700</v>
      </c>
      <c r="L584" s="24" t="s">
        <v>2025</v>
      </c>
      <c r="M584" s="24" t="s">
        <v>2024</v>
      </c>
      <c r="N584" s="1" t="s">
        <v>2013</v>
      </c>
      <c r="O584" s="15" t="s">
        <v>2082</v>
      </c>
      <c r="P584" s="15" t="s">
        <v>2442</v>
      </c>
      <c r="Q584" s="25" t="s">
        <v>2086</v>
      </c>
      <c r="R584" s="25" t="s">
        <v>2437</v>
      </c>
      <c r="S584" s="73" t="s">
        <v>2215</v>
      </c>
    </row>
    <row r="585" spans="1:19" x14ac:dyDescent="0.2">
      <c r="A585" s="1">
        <v>576</v>
      </c>
      <c r="B585" s="1" t="s">
        <v>857</v>
      </c>
      <c r="C585" s="1" t="s">
        <v>2446</v>
      </c>
      <c r="D585" s="1" t="s">
        <v>2603</v>
      </c>
      <c r="E585" s="1" t="s">
        <v>828</v>
      </c>
      <c r="F585" s="67" t="s">
        <v>979</v>
      </c>
      <c r="G585" s="24" t="s">
        <v>1596</v>
      </c>
      <c r="H585" s="16">
        <v>26</v>
      </c>
      <c r="I585" s="25">
        <v>2</v>
      </c>
      <c r="J585" s="56">
        <v>700</v>
      </c>
      <c r="K585" s="15"/>
      <c r="L585" s="24" t="s">
        <v>2049</v>
      </c>
      <c r="M585" s="24" t="s">
        <v>2016</v>
      </c>
      <c r="N585" s="1" t="s">
        <v>2013</v>
      </c>
      <c r="O585" s="15" t="s">
        <v>2082</v>
      </c>
      <c r="P585" s="15" t="s">
        <v>2442</v>
      </c>
      <c r="Q585" s="25" t="s">
        <v>2087</v>
      </c>
      <c r="R585" s="25" t="s">
        <v>2435</v>
      </c>
      <c r="S585" s="73" t="s">
        <v>2368</v>
      </c>
    </row>
    <row r="586" spans="1:19" x14ac:dyDescent="0.2">
      <c r="A586" s="1">
        <v>577</v>
      </c>
      <c r="B586" s="1" t="s">
        <v>310</v>
      </c>
      <c r="C586" s="1" t="s">
        <v>2446</v>
      </c>
      <c r="D586" s="1" t="s">
        <v>309</v>
      </c>
      <c r="E586" s="1" t="s">
        <v>2773</v>
      </c>
      <c r="F586" s="66" t="s">
        <v>968</v>
      </c>
      <c r="G586" s="24" t="s">
        <v>1597</v>
      </c>
      <c r="H586" s="16">
        <v>48</v>
      </c>
      <c r="I586" s="25">
        <v>4</v>
      </c>
      <c r="J586" s="56">
        <f>2320+200</f>
        <v>2520</v>
      </c>
      <c r="K586" s="15">
        <f>1080+100</f>
        <v>1180</v>
      </c>
      <c r="L586" s="24" t="s">
        <v>2019</v>
      </c>
      <c r="M586" s="24" t="s">
        <v>2014</v>
      </c>
      <c r="N586" s="1" t="s">
        <v>2013</v>
      </c>
      <c r="O586" s="15" t="s">
        <v>2082</v>
      </c>
      <c r="P586" s="15" t="s">
        <v>2442</v>
      </c>
      <c r="Q586" s="25" t="s">
        <v>2083</v>
      </c>
      <c r="R586" s="25" t="s">
        <v>2436</v>
      </c>
      <c r="S586" s="73" t="s">
        <v>2305</v>
      </c>
    </row>
    <row r="587" spans="1:19" x14ac:dyDescent="0.2">
      <c r="A587" s="1">
        <v>578</v>
      </c>
      <c r="B587" s="1" t="s">
        <v>8</v>
      </c>
      <c r="C587" s="1" t="s">
        <v>2446</v>
      </c>
      <c r="D587" s="1" t="s">
        <v>2604</v>
      </c>
      <c r="E587" s="1" t="s">
        <v>823</v>
      </c>
      <c r="F587" s="67" t="s">
        <v>980</v>
      </c>
      <c r="G587" s="24" t="s">
        <v>1598</v>
      </c>
      <c r="H587" s="16">
        <v>53</v>
      </c>
      <c r="I587" s="25">
        <v>1</v>
      </c>
      <c r="J587" s="56">
        <f>150*7+K587</f>
        <v>1580</v>
      </c>
      <c r="K587" s="15">
        <f>3*130+30+20+90</f>
        <v>530</v>
      </c>
      <c r="L587" s="24" t="s">
        <v>2034</v>
      </c>
      <c r="M587" s="24" t="s">
        <v>2016</v>
      </c>
      <c r="N587" s="1" t="s">
        <v>2013</v>
      </c>
      <c r="O587" s="15" t="s">
        <v>2082</v>
      </c>
      <c r="P587" s="15" t="s">
        <v>2442</v>
      </c>
      <c r="Q587" s="25" t="s">
        <v>2088</v>
      </c>
      <c r="R587" s="25" t="s">
        <v>2434</v>
      </c>
      <c r="S587" s="73" t="s">
        <v>2115</v>
      </c>
    </row>
    <row r="588" spans="1:19" x14ac:dyDescent="0.2">
      <c r="A588" s="1">
        <v>579</v>
      </c>
      <c r="B588" s="1" t="s">
        <v>311</v>
      </c>
      <c r="C588" s="1" t="s">
        <v>2446</v>
      </c>
      <c r="D588" s="1" t="s">
        <v>2605</v>
      </c>
      <c r="E588" s="1" t="s">
        <v>828</v>
      </c>
      <c r="F588" s="66" t="s">
        <v>969</v>
      </c>
      <c r="G588" s="24" t="s">
        <v>1599</v>
      </c>
      <c r="H588" s="16">
        <v>30</v>
      </c>
      <c r="I588" s="25">
        <v>5</v>
      </c>
      <c r="J588" s="56">
        <v>2800</v>
      </c>
      <c r="K588" s="15">
        <v>1600</v>
      </c>
      <c r="L588" s="24" t="s">
        <v>2043</v>
      </c>
      <c r="M588" s="24" t="s">
        <v>2016</v>
      </c>
      <c r="N588" s="1" t="s">
        <v>2013</v>
      </c>
      <c r="O588" s="15" t="s">
        <v>2082</v>
      </c>
      <c r="P588" s="15" t="s">
        <v>2442</v>
      </c>
      <c r="Q588" s="25" t="s">
        <v>2085</v>
      </c>
      <c r="R588" s="25" t="s">
        <v>2437</v>
      </c>
      <c r="S588" s="73" t="s">
        <v>2359</v>
      </c>
    </row>
    <row r="589" spans="1:19" x14ac:dyDescent="0.2">
      <c r="A589" s="1">
        <v>580</v>
      </c>
      <c r="B589" s="1" t="s">
        <v>312</v>
      </c>
      <c r="C589" s="1" t="s">
        <v>2446</v>
      </c>
      <c r="D589" s="1" t="s">
        <v>287</v>
      </c>
      <c r="E589" s="1" t="s">
        <v>822</v>
      </c>
      <c r="F589" s="67" t="s">
        <v>970</v>
      </c>
      <c r="G589" s="24" t="s">
        <v>1600</v>
      </c>
      <c r="H589" s="16">
        <v>37</v>
      </c>
      <c r="I589" s="25">
        <v>2</v>
      </c>
      <c r="J589" s="56">
        <f>6600+550</f>
        <v>7150</v>
      </c>
      <c r="K589" s="15">
        <f>3900+450</f>
        <v>4350</v>
      </c>
      <c r="L589" s="24" t="s">
        <v>2056</v>
      </c>
      <c r="M589" s="24" t="s">
        <v>2024</v>
      </c>
      <c r="N589" s="1" t="s">
        <v>2013</v>
      </c>
      <c r="O589" s="15" t="s">
        <v>2082</v>
      </c>
      <c r="P589" s="15" t="s">
        <v>2442</v>
      </c>
      <c r="Q589" s="25" t="s">
        <v>2090</v>
      </c>
      <c r="R589" s="25" t="s">
        <v>2435</v>
      </c>
      <c r="S589" s="73" t="s">
        <v>2336</v>
      </c>
    </row>
    <row r="590" spans="1:19" x14ac:dyDescent="0.2">
      <c r="A590" s="1">
        <v>581</v>
      </c>
      <c r="B590" s="1" t="s">
        <v>555</v>
      </c>
      <c r="C590" s="1" t="s">
        <v>2446</v>
      </c>
      <c r="D590" s="1" t="s">
        <v>2606</v>
      </c>
      <c r="E590" s="1" t="s">
        <v>817</v>
      </c>
      <c r="F590" s="66" t="s">
        <v>970</v>
      </c>
      <c r="G590" s="24" t="s">
        <v>1601</v>
      </c>
      <c r="H590" s="16">
        <v>42</v>
      </c>
      <c r="I590" s="25">
        <v>3</v>
      </c>
      <c r="J590" s="56">
        <v>500</v>
      </c>
      <c r="K590" s="15"/>
      <c r="L590" s="24" t="s">
        <v>2056</v>
      </c>
      <c r="M590" s="24" t="s">
        <v>2024</v>
      </c>
      <c r="N590" s="1" t="s">
        <v>2013</v>
      </c>
      <c r="O590" s="15" t="s">
        <v>2082</v>
      </c>
      <c r="P590" s="15" t="s">
        <v>2442</v>
      </c>
      <c r="Q590" s="25" t="s">
        <v>2088</v>
      </c>
      <c r="R590" s="25" t="s">
        <v>2434</v>
      </c>
      <c r="S590" s="73" t="s">
        <v>2368</v>
      </c>
    </row>
    <row r="591" spans="1:19" x14ac:dyDescent="0.2">
      <c r="A591" s="1">
        <v>582</v>
      </c>
      <c r="B591" s="1" t="s">
        <v>186</v>
      </c>
      <c r="C591" s="1" t="s">
        <v>2446</v>
      </c>
      <c r="D591" s="1" t="s">
        <v>313</v>
      </c>
      <c r="E591" s="1" t="s">
        <v>823</v>
      </c>
      <c r="F591" s="67" t="s">
        <v>25</v>
      </c>
      <c r="G591" s="24" t="s">
        <v>1602</v>
      </c>
      <c r="H591" s="16">
        <v>24</v>
      </c>
      <c r="I591" s="25">
        <v>4</v>
      </c>
      <c r="J591" s="56">
        <v>2500</v>
      </c>
      <c r="K591" s="15">
        <v>1200</v>
      </c>
      <c r="L591" s="24" t="s">
        <v>2034</v>
      </c>
      <c r="M591" s="24" t="s">
        <v>2016</v>
      </c>
      <c r="N591" s="1" t="s">
        <v>2013</v>
      </c>
      <c r="O591" s="15" t="s">
        <v>2082</v>
      </c>
      <c r="P591" s="15" t="s">
        <v>2442</v>
      </c>
      <c r="Q591" s="25" t="s">
        <v>2086</v>
      </c>
      <c r="R591" s="25" t="s">
        <v>2436</v>
      </c>
      <c r="S591" s="73" t="s">
        <v>2369</v>
      </c>
    </row>
    <row r="592" spans="1:19" x14ac:dyDescent="0.2">
      <c r="A592" s="1">
        <v>583</v>
      </c>
      <c r="B592" s="1" t="s">
        <v>314</v>
      </c>
      <c r="C592" s="1" t="s">
        <v>2446</v>
      </c>
      <c r="D592" s="1" t="s">
        <v>2607</v>
      </c>
      <c r="E592" s="1" t="s">
        <v>823</v>
      </c>
      <c r="F592" s="66" t="s">
        <v>971</v>
      </c>
      <c r="G592" s="24" t="s">
        <v>1603</v>
      </c>
      <c r="H592" s="16">
        <v>57</v>
      </c>
      <c r="I592" s="25">
        <v>1</v>
      </c>
      <c r="J592" s="56">
        <v>2770</v>
      </c>
      <c r="K592" s="15">
        <v>1150</v>
      </c>
      <c r="L592" s="24" t="s">
        <v>2040</v>
      </c>
      <c r="M592" s="24" t="s">
        <v>2016</v>
      </c>
      <c r="N592" s="1" t="s">
        <v>2013</v>
      </c>
      <c r="O592" s="15" t="s">
        <v>2082</v>
      </c>
      <c r="P592" s="15" t="s">
        <v>2442</v>
      </c>
      <c r="Q592" s="25" t="s">
        <v>2084</v>
      </c>
      <c r="R592" s="25" t="s">
        <v>2437</v>
      </c>
      <c r="S592" s="73" t="s">
        <v>2370</v>
      </c>
    </row>
    <row r="593" spans="1:19" x14ac:dyDescent="0.2">
      <c r="A593" s="1">
        <v>584</v>
      </c>
      <c r="B593" s="1" t="s">
        <v>316</v>
      </c>
      <c r="C593" s="1" t="s">
        <v>2446</v>
      </c>
      <c r="D593" s="1" t="s">
        <v>315</v>
      </c>
      <c r="E593" s="1" t="s">
        <v>2772</v>
      </c>
      <c r="F593" s="67" t="s">
        <v>881</v>
      </c>
      <c r="G593" s="24" t="s">
        <v>1604</v>
      </c>
      <c r="H593" s="16">
        <v>35</v>
      </c>
      <c r="I593" s="25">
        <v>5</v>
      </c>
      <c r="J593" s="56">
        <v>3000</v>
      </c>
      <c r="K593" s="15">
        <v>1300</v>
      </c>
      <c r="L593" s="24" t="s">
        <v>2036</v>
      </c>
      <c r="M593" s="24" t="s">
        <v>2014</v>
      </c>
      <c r="N593" s="1" t="s">
        <v>2013</v>
      </c>
      <c r="O593" s="15" t="s">
        <v>2082</v>
      </c>
      <c r="P593" s="15" t="s">
        <v>2442</v>
      </c>
      <c r="Q593" s="25" t="s">
        <v>2090</v>
      </c>
      <c r="R593" s="25" t="s">
        <v>2435</v>
      </c>
      <c r="S593" s="73" t="s">
        <v>2167</v>
      </c>
    </row>
    <row r="594" spans="1:19" x14ac:dyDescent="0.2">
      <c r="A594" s="1">
        <v>585</v>
      </c>
      <c r="B594" s="1" t="s">
        <v>317</v>
      </c>
      <c r="C594" s="1" t="s">
        <v>2446</v>
      </c>
      <c r="D594" s="1" t="s">
        <v>2608</v>
      </c>
      <c r="E594" s="1" t="s">
        <v>822</v>
      </c>
      <c r="F594" s="66" t="s">
        <v>972</v>
      </c>
      <c r="G594" s="24" t="s">
        <v>1605</v>
      </c>
      <c r="H594" s="16">
        <v>40</v>
      </c>
      <c r="I594" s="25">
        <v>3</v>
      </c>
      <c r="J594" s="56">
        <v>3410</v>
      </c>
      <c r="K594" s="15">
        <f>850+95+200</f>
        <v>1145</v>
      </c>
      <c r="L594" s="24" t="s">
        <v>2038</v>
      </c>
      <c r="M594" s="24" t="s">
        <v>2016</v>
      </c>
      <c r="N594" s="1" t="s">
        <v>2013</v>
      </c>
      <c r="O594" s="15" t="s">
        <v>2082</v>
      </c>
      <c r="P594" s="15" t="s">
        <v>2442</v>
      </c>
      <c r="Q594" s="25" t="s">
        <v>2087</v>
      </c>
      <c r="R594" s="25" t="s">
        <v>2436</v>
      </c>
      <c r="S594" s="73" t="s">
        <v>2129</v>
      </c>
    </row>
    <row r="595" spans="1:19" x14ac:dyDescent="0.2">
      <c r="A595" s="1">
        <v>586</v>
      </c>
      <c r="B595" s="1" t="s">
        <v>319</v>
      </c>
      <c r="C595" s="1" t="s">
        <v>2446</v>
      </c>
      <c r="D595" s="1" t="s">
        <v>318</v>
      </c>
      <c r="E595" s="1" t="s">
        <v>822</v>
      </c>
      <c r="F595" s="67" t="s">
        <v>981</v>
      </c>
      <c r="G595" s="24" t="s">
        <v>1606</v>
      </c>
      <c r="H595" s="16">
        <v>21</v>
      </c>
      <c r="I595" s="25">
        <v>2</v>
      </c>
      <c r="J595" s="56">
        <v>5700</v>
      </c>
      <c r="K595" s="15">
        <f>3200+250</f>
        <v>3450</v>
      </c>
      <c r="L595" s="24" t="s">
        <v>2060</v>
      </c>
      <c r="M595" s="24" t="s">
        <v>2024</v>
      </c>
      <c r="N595" s="1" t="s">
        <v>2013</v>
      </c>
      <c r="O595" s="15" t="s">
        <v>2082</v>
      </c>
      <c r="P595" s="15" t="s">
        <v>2442</v>
      </c>
      <c r="Q595" s="25" t="s">
        <v>2088</v>
      </c>
      <c r="R595" s="25" t="s">
        <v>2434</v>
      </c>
      <c r="S595" s="73" t="s">
        <v>2309</v>
      </c>
    </row>
    <row r="596" spans="1:19" x14ac:dyDescent="0.2">
      <c r="A596" s="1">
        <v>587</v>
      </c>
      <c r="B596" s="1" t="s">
        <v>555</v>
      </c>
      <c r="C596" s="1" t="s">
        <v>2446</v>
      </c>
      <c r="D596" s="1" t="s">
        <v>2609</v>
      </c>
      <c r="E596" s="1" t="s">
        <v>863</v>
      </c>
      <c r="F596" s="66" t="s">
        <v>973</v>
      </c>
      <c r="G596" s="24" t="s">
        <v>1607</v>
      </c>
      <c r="H596" s="16">
        <v>59</v>
      </c>
      <c r="I596" s="25">
        <v>4</v>
      </c>
      <c r="J596" s="56">
        <v>500</v>
      </c>
      <c r="K596" s="15"/>
      <c r="L596" s="24" t="s">
        <v>2022</v>
      </c>
      <c r="M596" s="24" t="s">
        <v>2016</v>
      </c>
      <c r="N596" s="1" t="s">
        <v>2013</v>
      </c>
      <c r="O596" s="15" t="s">
        <v>2082</v>
      </c>
      <c r="P596" s="15" t="s">
        <v>2442</v>
      </c>
      <c r="Q596" s="25" t="s">
        <v>2085</v>
      </c>
      <c r="R596" s="25" t="s">
        <v>2437</v>
      </c>
      <c r="S596" s="73" t="s">
        <v>2349</v>
      </c>
    </row>
    <row r="597" spans="1:19" x14ac:dyDescent="0.2">
      <c r="A597" s="1">
        <v>588</v>
      </c>
      <c r="B597" s="1" t="s">
        <v>320</v>
      </c>
      <c r="C597" s="1" t="s">
        <v>2446</v>
      </c>
      <c r="D597" s="1" t="s">
        <v>278</v>
      </c>
      <c r="E597" s="35" t="s">
        <v>864</v>
      </c>
      <c r="F597" s="66" t="s">
        <v>321</v>
      </c>
      <c r="G597" s="24" t="s">
        <v>1608</v>
      </c>
      <c r="H597" s="16">
        <v>32</v>
      </c>
      <c r="I597" s="25">
        <v>1</v>
      </c>
      <c r="J597" s="56">
        <v>2770</v>
      </c>
      <c r="K597" s="15">
        <v>1470</v>
      </c>
      <c r="L597" s="24" t="s">
        <v>2047</v>
      </c>
      <c r="M597" s="24" t="s">
        <v>2024</v>
      </c>
      <c r="N597" s="1" t="s">
        <v>2013</v>
      </c>
      <c r="O597" s="15" t="s">
        <v>2082</v>
      </c>
      <c r="P597" s="15" t="s">
        <v>2442</v>
      </c>
      <c r="Q597" s="25" t="s">
        <v>2086</v>
      </c>
      <c r="R597" s="25" t="s">
        <v>2435</v>
      </c>
      <c r="S597" s="73" t="s">
        <v>2261</v>
      </c>
    </row>
    <row r="598" spans="1:19" x14ac:dyDescent="0.2">
      <c r="A598" s="1">
        <v>589</v>
      </c>
      <c r="B598" s="1" t="s">
        <v>322</v>
      </c>
      <c r="C598" s="1" t="s">
        <v>2446</v>
      </c>
      <c r="D598" s="1" t="s">
        <v>161</v>
      </c>
      <c r="E598" s="35" t="s">
        <v>823</v>
      </c>
      <c r="F598" s="66" t="s">
        <v>982</v>
      </c>
      <c r="G598" s="24" t="s">
        <v>1609</v>
      </c>
      <c r="H598" s="16">
        <v>46</v>
      </c>
      <c r="I598" s="25">
        <v>5</v>
      </c>
      <c r="J598" s="56">
        <v>6700</v>
      </c>
      <c r="K598" s="15">
        <f>2850+460+250</f>
        <v>3560</v>
      </c>
      <c r="L598" s="24" t="s">
        <v>2058</v>
      </c>
      <c r="M598" s="24" t="s">
        <v>2020</v>
      </c>
      <c r="N598" s="1" t="s">
        <v>2013</v>
      </c>
      <c r="O598" s="15" t="s">
        <v>2082</v>
      </c>
      <c r="P598" s="15" t="s">
        <v>2442</v>
      </c>
      <c r="Q598" s="25" t="s">
        <v>2090</v>
      </c>
      <c r="R598" s="25" t="s">
        <v>2434</v>
      </c>
      <c r="S598" s="73" t="s">
        <v>2099</v>
      </c>
    </row>
    <row r="599" spans="1:19" x14ac:dyDescent="0.2">
      <c r="A599" s="1">
        <v>590</v>
      </c>
      <c r="B599" s="1" t="s">
        <v>324</v>
      </c>
      <c r="C599" s="1" t="s">
        <v>2446</v>
      </c>
      <c r="D599" s="1" t="s">
        <v>323</v>
      </c>
      <c r="E599" s="35" t="s">
        <v>823</v>
      </c>
      <c r="F599" s="66" t="s">
        <v>904</v>
      </c>
      <c r="G599" s="24" t="s">
        <v>1610</v>
      </c>
      <c r="H599" s="16">
        <v>54</v>
      </c>
      <c r="I599" s="25">
        <v>3</v>
      </c>
      <c r="J599" s="56">
        <f>3700</f>
        <v>3700</v>
      </c>
      <c r="K599" s="15">
        <f>2500</f>
        <v>2500</v>
      </c>
      <c r="L599" s="24" t="s">
        <v>2023</v>
      </c>
      <c r="M599" s="24" t="s">
        <v>2020</v>
      </c>
      <c r="N599" s="1" t="s">
        <v>2013</v>
      </c>
      <c r="O599" s="15" t="s">
        <v>2082</v>
      </c>
      <c r="P599" s="15" t="s">
        <v>2442</v>
      </c>
      <c r="Q599" s="25" t="s">
        <v>2087</v>
      </c>
      <c r="R599" s="25" t="s">
        <v>2436</v>
      </c>
      <c r="S599" s="73" t="s">
        <v>2370</v>
      </c>
    </row>
    <row r="600" spans="1:19" x14ac:dyDescent="0.2">
      <c r="A600" s="1">
        <v>591</v>
      </c>
      <c r="B600" s="1" t="s">
        <v>326</v>
      </c>
      <c r="C600" s="1" t="s">
        <v>2446</v>
      </c>
      <c r="D600" s="1" t="s">
        <v>325</v>
      </c>
      <c r="E600" s="35" t="s">
        <v>863</v>
      </c>
      <c r="F600" s="66" t="s">
        <v>983</v>
      </c>
      <c r="G600" s="24" t="s">
        <v>1611</v>
      </c>
      <c r="H600" s="16">
        <v>25</v>
      </c>
      <c r="I600" s="25">
        <v>1</v>
      </c>
      <c r="J600" s="56">
        <v>1880</v>
      </c>
      <c r="K600" s="15">
        <v>1100</v>
      </c>
      <c r="L600" s="24" t="s">
        <v>2032</v>
      </c>
      <c r="M600" s="24" t="s">
        <v>2024</v>
      </c>
      <c r="N600" s="1" t="s">
        <v>2013</v>
      </c>
      <c r="O600" s="15" t="s">
        <v>2082</v>
      </c>
      <c r="P600" s="15" t="s">
        <v>2442</v>
      </c>
      <c r="Q600" s="25" t="s">
        <v>2087</v>
      </c>
      <c r="R600" s="25" t="s">
        <v>2437</v>
      </c>
      <c r="S600" s="73" t="s">
        <v>2251</v>
      </c>
    </row>
    <row r="601" spans="1:19" x14ac:dyDescent="0.2">
      <c r="A601" s="1">
        <v>592</v>
      </c>
      <c r="B601" s="1" t="s">
        <v>62</v>
      </c>
      <c r="C601" s="1" t="s">
        <v>2446</v>
      </c>
      <c r="D601" s="1" t="s">
        <v>327</v>
      </c>
      <c r="E601" s="35" t="s">
        <v>822</v>
      </c>
      <c r="F601" s="66" t="s">
        <v>914</v>
      </c>
      <c r="G601" s="24" t="s">
        <v>1612</v>
      </c>
      <c r="H601" s="16">
        <v>43</v>
      </c>
      <c r="I601" s="25">
        <v>2</v>
      </c>
      <c r="J601" s="56">
        <v>1880</v>
      </c>
      <c r="K601" s="15">
        <v>1100</v>
      </c>
      <c r="L601" s="24" t="s">
        <v>2038</v>
      </c>
      <c r="M601" s="24" t="s">
        <v>2020</v>
      </c>
      <c r="N601" s="1" t="s">
        <v>2013</v>
      </c>
      <c r="O601" s="15" t="s">
        <v>2082</v>
      </c>
      <c r="P601" s="15" t="s">
        <v>2442</v>
      </c>
      <c r="Q601" s="25" t="s">
        <v>2086</v>
      </c>
      <c r="R601" s="25" t="s">
        <v>2435</v>
      </c>
      <c r="S601" s="73" t="s">
        <v>2337</v>
      </c>
    </row>
    <row r="602" spans="1:19" x14ac:dyDescent="0.2">
      <c r="A602" s="1">
        <v>593</v>
      </c>
      <c r="B602" s="1" t="s">
        <v>329</v>
      </c>
      <c r="C602" s="1" t="s">
        <v>2446</v>
      </c>
      <c r="D602" s="1" t="s">
        <v>328</v>
      </c>
      <c r="E602" s="35" t="s">
        <v>864</v>
      </c>
      <c r="F602" s="66" t="s">
        <v>984</v>
      </c>
      <c r="G602" s="24" t="s">
        <v>1613</v>
      </c>
      <c r="H602" s="16">
        <v>58</v>
      </c>
      <c r="I602" s="25">
        <v>4</v>
      </c>
      <c r="J602" s="56">
        <v>4340</v>
      </c>
      <c r="K602" s="15">
        <v>2450</v>
      </c>
      <c r="L602" s="24" t="s">
        <v>2040</v>
      </c>
      <c r="M602" s="24" t="s">
        <v>2014</v>
      </c>
      <c r="N602" s="1" t="s">
        <v>2013</v>
      </c>
      <c r="O602" s="15" t="s">
        <v>2082</v>
      </c>
      <c r="P602" s="15" t="s">
        <v>2442</v>
      </c>
      <c r="Q602" s="25" t="s">
        <v>2085</v>
      </c>
      <c r="R602" s="25" t="s">
        <v>2436</v>
      </c>
      <c r="S602" s="73" t="s">
        <v>2371</v>
      </c>
    </row>
    <row r="603" spans="1:19" x14ac:dyDescent="0.2">
      <c r="A603" s="1">
        <v>594</v>
      </c>
      <c r="B603" s="1" t="s">
        <v>231</v>
      </c>
      <c r="C603" s="1" t="s">
        <v>2446</v>
      </c>
      <c r="D603" s="1" t="s">
        <v>330</v>
      </c>
      <c r="E603" s="1" t="s">
        <v>863</v>
      </c>
      <c r="F603" s="66" t="s">
        <v>882</v>
      </c>
      <c r="G603" s="24" t="s">
        <v>1614</v>
      </c>
      <c r="H603" s="16">
        <v>20</v>
      </c>
      <c r="I603" s="25">
        <v>5</v>
      </c>
      <c r="J603" s="56">
        <v>2970</v>
      </c>
      <c r="K603" s="15">
        <v>1470</v>
      </c>
      <c r="L603" s="24" t="s">
        <v>2042</v>
      </c>
      <c r="M603" s="24" t="s">
        <v>2014</v>
      </c>
      <c r="N603" s="1" t="s">
        <v>2013</v>
      </c>
      <c r="O603" s="15" t="s">
        <v>2082</v>
      </c>
      <c r="P603" s="15" t="s">
        <v>2442</v>
      </c>
      <c r="Q603" s="25" t="s">
        <v>2085</v>
      </c>
      <c r="R603" s="25" t="s">
        <v>2434</v>
      </c>
      <c r="S603" s="73" t="s">
        <v>2186</v>
      </c>
    </row>
    <row r="604" spans="1:19" x14ac:dyDescent="0.2">
      <c r="A604" s="1">
        <v>595</v>
      </c>
      <c r="B604" s="1" t="s">
        <v>332</v>
      </c>
      <c r="C604" s="1" t="s">
        <v>2446</v>
      </c>
      <c r="D604" s="1" t="s">
        <v>331</v>
      </c>
      <c r="E604" s="1" t="s">
        <v>864</v>
      </c>
      <c r="F604" s="66" t="s">
        <v>985</v>
      </c>
      <c r="G604" s="24" t="s">
        <v>1615</v>
      </c>
      <c r="H604" s="16">
        <v>49</v>
      </c>
      <c r="I604" s="25">
        <v>2</v>
      </c>
      <c r="J604" s="56">
        <v>4520</v>
      </c>
      <c r="K604" s="15">
        <f>2400+100</f>
        <v>2500</v>
      </c>
      <c r="L604" s="24" t="s">
        <v>2062</v>
      </c>
      <c r="M604" s="24" t="s">
        <v>2014</v>
      </c>
      <c r="N604" s="1" t="s">
        <v>2013</v>
      </c>
      <c r="O604" s="15" t="s">
        <v>2082</v>
      </c>
      <c r="P604" s="15" t="s">
        <v>2442</v>
      </c>
      <c r="Q604" s="25" t="s">
        <v>2089</v>
      </c>
      <c r="R604" s="25" t="s">
        <v>2437</v>
      </c>
      <c r="S604" s="73" t="s">
        <v>2112</v>
      </c>
    </row>
    <row r="605" spans="1:19" x14ac:dyDescent="0.2">
      <c r="A605" s="1">
        <v>596</v>
      </c>
      <c r="B605" s="1" t="s">
        <v>334</v>
      </c>
      <c r="C605" s="1" t="s">
        <v>2446</v>
      </c>
      <c r="D605" s="1" t="s">
        <v>333</v>
      </c>
      <c r="E605" s="35" t="s">
        <v>822</v>
      </c>
      <c r="F605" s="66" t="s">
        <v>945</v>
      </c>
      <c r="G605" s="24" t="s">
        <v>1616</v>
      </c>
      <c r="H605" s="16">
        <v>34</v>
      </c>
      <c r="I605" s="25">
        <v>3</v>
      </c>
      <c r="J605" s="56">
        <v>2820</v>
      </c>
      <c r="K605" s="15">
        <f>1000-100</f>
        <v>900</v>
      </c>
      <c r="L605" s="24" t="s">
        <v>2060</v>
      </c>
      <c r="M605" s="24" t="s">
        <v>2024</v>
      </c>
      <c r="N605" s="1" t="s">
        <v>2013</v>
      </c>
      <c r="O605" s="15" t="s">
        <v>2082</v>
      </c>
      <c r="P605" s="15" t="s">
        <v>2442</v>
      </c>
      <c r="Q605" s="25" t="s">
        <v>2089</v>
      </c>
      <c r="R605" s="25" t="s">
        <v>2435</v>
      </c>
      <c r="S605" s="73" t="s">
        <v>2363</v>
      </c>
    </row>
    <row r="606" spans="1:19" x14ac:dyDescent="0.2">
      <c r="A606" s="1">
        <v>597</v>
      </c>
      <c r="B606" s="1" t="s">
        <v>335</v>
      </c>
      <c r="C606" s="1" t="s">
        <v>2446</v>
      </c>
      <c r="D606" s="1" t="s">
        <v>2554</v>
      </c>
      <c r="E606" s="1" t="s">
        <v>863</v>
      </c>
      <c r="F606" s="66" t="s">
        <v>986</v>
      </c>
      <c r="G606" s="24" t="s">
        <v>1617</v>
      </c>
      <c r="H606" s="16">
        <v>27</v>
      </c>
      <c r="I606" s="25">
        <v>1</v>
      </c>
      <c r="J606" s="56">
        <v>2400</v>
      </c>
      <c r="K606" s="15">
        <v>1400</v>
      </c>
      <c r="L606" s="24" t="s">
        <v>2025</v>
      </c>
      <c r="M606" s="24" t="s">
        <v>2024</v>
      </c>
      <c r="N606" s="1" t="s">
        <v>2013</v>
      </c>
      <c r="O606" s="15" t="s">
        <v>2082</v>
      </c>
      <c r="P606" s="15" t="s">
        <v>2442</v>
      </c>
      <c r="Q606" s="25" t="s">
        <v>2090</v>
      </c>
      <c r="R606" s="25" t="s">
        <v>2434</v>
      </c>
      <c r="S606" s="73" t="s">
        <v>2270</v>
      </c>
    </row>
    <row r="607" spans="1:19" x14ac:dyDescent="0.2">
      <c r="A607" s="1">
        <v>598</v>
      </c>
      <c r="B607" s="1" t="s">
        <v>29</v>
      </c>
      <c r="C607" s="1" t="s">
        <v>2446</v>
      </c>
      <c r="D607" s="1" t="s">
        <v>336</v>
      </c>
      <c r="E607" s="1" t="s">
        <v>864</v>
      </c>
      <c r="F607" s="66" t="s">
        <v>996</v>
      </c>
      <c r="G607" s="24" t="s">
        <v>1618</v>
      </c>
      <c r="H607" s="16">
        <v>45</v>
      </c>
      <c r="I607" s="25">
        <v>4</v>
      </c>
      <c r="J607" s="56">
        <v>1650</v>
      </c>
      <c r="K607" s="15">
        <f>850-90</f>
        <v>760</v>
      </c>
      <c r="L607" s="24" t="s">
        <v>2028</v>
      </c>
      <c r="M607" s="24" t="s">
        <v>2016</v>
      </c>
      <c r="N607" s="1" t="s">
        <v>2013</v>
      </c>
      <c r="O607" s="15" t="s">
        <v>2082</v>
      </c>
      <c r="P607" s="15" t="s">
        <v>2442</v>
      </c>
      <c r="Q607" s="25" t="s">
        <v>2090</v>
      </c>
      <c r="R607" s="25" t="s">
        <v>2436</v>
      </c>
      <c r="S607" s="73" t="s">
        <v>2304</v>
      </c>
    </row>
    <row r="608" spans="1:19" x14ac:dyDescent="0.2">
      <c r="A608" s="1">
        <v>599</v>
      </c>
      <c r="B608" s="1" t="s">
        <v>81</v>
      </c>
      <c r="C608" s="1" t="s">
        <v>2446</v>
      </c>
      <c r="D608" s="1" t="s">
        <v>337</v>
      </c>
      <c r="E608" s="1" t="s">
        <v>2774</v>
      </c>
      <c r="F608" s="66" t="s">
        <v>987</v>
      </c>
      <c r="G608" s="24" t="s">
        <v>1619</v>
      </c>
      <c r="H608" s="16">
        <v>52</v>
      </c>
      <c r="I608" s="25">
        <v>5</v>
      </c>
      <c r="J608" s="56">
        <v>2065</v>
      </c>
      <c r="K608" s="15">
        <f>790-90</f>
        <v>700</v>
      </c>
      <c r="L608" s="24" t="s">
        <v>2037</v>
      </c>
      <c r="M608" s="24" t="s">
        <v>2014</v>
      </c>
      <c r="N608" s="1" t="s">
        <v>2013</v>
      </c>
      <c r="O608" s="15" t="s">
        <v>2082</v>
      </c>
      <c r="P608" s="15" t="s">
        <v>2442</v>
      </c>
      <c r="Q608" s="25" t="s">
        <v>2089</v>
      </c>
      <c r="R608" s="25" t="s">
        <v>2437</v>
      </c>
      <c r="S608" s="73" t="s">
        <v>2320</v>
      </c>
    </row>
    <row r="609" spans="1:19" x14ac:dyDescent="0.2">
      <c r="A609" s="1">
        <v>600</v>
      </c>
      <c r="B609" s="1" t="s">
        <v>339</v>
      </c>
      <c r="C609" s="1" t="s">
        <v>2446</v>
      </c>
      <c r="D609" s="1" t="s">
        <v>338</v>
      </c>
      <c r="E609" s="1" t="s">
        <v>823</v>
      </c>
      <c r="F609" s="66" t="s">
        <v>997</v>
      </c>
      <c r="G609" s="24" t="s">
        <v>1620</v>
      </c>
      <c r="H609" s="16">
        <v>23</v>
      </c>
      <c r="I609" s="25">
        <v>3</v>
      </c>
      <c r="J609" s="56">
        <v>3850</v>
      </c>
      <c r="K609" s="15">
        <v>2350</v>
      </c>
      <c r="L609" s="24" t="s">
        <v>2028</v>
      </c>
      <c r="M609" s="24" t="s">
        <v>2024</v>
      </c>
      <c r="N609" s="1" t="s">
        <v>2013</v>
      </c>
      <c r="O609" s="15" t="s">
        <v>2082</v>
      </c>
      <c r="P609" s="15" t="s">
        <v>2442</v>
      </c>
      <c r="Q609" s="25" t="s">
        <v>2088</v>
      </c>
      <c r="R609" s="25" t="s">
        <v>2435</v>
      </c>
      <c r="S609" s="73" t="s">
        <v>2141</v>
      </c>
    </row>
    <row r="610" spans="1:19" x14ac:dyDescent="0.2">
      <c r="A610" s="1">
        <v>601</v>
      </c>
      <c r="B610" s="1" t="s">
        <v>340</v>
      </c>
      <c r="C610" s="1" t="s">
        <v>2446</v>
      </c>
      <c r="D610" s="1" t="s">
        <v>2537</v>
      </c>
      <c r="E610" s="35" t="s">
        <v>822</v>
      </c>
      <c r="F610" s="66" t="s">
        <v>988</v>
      </c>
      <c r="G610" s="24" t="s">
        <v>1621</v>
      </c>
      <c r="H610" s="16">
        <v>38</v>
      </c>
      <c r="I610" s="25">
        <v>2</v>
      </c>
      <c r="J610" s="56">
        <v>2050</v>
      </c>
      <c r="K610" s="15">
        <v>850</v>
      </c>
      <c r="L610" s="24" t="s">
        <v>2050</v>
      </c>
      <c r="M610" s="24" t="s">
        <v>2024</v>
      </c>
      <c r="N610" s="1" t="s">
        <v>2013</v>
      </c>
      <c r="O610" s="15" t="s">
        <v>2082</v>
      </c>
      <c r="P610" s="15" t="s">
        <v>2442</v>
      </c>
      <c r="Q610" s="25" t="s">
        <v>2085</v>
      </c>
      <c r="R610" s="25" t="s">
        <v>2436</v>
      </c>
      <c r="S610" s="73" t="s">
        <v>2179</v>
      </c>
    </row>
    <row r="611" spans="1:19" x14ac:dyDescent="0.2">
      <c r="A611" s="1">
        <v>602</v>
      </c>
      <c r="B611" s="1" t="s">
        <v>341</v>
      </c>
      <c r="C611" s="1" t="s">
        <v>2446</v>
      </c>
      <c r="D611" s="1" t="s">
        <v>2610</v>
      </c>
      <c r="E611" s="35" t="s">
        <v>817</v>
      </c>
      <c r="F611" s="66" t="s">
        <v>900</v>
      </c>
      <c r="G611" s="24" t="s">
        <v>1622</v>
      </c>
      <c r="H611" s="16">
        <v>41</v>
      </c>
      <c r="I611" s="25">
        <v>4</v>
      </c>
      <c r="J611" s="56">
        <f>1860+220</f>
        <v>2080</v>
      </c>
      <c r="K611" s="15">
        <f>900+96-90</f>
        <v>906</v>
      </c>
      <c r="L611" s="24" t="s">
        <v>2025</v>
      </c>
      <c r="M611" s="24" t="s">
        <v>2024</v>
      </c>
      <c r="N611" s="1" t="s">
        <v>2013</v>
      </c>
      <c r="O611" s="15" t="s">
        <v>2082</v>
      </c>
      <c r="P611" s="15" t="s">
        <v>2442</v>
      </c>
      <c r="Q611" s="25" t="s">
        <v>2085</v>
      </c>
      <c r="R611" s="25" t="s">
        <v>2434</v>
      </c>
      <c r="S611" s="73" t="s">
        <v>2156</v>
      </c>
    </row>
    <row r="612" spans="1:19" x14ac:dyDescent="0.2">
      <c r="A612" s="1">
        <v>603</v>
      </c>
      <c r="B612" s="1" t="s">
        <v>69</v>
      </c>
      <c r="C612" s="1" t="s">
        <v>2446</v>
      </c>
      <c r="D612" s="1" t="s">
        <v>342</v>
      </c>
      <c r="E612" s="1" t="s">
        <v>863</v>
      </c>
      <c r="F612" s="66" t="s">
        <v>989</v>
      </c>
      <c r="G612" s="24" t="s">
        <v>1623</v>
      </c>
      <c r="H612" s="16">
        <v>29</v>
      </c>
      <c r="I612" s="25">
        <v>1</v>
      </c>
      <c r="J612" s="56">
        <v>2560</v>
      </c>
      <c r="K612" s="15">
        <f>1200-90</f>
        <v>1110</v>
      </c>
      <c r="L612" s="24" t="s">
        <v>2026</v>
      </c>
      <c r="M612" s="24" t="s">
        <v>2024</v>
      </c>
      <c r="N612" s="1" t="s">
        <v>2013</v>
      </c>
      <c r="O612" s="15" t="s">
        <v>2082</v>
      </c>
      <c r="P612" s="15" t="s">
        <v>2442</v>
      </c>
      <c r="Q612" s="25" t="s">
        <v>2085</v>
      </c>
      <c r="R612" s="25" t="s">
        <v>2437</v>
      </c>
      <c r="S612" s="73" t="s">
        <v>2143</v>
      </c>
    </row>
    <row r="613" spans="1:19" x14ac:dyDescent="0.2">
      <c r="A613" s="1">
        <v>604</v>
      </c>
      <c r="B613" s="1" t="s">
        <v>343</v>
      </c>
      <c r="C613" s="1" t="s">
        <v>2446</v>
      </c>
      <c r="D613" s="1" t="s">
        <v>2611</v>
      </c>
      <c r="E613" s="1" t="s">
        <v>864</v>
      </c>
      <c r="F613" s="66" t="s">
        <v>952</v>
      </c>
      <c r="G613" s="24" t="s">
        <v>1624</v>
      </c>
      <c r="H613" s="16">
        <v>60</v>
      </c>
      <c r="I613" s="25">
        <v>5</v>
      </c>
      <c r="J613" s="56">
        <f>2690+220+50</f>
        <v>2960</v>
      </c>
      <c r="K613" s="15">
        <f>1690+95+50-90</f>
        <v>1745</v>
      </c>
      <c r="L613" s="24" t="s">
        <v>2052</v>
      </c>
      <c r="M613" s="24" t="s">
        <v>2024</v>
      </c>
      <c r="N613" s="1" t="s">
        <v>2013</v>
      </c>
      <c r="O613" s="15" t="s">
        <v>2082</v>
      </c>
      <c r="P613" s="15" t="s">
        <v>2442</v>
      </c>
      <c r="Q613" s="25" t="s">
        <v>2087</v>
      </c>
      <c r="R613" s="25" t="s">
        <v>2435</v>
      </c>
      <c r="S613" s="73" t="s">
        <v>2133</v>
      </c>
    </row>
    <row r="614" spans="1:19" x14ac:dyDescent="0.2">
      <c r="A614" s="1">
        <v>605</v>
      </c>
      <c r="B614" s="1" t="s">
        <v>345</v>
      </c>
      <c r="C614" s="1" t="s">
        <v>2446</v>
      </c>
      <c r="D614" s="1" t="s">
        <v>344</v>
      </c>
      <c r="E614" s="1" t="s">
        <v>822</v>
      </c>
      <c r="F614" s="66" t="s">
        <v>990</v>
      </c>
      <c r="G614" s="24" t="s">
        <v>1625</v>
      </c>
      <c r="H614" s="16">
        <v>33</v>
      </c>
      <c r="I614" s="25">
        <v>2</v>
      </c>
      <c r="J614" s="56">
        <v>5600</v>
      </c>
      <c r="K614" s="15">
        <f>3600-90</f>
        <v>3510</v>
      </c>
      <c r="L614" s="24" t="s">
        <v>2027</v>
      </c>
      <c r="M614" s="24" t="s">
        <v>2014</v>
      </c>
      <c r="N614" s="1" t="s">
        <v>2013</v>
      </c>
      <c r="O614" s="15" t="s">
        <v>2082</v>
      </c>
      <c r="P614" s="15" t="s">
        <v>2442</v>
      </c>
      <c r="Q614" s="25" t="s">
        <v>2083</v>
      </c>
      <c r="R614" s="25" t="s">
        <v>2434</v>
      </c>
      <c r="S614" s="73" t="s">
        <v>2228</v>
      </c>
    </row>
    <row r="615" spans="1:19" x14ac:dyDescent="0.2">
      <c r="A615" s="1">
        <v>606</v>
      </c>
      <c r="B615" s="1" t="s">
        <v>312</v>
      </c>
      <c r="C615" s="1" t="s">
        <v>2446</v>
      </c>
      <c r="D615" s="1" t="s">
        <v>287</v>
      </c>
      <c r="E615" s="1" t="s">
        <v>823</v>
      </c>
      <c r="F615" s="66" t="s">
        <v>998</v>
      </c>
      <c r="G615" s="24" t="s">
        <v>1626</v>
      </c>
      <c r="H615" s="16">
        <v>22</v>
      </c>
      <c r="I615" s="25">
        <v>3</v>
      </c>
      <c r="J615" s="56">
        <v>8220</v>
      </c>
      <c r="K615" s="15">
        <f>3900+450-90</f>
        <v>4260</v>
      </c>
      <c r="L615" s="24" t="s">
        <v>2035</v>
      </c>
      <c r="M615" s="24" t="s">
        <v>2014</v>
      </c>
      <c r="N615" s="1" t="s">
        <v>2013</v>
      </c>
      <c r="O615" s="15" t="s">
        <v>2082</v>
      </c>
      <c r="P615" s="15" t="s">
        <v>2442</v>
      </c>
      <c r="Q615" s="25" t="s">
        <v>2089</v>
      </c>
      <c r="R615" s="25" t="s">
        <v>2436</v>
      </c>
      <c r="S615" s="73" t="s">
        <v>2372</v>
      </c>
    </row>
    <row r="616" spans="1:19" x14ac:dyDescent="0.2">
      <c r="A616" s="1">
        <v>607</v>
      </c>
      <c r="B616" s="1" t="s">
        <v>6</v>
      </c>
      <c r="C616" s="1" t="s">
        <v>2445</v>
      </c>
      <c r="D616" s="1" t="s">
        <v>869</v>
      </c>
      <c r="E616" s="1" t="s">
        <v>828</v>
      </c>
      <c r="F616" s="66" t="s">
        <v>991</v>
      </c>
      <c r="G616" s="24" t="s">
        <v>1627</v>
      </c>
      <c r="H616" s="16">
        <v>47</v>
      </c>
      <c r="I616" s="25">
        <v>4</v>
      </c>
      <c r="J616" s="56">
        <v>1190</v>
      </c>
      <c r="K616" s="15">
        <v>650</v>
      </c>
      <c r="L616" s="24" t="s">
        <v>2045</v>
      </c>
      <c r="M616" s="24" t="s">
        <v>2014</v>
      </c>
      <c r="N616" s="1" t="s">
        <v>2013</v>
      </c>
      <c r="O616" s="15" t="s">
        <v>2082</v>
      </c>
      <c r="P616" s="15" t="s">
        <v>2442</v>
      </c>
      <c r="Q616" s="25" t="s">
        <v>2090</v>
      </c>
      <c r="R616" s="25" t="s">
        <v>2437</v>
      </c>
      <c r="S616" s="73" t="s">
        <v>2152</v>
      </c>
    </row>
    <row r="617" spans="1:19" x14ac:dyDescent="0.2">
      <c r="A617" s="1">
        <v>608</v>
      </c>
      <c r="B617" s="1" t="s">
        <v>8</v>
      </c>
      <c r="C617" s="1" t="s">
        <v>2446</v>
      </c>
      <c r="D617" s="1" t="s">
        <v>2612</v>
      </c>
      <c r="E617" s="35" t="s">
        <v>822</v>
      </c>
      <c r="F617" s="66" t="s">
        <v>999</v>
      </c>
      <c r="G617" s="24" t="s">
        <v>1628</v>
      </c>
      <c r="H617" s="16">
        <v>55</v>
      </c>
      <c r="I617" s="25">
        <v>1</v>
      </c>
      <c r="J617" s="56">
        <v>1220</v>
      </c>
      <c r="K617" s="15">
        <v>260</v>
      </c>
      <c r="L617" s="24" t="s">
        <v>2053</v>
      </c>
      <c r="M617" s="24" t="s">
        <v>2014</v>
      </c>
      <c r="N617" s="1" t="s">
        <v>2013</v>
      </c>
      <c r="O617" s="15" t="s">
        <v>2082</v>
      </c>
      <c r="P617" s="15" t="s">
        <v>2442</v>
      </c>
      <c r="Q617" s="25" t="s">
        <v>2084</v>
      </c>
      <c r="R617" s="25" t="s">
        <v>2435</v>
      </c>
      <c r="S617" s="73" t="s">
        <v>2222</v>
      </c>
    </row>
    <row r="618" spans="1:19" x14ac:dyDescent="0.2">
      <c r="A618" s="1">
        <v>609</v>
      </c>
      <c r="B618" s="1" t="s">
        <v>347</v>
      </c>
      <c r="C618" s="1" t="s">
        <v>2446</v>
      </c>
      <c r="D618" s="1" t="s">
        <v>346</v>
      </c>
      <c r="E618" s="35" t="s">
        <v>817</v>
      </c>
      <c r="F618" s="66" t="s">
        <v>992</v>
      </c>
      <c r="G618" s="24" t="s">
        <v>1629</v>
      </c>
      <c r="H618" s="16">
        <v>36</v>
      </c>
      <c r="I618" s="25">
        <v>5</v>
      </c>
      <c r="J618" s="56">
        <f>1770+220</f>
        <v>1990</v>
      </c>
      <c r="K618" s="15">
        <f>770+95</f>
        <v>865</v>
      </c>
      <c r="L618" s="24" t="s">
        <v>2035</v>
      </c>
      <c r="M618" s="24" t="s">
        <v>2020</v>
      </c>
      <c r="N618" s="1" t="s">
        <v>2013</v>
      </c>
      <c r="O618" s="15" t="s">
        <v>2082</v>
      </c>
      <c r="P618" s="15" t="s">
        <v>2442</v>
      </c>
      <c r="Q618" s="25" t="s">
        <v>2084</v>
      </c>
      <c r="R618" s="25" t="s">
        <v>2436</v>
      </c>
      <c r="S618" s="73" t="s">
        <v>2108</v>
      </c>
    </row>
    <row r="619" spans="1:19" x14ac:dyDescent="0.2">
      <c r="A619" s="1">
        <v>610</v>
      </c>
      <c r="B619" s="1" t="s">
        <v>69</v>
      </c>
      <c r="C619" s="1" t="s">
        <v>2446</v>
      </c>
      <c r="D619" s="1" t="s">
        <v>348</v>
      </c>
      <c r="E619" s="35" t="s">
        <v>823</v>
      </c>
      <c r="F619" s="66" t="s">
        <v>1000</v>
      </c>
      <c r="G619" s="24" t="s">
        <v>1630</v>
      </c>
      <c r="H619" s="16">
        <v>28</v>
      </c>
      <c r="I619" s="25">
        <v>3</v>
      </c>
      <c r="J619" s="56">
        <v>3260</v>
      </c>
      <c r="K619" s="15">
        <v>1220</v>
      </c>
      <c r="L619" s="24" t="s">
        <v>2048</v>
      </c>
      <c r="M619" s="24" t="s">
        <v>2014</v>
      </c>
      <c r="N619" s="1" t="s">
        <v>2013</v>
      </c>
      <c r="O619" s="15" t="s">
        <v>2082</v>
      </c>
      <c r="P619" s="15" t="s">
        <v>2442</v>
      </c>
      <c r="Q619" s="25" t="s">
        <v>2086</v>
      </c>
      <c r="R619" s="25" t="s">
        <v>2434</v>
      </c>
      <c r="S619" s="73" t="s">
        <v>2288</v>
      </c>
    </row>
    <row r="620" spans="1:19" x14ac:dyDescent="0.2">
      <c r="A620" s="1">
        <v>611</v>
      </c>
      <c r="B620" s="1" t="s">
        <v>117</v>
      </c>
      <c r="C620" s="1" t="s">
        <v>2446</v>
      </c>
      <c r="D620" s="1" t="s">
        <v>325</v>
      </c>
      <c r="E620" s="35" t="s">
        <v>823</v>
      </c>
      <c r="F620" s="66" t="s">
        <v>902</v>
      </c>
      <c r="G620" s="24" t="s">
        <v>1631</v>
      </c>
      <c r="H620" s="16">
        <v>50</v>
      </c>
      <c r="I620" s="25">
        <v>2</v>
      </c>
      <c r="J620" s="56">
        <v>1870</v>
      </c>
      <c r="K620" s="15">
        <v>870</v>
      </c>
      <c r="L620" s="24" t="s">
        <v>2029</v>
      </c>
      <c r="M620" s="24" t="s">
        <v>2016</v>
      </c>
      <c r="N620" s="1" t="s">
        <v>2013</v>
      </c>
      <c r="O620" s="15" t="s">
        <v>2082</v>
      </c>
      <c r="P620" s="15" t="s">
        <v>2442</v>
      </c>
      <c r="Q620" s="25" t="s">
        <v>2085</v>
      </c>
      <c r="R620" s="25" t="s">
        <v>2437</v>
      </c>
      <c r="S620" s="73" t="s">
        <v>2373</v>
      </c>
    </row>
    <row r="621" spans="1:19" x14ac:dyDescent="0.2">
      <c r="A621" s="1">
        <v>612</v>
      </c>
      <c r="B621" s="1" t="s">
        <v>350</v>
      </c>
      <c r="C621" s="1" t="s">
        <v>2446</v>
      </c>
      <c r="D621" s="1" t="s">
        <v>349</v>
      </c>
      <c r="E621" s="35" t="s">
        <v>828</v>
      </c>
      <c r="F621" s="66" t="s">
        <v>978</v>
      </c>
      <c r="G621" s="24" t="s">
        <v>1632</v>
      </c>
      <c r="H621" s="16">
        <v>39</v>
      </c>
      <c r="I621" s="25">
        <v>4</v>
      </c>
      <c r="J621" s="56">
        <v>5150</v>
      </c>
      <c r="K621" s="15">
        <v>2120</v>
      </c>
      <c r="L621" s="24" t="s">
        <v>2058</v>
      </c>
      <c r="M621" s="24" t="s">
        <v>2020</v>
      </c>
      <c r="N621" s="1" t="s">
        <v>2013</v>
      </c>
      <c r="O621" s="15" t="s">
        <v>2082</v>
      </c>
      <c r="P621" s="15" t="s">
        <v>2442</v>
      </c>
      <c r="Q621" s="25" t="s">
        <v>2088</v>
      </c>
      <c r="R621" s="25" t="s">
        <v>2435</v>
      </c>
      <c r="S621" s="73" t="s">
        <v>2346</v>
      </c>
    </row>
    <row r="622" spans="1:19" x14ac:dyDescent="0.2">
      <c r="A622" s="1">
        <v>613</v>
      </c>
      <c r="B622" s="1" t="s">
        <v>99</v>
      </c>
      <c r="C622" s="1" t="s">
        <v>2446</v>
      </c>
      <c r="D622" s="1" t="s">
        <v>351</v>
      </c>
      <c r="E622" s="35" t="s">
        <v>822</v>
      </c>
      <c r="F622" s="66" t="s">
        <v>993</v>
      </c>
      <c r="G622" s="24" t="s">
        <v>1633</v>
      </c>
      <c r="H622" s="16">
        <v>31</v>
      </c>
      <c r="I622" s="25">
        <v>1</v>
      </c>
      <c r="J622" s="56">
        <v>3600</v>
      </c>
      <c r="K622" s="15">
        <v>2300</v>
      </c>
      <c r="L622" s="24" t="s">
        <v>2031</v>
      </c>
      <c r="M622" s="24" t="s">
        <v>2016</v>
      </c>
      <c r="N622" s="1" t="s">
        <v>2013</v>
      </c>
      <c r="O622" s="15" t="s">
        <v>2082</v>
      </c>
      <c r="P622" s="15" t="s">
        <v>2442</v>
      </c>
      <c r="Q622" s="25" t="s">
        <v>2085</v>
      </c>
      <c r="R622" s="25" t="s">
        <v>2434</v>
      </c>
      <c r="S622" s="73" t="s">
        <v>2147</v>
      </c>
    </row>
    <row r="623" spans="1:19" x14ac:dyDescent="0.2">
      <c r="A623" s="1">
        <v>614</v>
      </c>
      <c r="B623" s="1" t="s">
        <v>353</v>
      </c>
      <c r="C623" s="1" t="s">
        <v>2446</v>
      </c>
      <c r="D623" s="1" t="s">
        <v>352</v>
      </c>
      <c r="E623" s="35" t="s">
        <v>822</v>
      </c>
      <c r="F623" s="66" t="s">
        <v>1001</v>
      </c>
      <c r="G623" s="24" t="s">
        <v>1634</v>
      </c>
      <c r="H623" s="16">
        <v>44</v>
      </c>
      <c r="I623" s="25">
        <v>5</v>
      </c>
      <c r="J623" s="56">
        <v>2760</v>
      </c>
      <c r="K623" s="15">
        <f>880+200</f>
        <v>1080</v>
      </c>
      <c r="L623" s="24" t="s">
        <v>2062</v>
      </c>
      <c r="M623" s="24" t="s">
        <v>2016</v>
      </c>
      <c r="N623" s="1" t="s">
        <v>2013</v>
      </c>
      <c r="O623" s="15" t="s">
        <v>2082</v>
      </c>
      <c r="P623" s="15" t="s">
        <v>2442</v>
      </c>
      <c r="Q623" s="25" t="s">
        <v>2089</v>
      </c>
      <c r="R623" s="25" t="s">
        <v>2436</v>
      </c>
      <c r="S623" s="73" t="s">
        <v>2351</v>
      </c>
    </row>
    <row r="624" spans="1:19" x14ac:dyDescent="0.2">
      <c r="A624" s="1">
        <v>615</v>
      </c>
      <c r="B624" s="1" t="s">
        <v>355</v>
      </c>
      <c r="C624" s="1" t="s">
        <v>2446</v>
      </c>
      <c r="D624" s="1" t="s">
        <v>354</v>
      </c>
      <c r="E624" s="35" t="s">
        <v>863</v>
      </c>
      <c r="F624" s="66" t="s">
        <v>994</v>
      </c>
      <c r="G624" s="24" t="s">
        <v>1635</v>
      </c>
      <c r="H624" s="16">
        <v>26</v>
      </c>
      <c r="I624" s="25">
        <v>2</v>
      </c>
      <c r="J624" s="56">
        <v>4210</v>
      </c>
      <c r="K624" s="15">
        <v>2050</v>
      </c>
      <c r="L624" s="24" t="s">
        <v>2046</v>
      </c>
      <c r="M624" s="24" t="s">
        <v>2016</v>
      </c>
      <c r="N624" s="1" t="s">
        <v>2013</v>
      </c>
      <c r="O624" s="15" t="s">
        <v>2082</v>
      </c>
      <c r="P624" s="15" t="s">
        <v>2442</v>
      </c>
      <c r="Q624" s="25" t="s">
        <v>2089</v>
      </c>
      <c r="R624" s="25" t="s">
        <v>2437</v>
      </c>
      <c r="S624" s="73" t="s">
        <v>2350</v>
      </c>
    </row>
    <row r="625" spans="1:19" x14ac:dyDescent="0.2">
      <c r="A625" s="1">
        <v>616</v>
      </c>
      <c r="B625" s="1" t="s">
        <v>356</v>
      </c>
      <c r="C625" s="1" t="s">
        <v>2446</v>
      </c>
      <c r="D625" s="1" t="s">
        <v>2613</v>
      </c>
      <c r="E625" s="35" t="s">
        <v>864</v>
      </c>
      <c r="F625" s="66" t="s">
        <v>1002</v>
      </c>
      <c r="G625" s="24" t="s">
        <v>1636</v>
      </c>
      <c r="H625" s="16">
        <v>48</v>
      </c>
      <c r="I625" s="25">
        <v>3</v>
      </c>
      <c r="J625" s="56">
        <v>3797</v>
      </c>
      <c r="K625" s="15">
        <v>1270</v>
      </c>
      <c r="L625" s="24" t="s">
        <v>2058</v>
      </c>
      <c r="M625" s="24" t="s">
        <v>2020</v>
      </c>
      <c r="N625" s="1" t="s">
        <v>2013</v>
      </c>
      <c r="O625" s="15" t="s">
        <v>2082</v>
      </c>
      <c r="P625" s="15" t="s">
        <v>2442</v>
      </c>
      <c r="Q625" s="25" t="s">
        <v>2083</v>
      </c>
      <c r="R625" s="25" t="s">
        <v>2435</v>
      </c>
      <c r="S625" s="73" t="s">
        <v>2367</v>
      </c>
    </row>
    <row r="626" spans="1:19" x14ac:dyDescent="0.2">
      <c r="A626" s="1">
        <v>617</v>
      </c>
      <c r="B626" s="1" t="s">
        <v>357</v>
      </c>
      <c r="C626" s="1" t="s">
        <v>2446</v>
      </c>
      <c r="D626" s="1" t="s">
        <v>2614</v>
      </c>
      <c r="E626" s="35" t="s">
        <v>823</v>
      </c>
      <c r="F626" s="66" t="s">
        <v>995</v>
      </c>
      <c r="G626" s="24" t="s">
        <v>1637</v>
      </c>
      <c r="H626" s="16">
        <v>53</v>
      </c>
      <c r="I626" s="25">
        <v>4</v>
      </c>
      <c r="J626" s="56">
        <v>2757</v>
      </c>
      <c r="K626" s="15">
        <v>1130</v>
      </c>
      <c r="L626" s="24" t="s">
        <v>2040</v>
      </c>
      <c r="M626" s="24" t="s">
        <v>2016</v>
      </c>
      <c r="N626" s="1" t="s">
        <v>2013</v>
      </c>
      <c r="O626" s="15" t="s">
        <v>2082</v>
      </c>
      <c r="P626" s="15" t="s">
        <v>2442</v>
      </c>
      <c r="Q626" s="25" t="s">
        <v>2083</v>
      </c>
      <c r="R626" s="25" t="s">
        <v>2436</v>
      </c>
      <c r="S626" s="73" t="s">
        <v>2374</v>
      </c>
    </row>
    <row r="627" spans="1:19" x14ac:dyDescent="0.2">
      <c r="A627" s="1">
        <v>618</v>
      </c>
      <c r="B627" s="1" t="s">
        <v>358</v>
      </c>
      <c r="C627" s="1" t="s">
        <v>2446</v>
      </c>
      <c r="D627" s="1" t="s">
        <v>2615</v>
      </c>
      <c r="E627" s="35" t="s">
        <v>823</v>
      </c>
      <c r="F627" s="67" t="s">
        <v>923</v>
      </c>
      <c r="G627" s="24" t="s">
        <v>1638</v>
      </c>
      <c r="H627" s="16">
        <v>30</v>
      </c>
      <c r="I627" s="25">
        <v>1</v>
      </c>
      <c r="J627" s="56">
        <v>4220</v>
      </c>
      <c r="K627" s="15">
        <v>1500</v>
      </c>
      <c r="L627" s="24" t="s">
        <v>2061</v>
      </c>
      <c r="M627" s="24" t="s">
        <v>2014</v>
      </c>
      <c r="N627" s="1" t="s">
        <v>2013</v>
      </c>
      <c r="O627" s="15" t="s">
        <v>2082</v>
      </c>
      <c r="P627" s="15" t="s">
        <v>2442</v>
      </c>
      <c r="Q627" s="25" t="s">
        <v>2090</v>
      </c>
      <c r="R627" s="25" t="s">
        <v>2434</v>
      </c>
      <c r="S627" s="73" t="s">
        <v>2114</v>
      </c>
    </row>
    <row r="628" spans="1:19" x14ac:dyDescent="0.2">
      <c r="A628" s="1">
        <v>619</v>
      </c>
      <c r="B628" s="1" t="s">
        <v>360</v>
      </c>
      <c r="C628" s="1" t="s">
        <v>2446</v>
      </c>
      <c r="D628" s="1" t="s">
        <v>359</v>
      </c>
      <c r="E628" s="35" t="s">
        <v>863</v>
      </c>
      <c r="F628" s="67" t="s">
        <v>924</v>
      </c>
      <c r="G628" s="24" t="s">
        <v>1639</v>
      </c>
      <c r="H628" s="16">
        <v>37</v>
      </c>
      <c r="I628" s="25">
        <v>5</v>
      </c>
      <c r="J628" s="56">
        <v>1720</v>
      </c>
      <c r="K628" s="15">
        <v>760</v>
      </c>
      <c r="L628" s="24" t="s">
        <v>2027</v>
      </c>
      <c r="M628" s="24" t="s">
        <v>2014</v>
      </c>
      <c r="N628" s="1" t="s">
        <v>2013</v>
      </c>
      <c r="O628" s="15" t="s">
        <v>2082</v>
      </c>
      <c r="P628" s="15" t="s">
        <v>2442</v>
      </c>
      <c r="Q628" s="25" t="s">
        <v>2087</v>
      </c>
      <c r="R628" s="25" t="s">
        <v>2437</v>
      </c>
      <c r="S628" s="73" t="s">
        <v>2289</v>
      </c>
    </row>
    <row r="629" spans="1:19" x14ac:dyDescent="0.2">
      <c r="A629" s="1">
        <v>620</v>
      </c>
      <c r="B629" s="1" t="s">
        <v>361</v>
      </c>
      <c r="C629" s="1" t="s">
        <v>2446</v>
      </c>
      <c r="D629" s="1" t="s">
        <v>2616</v>
      </c>
      <c r="E629" s="35" t="s">
        <v>822</v>
      </c>
      <c r="F629" s="67" t="s">
        <v>925</v>
      </c>
      <c r="G629" s="24" t="s">
        <v>1640</v>
      </c>
      <c r="H629" s="16">
        <v>42</v>
      </c>
      <c r="I629" s="25">
        <v>3</v>
      </c>
      <c r="J629" s="56">
        <v>1660</v>
      </c>
      <c r="K629" s="15">
        <v>820</v>
      </c>
      <c r="L629" s="24" t="s">
        <v>2015</v>
      </c>
      <c r="M629" s="24" t="s">
        <v>2014</v>
      </c>
      <c r="N629" s="1" t="s">
        <v>2013</v>
      </c>
      <c r="O629" s="15" t="s">
        <v>2082</v>
      </c>
      <c r="P629" s="15" t="s">
        <v>2442</v>
      </c>
      <c r="Q629" s="25" t="s">
        <v>2086</v>
      </c>
      <c r="R629" s="25" t="s">
        <v>2435</v>
      </c>
      <c r="S629" s="73" t="s">
        <v>2188</v>
      </c>
    </row>
    <row r="630" spans="1:19" x14ac:dyDescent="0.2">
      <c r="A630" s="1">
        <v>621</v>
      </c>
      <c r="B630" s="1" t="s">
        <v>858</v>
      </c>
      <c r="C630" s="1" t="s">
        <v>2446</v>
      </c>
      <c r="D630" s="1" t="s">
        <v>2574</v>
      </c>
      <c r="E630" s="35" t="s">
        <v>864</v>
      </c>
      <c r="F630" s="69" t="s">
        <v>904</v>
      </c>
      <c r="G630" s="24" t="s">
        <v>1641</v>
      </c>
      <c r="H630" s="16">
        <v>24</v>
      </c>
      <c r="I630" s="25">
        <v>2</v>
      </c>
      <c r="J630" s="56">
        <f>1750+220</f>
        <v>1970</v>
      </c>
      <c r="K630" s="15">
        <f>775+90+95+135+28+27</f>
        <v>1150</v>
      </c>
      <c r="L630" s="24" t="s">
        <v>2046</v>
      </c>
      <c r="M630" s="24" t="s">
        <v>2016</v>
      </c>
      <c r="N630" s="1" t="s">
        <v>2013</v>
      </c>
      <c r="O630" s="15" t="s">
        <v>2082</v>
      </c>
      <c r="P630" s="15" t="s">
        <v>2442</v>
      </c>
      <c r="Q630" s="25" t="s">
        <v>2089</v>
      </c>
      <c r="R630" s="25" t="s">
        <v>2434</v>
      </c>
      <c r="S630" s="73" t="s">
        <v>2117</v>
      </c>
    </row>
    <row r="631" spans="1:19" x14ac:dyDescent="0.2">
      <c r="A631" s="1">
        <v>622</v>
      </c>
      <c r="B631" s="1" t="s">
        <v>555</v>
      </c>
      <c r="C631" s="1" t="s">
        <v>2446</v>
      </c>
      <c r="D631" s="3" t="s">
        <v>362</v>
      </c>
      <c r="E631" s="35" t="s">
        <v>863</v>
      </c>
      <c r="F631" s="67" t="s">
        <v>925</v>
      </c>
      <c r="G631" s="24" t="s">
        <v>1642</v>
      </c>
      <c r="H631" s="16">
        <v>57</v>
      </c>
      <c r="I631" s="25">
        <v>4</v>
      </c>
      <c r="J631" s="56">
        <v>2320</v>
      </c>
      <c r="K631" s="15">
        <v>1200</v>
      </c>
      <c r="L631" s="24" t="s">
        <v>2044</v>
      </c>
      <c r="M631" s="24" t="s">
        <v>2020</v>
      </c>
      <c r="N631" s="1" t="s">
        <v>2013</v>
      </c>
      <c r="O631" s="15" t="s">
        <v>2082</v>
      </c>
      <c r="P631" s="15" t="s">
        <v>2442</v>
      </c>
      <c r="Q631" s="25" t="s">
        <v>2085</v>
      </c>
      <c r="R631" s="25" t="s">
        <v>2436</v>
      </c>
      <c r="S631" s="73" t="s">
        <v>2375</v>
      </c>
    </row>
    <row r="632" spans="1:19" x14ac:dyDescent="0.2">
      <c r="A632" s="1">
        <v>623</v>
      </c>
      <c r="B632" s="1" t="s">
        <v>363</v>
      </c>
      <c r="C632" s="1" t="s">
        <v>2446</v>
      </c>
      <c r="D632" s="1" t="s">
        <v>2554</v>
      </c>
      <c r="E632" s="35" t="s">
        <v>864</v>
      </c>
      <c r="F632" s="69" t="s">
        <v>904</v>
      </c>
      <c r="G632" s="24" t="s">
        <v>1643</v>
      </c>
      <c r="H632" s="16">
        <v>35</v>
      </c>
      <c r="I632" s="25">
        <v>1</v>
      </c>
      <c r="J632" s="56">
        <v>4340</v>
      </c>
      <c r="K632" s="15">
        <v>2000</v>
      </c>
      <c r="L632" s="24" t="s">
        <v>2061</v>
      </c>
      <c r="M632" s="24" t="s">
        <v>2014</v>
      </c>
      <c r="N632" s="1" t="s">
        <v>2013</v>
      </c>
      <c r="O632" s="15" t="s">
        <v>2082</v>
      </c>
      <c r="P632" s="15" t="s">
        <v>2442</v>
      </c>
      <c r="Q632" s="25" t="s">
        <v>2083</v>
      </c>
      <c r="R632" s="25" t="s">
        <v>2437</v>
      </c>
      <c r="S632" s="73" t="s">
        <v>2101</v>
      </c>
    </row>
    <row r="633" spans="1:19" x14ac:dyDescent="0.2">
      <c r="A633" s="1">
        <v>624</v>
      </c>
      <c r="B633" s="1" t="s">
        <v>364</v>
      </c>
      <c r="C633" s="1" t="s">
        <v>2446</v>
      </c>
      <c r="D633" s="3" t="s">
        <v>2617</v>
      </c>
      <c r="E633" s="35" t="s">
        <v>2775</v>
      </c>
      <c r="F633" s="66" t="s">
        <v>926</v>
      </c>
      <c r="G633" s="24" t="s">
        <v>1644</v>
      </c>
      <c r="H633" s="16">
        <v>40</v>
      </c>
      <c r="I633" s="25">
        <v>5</v>
      </c>
      <c r="J633" s="56">
        <v>10430</v>
      </c>
      <c r="K633" s="15">
        <f>5450+312</f>
        <v>5762</v>
      </c>
      <c r="L633" s="24" t="s">
        <v>2046</v>
      </c>
      <c r="M633" s="24" t="s">
        <v>2016</v>
      </c>
      <c r="N633" s="1" t="s">
        <v>2013</v>
      </c>
      <c r="O633" s="15" t="s">
        <v>2082</v>
      </c>
      <c r="P633" s="15" t="s">
        <v>2442</v>
      </c>
      <c r="Q633" s="25" t="s">
        <v>2089</v>
      </c>
      <c r="R633" s="25" t="s">
        <v>2435</v>
      </c>
      <c r="S633" s="73" t="s">
        <v>2144</v>
      </c>
    </row>
    <row r="634" spans="1:19" x14ac:dyDescent="0.2">
      <c r="A634" s="1">
        <v>625</v>
      </c>
      <c r="B634" s="1" t="s">
        <v>17</v>
      </c>
      <c r="C634" s="1" t="s">
        <v>2446</v>
      </c>
      <c r="D634" s="3" t="s">
        <v>4</v>
      </c>
      <c r="E634" s="35" t="s">
        <v>863</v>
      </c>
      <c r="F634" s="66" t="s">
        <v>927</v>
      </c>
      <c r="G634" s="24" t="s">
        <v>1645</v>
      </c>
      <c r="H634" s="16">
        <v>21</v>
      </c>
      <c r="I634" s="25">
        <v>2</v>
      </c>
      <c r="J634" s="56">
        <v>1600</v>
      </c>
      <c r="K634" s="15">
        <f>1153</f>
        <v>1153</v>
      </c>
      <c r="L634" s="24" t="s">
        <v>2025</v>
      </c>
      <c r="M634" s="24" t="s">
        <v>2024</v>
      </c>
      <c r="N634" s="1" t="s">
        <v>2013</v>
      </c>
      <c r="O634" s="15" t="s">
        <v>2082</v>
      </c>
      <c r="P634" s="15" t="s">
        <v>2442</v>
      </c>
      <c r="Q634" s="25" t="s">
        <v>2084</v>
      </c>
      <c r="R634" s="25" t="s">
        <v>2436</v>
      </c>
      <c r="S634" s="73" t="s">
        <v>2354</v>
      </c>
    </row>
    <row r="635" spans="1:19" x14ac:dyDescent="0.2">
      <c r="A635" s="1">
        <v>626</v>
      </c>
      <c r="B635" s="1" t="s">
        <v>24</v>
      </c>
      <c r="C635" s="1" t="s">
        <v>2446</v>
      </c>
      <c r="D635" s="3" t="s">
        <v>2618</v>
      </c>
      <c r="E635" s="35" t="s">
        <v>864</v>
      </c>
      <c r="F635" s="66" t="s">
        <v>877</v>
      </c>
      <c r="G635" s="24" t="s">
        <v>1646</v>
      </c>
      <c r="H635" s="16">
        <v>59</v>
      </c>
      <c r="I635" s="25">
        <v>3</v>
      </c>
      <c r="J635" s="56">
        <v>1790</v>
      </c>
      <c r="K635" s="15">
        <v>790</v>
      </c>
      <c r="L635" s="24" t="s">
        <v>2057</v>
      </c>
      <c r="M635" s="24" t="s">
        <v>2020</v>
      </c>
      <c r="N635" s="1" t="s">
        <v>2013</v>
      </c>
      <c r="O635" s="15" t="s">
        <v>2082</v>
      </c>
      <c r="P635" s="15" t="s">
        <v>2442</v>
      </c>
      <c r="Q635" s="25" t="s">
        <v>2083</v>
      </c>
      <c r="R635" s="25" t="s">
        <v>2434</v>
      </c>
      <c r="S635" s="73" t="s">
        <v>2159</v>
      </c>
    </row>
    <row r="636" spans="1:19" x14ac:dyDescent="0.2">
      <c r="A636" s="1">
        <v>627</v>
      </c>
      <c r="B636" s="1" t="s">
        <v>365</v>
      </c>
      <c r="C636" s="1" t="s">
        <v>2446</v>
      </c>
      <c r="D636" s="1" t="s">
        <v>4</v>
      </c>
      <c r="E636" s="35" t="s">
        <v>822</v>
      </c>
      <c r="F636" s="66" t="s">
        <v>878</v>
      </c>
      <c r="G636" s="24" t="s">
        <v>1647</v>
      </c>
      <c r="H636" s="16">
        <v>32</v>
      </c>
      <c r="I636" s="25">
        <v>4</v>
      </c>
      <c r="J636" s="56">
        <v>5010</v>
      </c>
      <c r="K636" s="15">
        <f>2900+690</f>
        <v>3590</v>
      </c>
      <c r="L636" s="24" t="s">
        <v>2060</v>
      </c>
      <c r="M636" s="24" t="s">
        <v>2024</v>
      </c>
      <c r="N636" s="1" t="s">
        <v>2013</v>
      </c>
      <c r="O636" s="15" t="s">
        <v>2082</v>
      </c>
      <c r="P636" s="15" t="s">
        <v>2442</v>
      </c>
      <c r="Q636" s="25" t="s">
        <v>2087</v>
      </c>
      <c r="R636" s="25" t="s">
        <v>2437</v>
      </c>
      <c r="S636" s="73" t="s">
        <v>2376</v>
      </c>
    </row>
    <row r="637" spans="1:19" x14ac:dyDescent="0.2">
      <c r="A637" s="1">
        <v>628</v>
      </c>
      <c r="B637" s="1" t="s">
        <v>366</v>
      </c>
      <c r="C637" s="1" t="s">
        <v>2446</v>
      </c>
      <c r="D637" s="3" t="s">
        <v>2619</v>
      </c>
      <c r="E637" s="35" t="s">
        <v>823</v>
      </c>
      <c r="F637" s="66" t="s">
        <v>879</v>
      </c>
      <c r="G637" s="24" t="s">
        <v>1648</v>
      </c>
      <c r="H637" s="16">
        <v>46</v>
      </c>
      <c r="I637" s="25">
        <v>1</v>
      </c>
      <c r="J637" s="56">
        <v>4200</v>
      </c>
      <c r="K637" s="15">
        <v>1900</v>
      </c>
      <c r="L637" s="24" t="s">
        <v>2039</v>
      </c>
      <c r="M637" s="24" t="s">
        <v>2014</v>
      </c>
      <c r="N637" s="1" t="s">
        <v>2013</v>
      </c>
      <c r="O637" s="15" t="s">
        <v>2082</v>
      </c>
      <c r="P637" s="15" t="s">
        <v>2442</v>
      </c>
      <c r="Q637" s="25" t="s">
        <v>2085</v>
      </c>
      <c r="R637" s="25" t="s">
        <v>2435</v>
      </c>
      <c r="S637" s="73" t="s">
        <v>2360</v>
      </c>
    </row>
    <row r="638" spans="1:19" x14ac:dyDescent="0.2">
      <c r="A638" s="1">
        <v>630</v>
      </c>
      <c r="B638" s="1" t="s">
        <v>196</v>
      </c>
      <c r="C638" s="1" t="s">
        <v>2446</v>
      </c>
      <c r="D638" s="3" t="s">
        <v>2620</v>
      </c>
      <c r="E638" s="35" t="s">
        <v>822</v>
      </c>
      <c r="F638" s="66" t="s">
        <v>2760</v>
      </c>
      <c r="G638" s="24" t="s">
        <v>1649</v>
      </c>
      <c r="H638" s="16">
        <v>54</v>
      </c>
      <c r="I638" s="25">
        <v>5</v>
      </c>
      <c r="J638" s="56">
        <v>4150</v>
      </c>
      <c r="K638" s="15">
        <v>1370</v>
      </c>
      <c r="L638" s="24" t="s">
        <v>2057</v>
      </c>
      <c r="M638" s="24" t="s">
        <v>2020</v>
      </c>
      <c r="N638" s="1" t="s">
        <v>2013</v>
      </c>
      <c r="O638" s="15" t="s">
        <v>2082</v>
      </c>
      <c r="P638" s="15" t="s">
        <v>2442</v>
      </c>
      <c r="Q638" s="25" t="s">
        <v>2087</v>
      </c>
      <c r="R638" s="25" t="s">
        <v>2434</v>
      </c>
      <c r="S638" s="73" t="s">
        <v>2377</v>
      </c>
    </row>
    <row r="639" spans="1:19" x14ac:dyDescent="0.2">
      <c r="A639" s="1">
        <v>631</v>
      </c>
      <c r="B639" s="1" t="s">
        <v>367</v>
      </c>
      <c r="C639" s="1" t="s">
        <v>2446</v>
      </c>
      <c r="D639" s="1" t="s">
        <v>2621</v>
      </c>
      <c r="E639" s="35" t="s">
        <v>828</v>
      </c>
      <c r="F639" s="66" t="s">
        <v>878</v>
      </c>
      <c r="G639" s="24" t="s">
        <v>1650</v>
      </c>
      <c r="H639" s="16">
        <v>25</v>
      </c>
      <c r="I639" s="25">
        <v>3</v>
      </c>
      <c r="J639" s="56">
        <v>3700</v>
      </c>
      <c r="K639" s="15">
        <v>1850</v>
      </c>
      <c r="L639" s="24" t="s">
        <v>2051</v>
      </c>
      <c r="M639" s="24" t="s">
        <v>2020</v>
      </c>
      <c r="N639" s="1" t="s">
        <v>2013</v>
      </c>
      <c r="O639" s="15" t="s">
        <v>2082</v>
      </c>
      <c r="P639" s="15" t="s">
        <v>2442</v>
      </c>
      <c r="Q639" s="25" t="s">
        <v>2083</v>
      </c>
      <c r="R639" s="25" t="s">
        <v>2436</v>
      </c>
      <c r="S639" s="73" t="s">
        <v>2164</v>
      </c>
    </row>
    <row r="640" spans="1:19" x14ac:dyDescent="0.2">
      <c r="A640" s="1">
        <v>632</v>
      </c>
      <c r="B640" s="1" t="s">
        <v>369</v>
      </c>
      <c r="C640" s="1" t="s">
        <v>2446</v>
      </c>
      <c r="D640" s="1" t="s">
        <v>368</v>
      </c>
      <c r="E640" s="35" t="s">
        <v>863</v>
      </c>
      <c r="F640" s="66" t="s">
        <v>879</v>
      </c>
      <c r="G640" s="24" t="s">
        <v>1651</v>
      </c>
      <c r="H640" s="16">
        <v>43</v>
      </c>
      <c r="I640" s="25">
        <v>2</v>
      </c>
      <c r="J640" s="56">
        <v>9630</v>
      </c>
      <c r="K640" s="15">
        <v>4200</v>
      </c>
      <c r="L640" s="24" t="s">
        <v>2033</v>
      </c>
      <c r="M640" s="24" t="s">
        <v>2016</v>
      </c>
      <c r="N640" s="1" t="s">
        <v>2013</v>
      </c>
      <c r="O640" s="15" t="s">
        <v>2082</v>
      </c>
      <c r="P640" s="15" t="s">
        <v>2442</v>
      </c>
      <c r="Q640" s="25" t="s">
        <v>2084</v>
      </c>
      <c r="R640" s="25" t="s">
        <v>2437</v>
      </c>
      <c r="S640" s="73" t="s">
        <v>2135</v>
      </c>
    </row>
    <row r="641" spans="1:19" x14ac:dyDescent="0.2">
      <c r="A641" s="1">
        <v>633</v>
      </c>
      <c r="B641" s="1" t="s">
        <v>371</v>
      </c>
      <c r="C641" s="1" t="s">
        <v>2446</v>
      </c>
      <c r="D641" s="1" t="s">
        <v>370</v>
      </c>
      <c r="E641" s="35" t="s">
        <v>828</v>
      </c>
      <c r="F641" s="66" t="s">
        <v>959</v>
      </c>
      <c r="G641" s="24" t="s">
        <v>1652</v>
      </c>
      <c r="H641" s="16">
        <v>58</v>
      </c>
      <c r="I641" s="25">
        <v>4</v>
      </c>
      <c r="J641" s="56">
        <v>4680</v>
      </c>
      <c r="K641" s="15">
        <v>2600</v>
      </c>
      <c r="L641" s="24" t="s">
        <v>2048</v>
      </c>
      <c r="M641" s="24" t="s">
        <v>2014</v>
      </c>
      <c r="N641" s="1" t="s">
        <v>2013</v>
      </c>
      <c r="O641" s="15" t="s">
        <v>2082</v>
      </c>
      <c r="P641" s="15" t="s">
        <v>2442</v>
      </c>
      <c r="Q641" s="25" t="s">
        <v>2088</v>
      </c>
      <c r="R641" s="25" t="s">
        <v>2435</v>
      </c>
      <c r="S641" s="73" t="s">
        <v>2378</v>
      </c>
    </row>
    <row r="642" spans="1:19" x14ac:dyDescent="0.2">
      <c r="A642" s="1">
        <v>634</v>
      </c>
      <c r="B642" s="1" t="s">
        <v>372</v>
      </c>
      <c r="C642" s="1" t="s">
        <v>2446</v>
      </c>
      <c r="D642" s="1" t="s">
        <v>2622</v>
      </c>
      <c r="E642" s="35" t="s">
        <v>822</v>
      </c>
      <c r="F642" s="66" t="s">
        <v>870</v>
      </c>
      <c r="G642" s="24" t="s">
        <v>1653</v>
      </c>
      <c r="H642" s="16">
        <v>20</v>
      </c>
      <c r="I642" s="25">
        <v>1</v>
      </c>
      <c r="J642" s="56">
        <v>3660</v>
      </c>
      <c r="K642" s="15">
        <v>1840</v>
      </c>
      <c r="L642" s="24" t="s">
        <v>2022</v>
      </c>
      <c r="M642" s="24" t="s">
        <v>2016</v>
      </c>
      <c r="N642" s="1" t="s">
        <v>2013</v>
      </c>
      <c r="O642" s="15" t="s">
        <v>2082</v>
      </c>
      <c r="P642" s="15" t="s">
        <v>2442</v>
      </c>
      <c r="Q642" s="25" t="s">
        <v>2083</v>
      </c>
      <c r="R642" s="25" t="s">
        <v>2436</v>
      </c>
      <c r="S642" s="73" t="s">
        <v>2184</v>
      </c>
    </row>
    <row r="643" spans="1:19" x14ac:dyDescent="0.2">
      <c r="A643" s="1">
        <v>635</v>
      </c>
      <c r="B643" s="1" t="s">
        <v>373</v>
      </c>
      <c r="C643" s="1" t="s">
        <v>2446</v>
      </c>
      <c r="D643" s="1" t="s">
        <v>2623</v>
      </c>
      <c r="E643" s="35" t="s">
        <v>822</v>
      </c>
      <c r="F643" s="66" t="s">
        <v>871</v>
      </c>
      <c r="G643" s="24" t="s">
        <v>1654</v>
      </c>
      <c r="H643" s="16">
        <v>49</v>
      </c>
      <c r="I643" s="25">
        <v>5</v>
      </c>
      <c r="J643" s="56">
        <v>2975</v>
      </c>
      <c r="K643" s="15">
        <v>1700</v>
      </c>
      <c r="L643" s="24" t="s">
        <v>2017</v>
      </c>
      <c r="M643" s="24" t="s">
        <v>2016</v>
      </c>
      <c r="N643" s="1" t="s">
        <v>2013</v>
      </c>
      <c r="O643" s="15" t="s">
        <v>2082</v>
      </c>
      <c r="P643" s="15" t="s">
        <v>2442</v>
      </c>
      <c r="Q643" s="25" t="s">
        <v>2089</v>
      </c>
      <c r="R643" s="25" t="s">
        <v>2434</v>
      </c>
      <c r="S643" s="73" t="s">
        <v>2290</v>
      </c>
    </row>
    <row r="644" spans="1:19" x14ac:dyDescent="0.2">
      <c r="A644" s="1">
        <v>636</v>
      </c>
      <c r="B644" s="1" t="s">
        <v>375</v>
      </c>
      <c r="C644" s="1" t="s">
        <v>2446</v>
      </c>
      <c r="D644" s="1" t="s">
        <v>374</v>
      </c>
      <c r="E644" s="35" t="s">
        <v>863</v>
      </c>
      <c r="F644" s="66" t="s">
        <v>872</v>
      </c>
      <c r="G644" s="24" t="s">
        <v>1655</v>
      </c>
      <c r="H644" s="24">
        <v>25</v>
      </c>
      <c r="I644" s="25">
        <v>2</v>
      </c>
      <c r="J644" s="56">
        <v>2585</v>
      </c>
      <c r="K644" s="15">
        <v>1280</v>
      </c>
      <c r="L644" s="24" t="s">
        <v>2025</v>
      </c>
      <c r="M644" s="24" t="s">
        <v>2024</v>
      </c>
      <c r="N644" s="1" t="s">
        <v>2013</v>
      </c>
      <c r="O644" s="15" t="s">
        <v>2082</v>
      </c>
      <c r="P644" s="15" t="s">
        <v>2442</v>
      </c>
      <c r="Q644" s="25" t="s">
        <v>2087</v>
      </c>
      <c r="R644" s="25" t="s">
        <v>2437</v>
      </c>
      <c r="S644" s="73" t="s">
        <v>2142</v>
      </c>
    </row>
    <row r="645" spans="1:19" x14ac:dyDescent="0.2">
      <c r="A645" s="1">
        <v>637</v>
      </c>
      <c r="B645" s="1" t="s">
        <v>193</v>
      </c>
      <c r="C645" s="1" t="s">
        <v>2446</v>
      </c>
      <c r="D645" s="1" t="s">
        <v>2624</v>
      </c>
      <c r="E645" s="35" t="s">
        <v>864</v>
      </c>
      <c r="F645" s="66" t="s">
        <v>873</v>
      </c>
      <c r="G645" s="24" t="s">
        <v>1656</v>
      </c>
      <c r="H645" s="24">
        <v>31</v>
      </c>
      <c r="I645" s="25">
        <v>3</v>
      </c>
      <c r="J645" s="56">
        <v>2590</v>
      </c>
      <c r="K645" s="15">
        <v>890</v>
      </c>
      <c r="L645" s="24" t="s">
        <v>2032</v>
      </c>
      <c r="M645" s="24" t="s">
        <v>2016</v>
      </c>
      <c r="N645" s="1" t="s">
        <v>2013</v>
      </c>
      <c r="O645" s="15" t="s">
        <v>2082</v>
      </c>
      <c r="P645" s="15" t="s">
        <v>2442</v>
      </c>
      <c r="Q645" s="25" t="s">
        <v>2086</v>
      </c>
      <c r="R645" s="25" t="s">
        <v>2435</v>
      </c>
      <c r="S645" s="73" t="s">
        <v>2379</v>
      </c>
    </row>
    <row r="646" spans="1:19" x14ac:dyDescent="0.2">
      <c r="A646" s="1">
        <v>638</v>
      </c>
      <c r="B646" s="1" t="s">
        <v>376</v>
      </c>
      <c r="C646" s="1" t="s">
        <v>2446</v>
      </c>
      <c r="D646" s="1" t="s">
        <v>2625</v>
      </c>
      <c r="E646" s="35" t="s">
        <v>823</v>
      </c>
      <c r="F646" s="66" t="s">
        <v>874</v>
      </c>
      <c r="G646" s="24" t="s">
        <v>1657</v>
      </c>
      <c r="H646" s="24">
        <v>56</v>
      </c>
      <c r="I646" s="25">
        <v>4</v>
      </c>
      <c r="J646" s="56">
        <v>2930</v>
      </c>
      <c r="K646" s="15">
        <v>1130</v>
      </c>
      <c r="L646" s="24" t="s">
        <v>2035</v>
      </c>
      <c r="M646" s="24" t="s">
        <v>2014</v>
      </c>
      <c r="N646" s="1" t="s">
        <v>2013</v>
      </c>
      <c r="O646" s="15" t="s">
        <v>2082</v>
      </c>
      <c r="P646" s="15" t="s">
        <v>2442</v>
      </c>
      <c r="Q646" s="25" t="s">
        <v>2085</v>
      </c>
      <c r="R646" s="25" t="s">
        <v>2434</v>
      </c>
      <c r="S646" s="73" t="s">
        <v>2380</v>
      </c>
    </row>
    <row r="647" spans="1:19" x14ac:dyDescent="0.2">
      <c r="A647" s="1">
        <v>639</v>
      </c>
      <c r="B647" s="1" t="s">
        <v>377</v>
      </c>
      <c r="C647" s="1" t="s">
        <v>2446</v>
      </c>
      <c r="D647" s="1" t="s">
        <v>2626</v>
      </c>
      <c r="E647" s="35" t="s">
        <v>823</v>
      </c>
      <c r="F647" s="67" t="s">
        <v>875</v>
      </c>
      <c r="G647" s="24" t="s">
        <v>1658</v>
      </c>
      <c r="H647" s="24">
        <v>42</v>
      </c>
      <c r="I647" s="25">
        <v>1</v>
      </c>
      <c r="J647" s="56">
        <v>2465</v>
      </c>
      <c r="K647" s="15">
        <v>850</v>
      </c>
      <c r="L647" s="24" t="s">
        <v>2051</v>
      </c>
      <c r="M647" s="24" t="s">
        <v>2020</v>
      </c>
      <c r="N647" s="1" t="s">
        <v>2013</v>
      </c>
      <c r="O647" s="15" t="s">
        <v>2082</v>
      </c>
      <c r="P647" s="15" t="s">
        <v>2442</v>
      </c>
      <c r="Q647" s="25" t="s">
        <v>2089</v>
      </c>
      <c r="R647" s="25" t="s">
        <v>2436</v>
      </c>
      <c r="S647" s="73" t="s">
        <v>2212</v>
      </c>
    </row>
    <row r="648" spans="1:19" x14ac:dyDescent="0.2">
      <c r="A648" s="1">
        <v>640</v>
      </c>
      <c r="B648" s="1" t="s">
        <v>379</v>
      </c>
      <c r="C648" s="1" t="s">
        <v>2446</v>
      </c>
      <c r="D648" s="1" t="s">
        <v>378</v>
      </c>
      <c r="E648" s="35" t="s">
        <v>863</v>
      </c>
      <c r="F648" s="66" t="s">
        <v>876</v>
      </c>
      <c r="G648" s="24" t="s">
        <v>1659</v>
      </c>
      <c r="H648" s="24">
        <v>34</v>
      </c>
      <c r="I648" s="25">
        <v>5</v>
      </c>
      <c r="J648" s="56">
        <v>20840</v>
      </c>
      <c r="K648" s="15">
        <v>12500</v>
      </c>
      <c r="L648" s="24" t="s">
        <v>2036</v>
      </c>
      <c r="M648" s="24" t="s">
        <v>2014</v>
      </c>
      <c r="N648" s="1" t="s">
        <v>2013</v>
      </c>
      <c r="O648" s="15" t="s">
        <v>2082</v>
      </c>
      <c r="P648" s="15" t="s">
        <v>2442</v>
      </c>
      <c r="Q648" s="25" t="s">
        <v>2088</v>
      </c>
      <c r="R648" s="25" t="s">
        <v>2437</v>
      </c>
      <c r="S648" s="73" t="s">
        <v>2112</v>
      </c>
    </row>
    <row r="649" spans="1:19" x14ac:dyDescent="0.2">
      <c r="A649" s="1">
        <v>641</v>
      </c>
      <c r="B649" s="1" t="s">
        <v>380</v>
      </c>
      <c r="C649" s="1" t="s">
        <v>2446</v>
      </c>
      <c r="D649" s="4" t="s">
        <v>378</v>
      </c>
      <c r="E649" s="35" t="s">
        <v>822</v>
      </c>
      <c r="F649" s="66" t="s">
        <v>877</v>
      </c>
      <c r="G649" s="24" t="s">
        <v>1660</v>
      </c>
      <c r="H649" s="24">
        <v>23</v>
      </c>
      <c r="I649" s="25">
        <v>3</v>
      </c>
      <c r="J649" s="56">
        <v>20840</v>
      </c>
      <c r="K649" s="15">
        <v>12500</v>
      </c>
      <c r="L649" s="24" t="s">
        <v>2047</v>
      </c>
      <c r="M649" s="24" t="s">
        <v>2024</v>
      </c>
      <c r="N649" s="1" t="s">
        <v>2013</v>
      </c>
      <c r="O649" s="15" t="s">
        <v>2082</v>
      </c>
      <c r="P649" s="15" t="s">
        <v>2442</v>
      </c>
      <c r="Q649" s="25" t="s">
        <v>2084</v>
      </c>
      <c r="R649" s="25" t="s">
        <v>2435</v>
      </c>
      <c r="S649" s="73" t="s">
        <v>2347</v>
      </c>
    </row>
    <row r="650" spans="1:19" x14ac:dyDescent="0.2">
      <c r="A650" s="1">
        <v>642</v>
      </c>
      <c r="B650" s="1" t="s">
        <v>381</v>
      </c>
      <c r="C650" s="1" t="s">
        <v>2446</v>
      </c>
      <c r="D650" s="1" t="s">
        <v>287</v>
      </c>
      <c r="E650" s="35" t="s">
        <v>864</v>
      </c>
      <c r="F650" s="66" t="s">
        <v>878</v>
      </c>
      <c r="G650" s="24" t="s">
        <v>1661</v>
      </c>
      <c r="H650" s="24">
        <v>56</v>
      </c>
      <c r="I650" s="25">
        <v>2</v>
      </c>
      <c r="J650" s="56">
        <f>5580+550</f>
        <v>6130</v>
      </c>
      <c r="K650" s="15">
        <f>3150+500</f>
        <v>3650</v>
      </c>
      <c r="L650" s="24" t="s">
        <v>2018</v>
      </c>
      <c r="M650" s="24" t="s">
        <v>2014</v>
      </c>
      <c r="N650" s="1" t="s">
        <v>2013</v>
      </c>
      <c r="O650" s="15" t="s">
        <v>2082</v>
      </c>
      <c r="P650" s="15" t="s">
        <v>2442</v>
      </c>
      <c r="Q650" s="25" t="s">
        <v>2088</v>
      </c>
      <c r="R650" s="25" t="s">
        <v>2436</v>
      </c>
      <c r="S650" s="73" t="s">
        <v>2202</v>
      </c>
    </row>
    <row r="651" spans="1:19" x14ac:dyDescent="0.2">
      <c r="A651" s="1">
        <v>643</v>
      </c>
      <c r="B651" s="1" t="s">
        <v>382</v>
      </c>
      <c r="C651" s="1" t="s">
        <v>2446</v>
      </c>
      <c r="D651" s="1" t="s">
        <v>2627</v>
      </c>
      <c r="E651" s="35" t="s">
        <v>2776</v>
      </c>
      <c r="F651" s="66" t="s">
        <v>879</v>
      </c>
      <c r="G651" s="24" t="s">
        <v>1662</v>
      </c>
      <c r="H651" s="24">
        <v>24</v>
      </c>
      <c r="I651" s="25">
        <v>4</v>
      </c>
      <c r="J651" s="56">
        <v>2850</v>
      </c>
      <c r="K651" s="15">
        <v>1150</v>
      </c>
      <c r="L651" s="24" t="s">
        <v>2026</v>
      </c>
      <c r="M651" s="24" t="s">
        <v>2024</v>
      </c>
      <c r="N651" s="1" t="s">
        <v>2013</v>
      </c>
      <c r="O651" s="15" t="s">
        <v>2082</v>
      </c>
      <c r="P651" s="15" t="s">
        <v>2442</v>
      </c>
      <c r="Q651" s="25" t="s">
        <v>2090</v>
      </c>
      <c r="R651" s="25" t="s">
        <v>2434</v>
      </c>
      <c r="S651" s="73" t="s">
        <v>2381</v>
      </c>
    </row>
    <row r="652" spans="1:19" x14ac:dyDescent="0.2">
      <c r="A652" s="1">
        <v>645</v>
      </c>
      <c r="B652" s="1" t="s">
        <v>5</v>
      </c>
      <c r="C652" s="1" t="s">
        <v>2446</v>
      </c>
      <c r="D652" s="1" t="s">
        <v>4</v>
      </c>
      <c r="E652" s="35" t="s">
        <v>864</v>
      </c>
      <c r="F652" s="66" t="s">
        <v>880</v>
      </c>
      <c r="G652" s="24" t="s">
        <v>1663</v>
      </c>
      <c r="H652" s="24">
        <v>64</v>
      </c>
      <c r="I652" s="25">
        <v>1</v>
      </c>
      <c r="J652" s="56">
        <v>1190</v>
      </c>
      <c r="K652" s="15">
        <v>650</v>
      </c>
      <c r="L652" s="24" t="s">
        <v>2062</v>
      </c>
      <c r="M652" s="24" t="s">
        <v>2014</v>
      </c>
      <c r="N652" s="1" t="s">
        <v>2013</v>
      </c>
      <c r="O652" s="15" t="s">
        <v>2082</v>
      </c>
      <c r="P652" s="15" t="s">
        <v>2442</v>
      </c>
      <c r="Q652" s="25" t="s">
        <v>2088</v>
      </c>
      <c r="R652" s="25" t="s">
        <v>2437</v>
      </c>
      <c r="S652" s="73" t="s">
        <v>2191</v>
      </c>
    </row>
    <row r="653" spans="1:19" x14ac:dyDescent="0.2">
      <c r="A653" s="1">
        <v>646</v>
      </c>
      <c r="B653" s="1" t="s">
        <v>383</v>
      </c>
      <c r="C653" s="1" t="s">
        <v>2446</v>
      </c>
      <c r="D653" s="1" t="s">
        <v>287</v>
      </c>
      <c r="E653" s="35" t="s">
        <v>822</v>
      </c>
      <c r="F653" s="66" t="s">
        <v>881</v>
      </c>
      <c r="G653" s="24" t="s">
        <v>1664</v>
      </c>
      <c r="H653" s="24">
        <v>64</v>
      </c>
      <c r="I653" s="25">
        <v>5</v>
      </c>
      <c r="J653" s="56">
        <f>4880+550</f>
        <v>5430</v>
      </c>
      <c r="K653" s="15">
        <f>2450+500</f>
        <v>2950</v>
      </c>
      <c r="L653" s="24" t="s">
        <v>2036</v>
      </c>
      <c r="M653" s="24" t="s">
        <v>2014</v>
      </c>
      <c r="N653" s="1" t="s">
        <v>2013</v>
      </c>
      <c r="O653" s="15" t="s">
        <v>2082</v>
      </c>
      <c r="P653" s="15" t="s">
        <v>2442</v>
      </c>
      <c r="Q653" s="25" t="s">
        <v>2083</v>
      </c>
      <c r="R653" s="25" t="s">
        <v>2435</v>
      </c>
      <c r="S653" s="73" t="s">
        <v>2222</v>
      </c>
    </row>
    <row r="654" spans="1:19" x14ac:dyDescent="0.2">
      <c r="A654" s="1">
        <v>647</v>
      </c>
      <c r="B654" s="1" t="s">
        <v>236</v>
      </c>
      <c r="C654" s="1" t="s">
        <v>2446</v>
      </c>
      <c r="D654" s="1" t="s">
        <v>384</v>
      </c>
      <c r="E654" s="35" t="s">
        <v>863</v>
      </c>
      <c r="F654" s="66" t="s">
        <v>965</v>
      </c>
      <c r="G654" s="24" t="s">
        <v>1665</v>
      </c>
      <c r="H654" s="24">
        <v>23</v>
      </c>
      <c r="I654" s="25">
        <v>2</v>
      </c>
      <c r="J654" s="56">
        <v>3320</v>
      </c>
      <c r="K654" s="15">
        <v>1850</v>
      </c>
      <c r="L654" s="24" t="s">
        <v>2022</v>
      </c>
      <c r="M654" s="24" t="s">
        <v>2016</v>
      </c>
      <c r="N654" s="1" t="s">
        <v>2013</v>
      </c>
      <c r="O654" s="15" t="s">
        <v>2082</v>
      </c>
      <c r="P654" s="15" t="s">
        <v>2442</v>
      </c>
      <c r="Q654" s="25" t="s">
        <v>2085</v>
      </c>
      <c r="R654" s="25" t="s">
        <v>2434</v>
      </c>
      <c r="S654" s="73" t="s">
        <v>2191</v>
      </c>
    </row>
    <row r="655" spans="1:19" x14ac:dyDescent="0.2">
      <c r="A655" s="1">
        <v>648</v>
      </c>
      <c r="B655" s="1" t="s">
        <v>385</v>
      </c>
      <c r="C655" s="1" t="s">
        <v>2446</v>
      </c>
      <c r="D655" s="1" t="s">
        <v>2628</v>
      </c>
      <c r="E655" s="35" t="s">
        <v>864</v>
      </c>
      <c r="F655" s="67" t="s">
        <v>976</v>
      </c>
      <c r="G655" s="24" t="s">
        <v>1666</v>
      </c>
      <c r="H655" s="24">
        <v>19</v>
      </c>
      <c r="I655" s="25">
        <v>3</v>
      </c>
      <c r="J655" s="56">
        <v>4390</v>
      </c>
      <c r="K655" s="15">
        <v>1790</v>
      </c>
      <c r="L655" s="24" t="s">
        <v>2047</v>
      </c>
      <c r="M655" s="24" t="s">
        <v>2024</v>
      </c>
      <c r="N655" s="1" t="s">
        <v>2013</v>
      </c>
      <c r="O655" s="15" t="s">
        <v>2082</v>
      </c>
      <c r="P655" s="15" t="s">
        <v>2442</v>
      </c>
      <c r="Q655" s="25" t="s">
        <v>2083</v>
      </c>
      <c r="R655" s="25" t="s">
        <v>2436</v>
      </c>
      <c r="S655" s="73" t="s">
        <v>2252</v>
      </c>
    </row>
    <row r="656" spans="1:19" x14ac:dyDescent="0.2">
      <c r="A656" s="1">
        <v>650</v>
      </c>
      <c r="B656" s="1" t="s">
        <v>387</v>
      </c>
      <c r="C656" s="1" t="s">
        <v>2446</v>
      </c>
      <c r="D656" s="1" t="s">
        <v>386</v>
      </c>
      <c r="E656" s="35" t="s">
        <v>822</v>
      </c>
      <c r="F656" s="66" t="s">
        <v>966</v>
      </c>
      <c r="G656" s="24" t="s">
        <v>1667</v>
      </c>
      <c r="H656" s="24">
        <v>21</v>
      </c>
      <c r="I656" s="25">
        <v>4</v>
      </c>
      <c r="J656" s="56">
        <v>5400</v>
      </c>
      <c r="K656" s="15">
        <v>3900</v>
      </c>
      <c r="L656" s="24" t="s">
        <v>2030</v>
      </c>
      <c r="M656" s="24" t="s">
        <v>2024</v>
      </c>
      <c r="N656" s="1" t="s">
        <v>2013</v>
      </c>
      <c r="O656" s="15" t="s">
        <v>2082</v>
      </c>
      <c r="P656" s="15" t="s">
        <v>2442</v>
      </c>
      <c r="Q656" s="25" t="s">
        <v>2089</v>
      </c>
      <c r="R656" s="25" t="s">
        <v>2437</v>
      </c>
      <c r="S656" s="73" t="s">
        <v>2253</v>
      </c>
    </row>
    <row r="657" spans="1:19" x14ac:dyDescent="0.2">
      <c r="A657" s="1">
        <v>651</v>
      </c>
      <c r="B657" s="1" t="s">
        <v>389</v>
      </c>
      <c r="C657" s="1" t="s">
        <v>2446</v>
      </c>
      <c r="D657" s="1" t="s">
        <v>388</v>
      </c>
      <c r="E657" s="35" t="s">
        <v>863</v>
      </c>
      <c r="F657" s="67" t="s">
        <v>977</v>
      </c>
      <c r="G657" s="24" t="s">
        <v>1668</v>
      </c>
      <c r="H657" s="24">
        <v>56</v>
      </c>
      <c r="I657" s="25">
        <v>1</v>
      </c>
      <c r="J657" s="56">
        <v>3890</v>
      </c>
      <c r="K657" s="15">
        <v>1690</v>
      </c>
      <c r="L657" s="24" t="s">
        <v>2041</v>
      </c>
      <c r="M657" s="24" t="s">
        <v>2024</v>
      </c>
      <c r="N657" s="1" t="s">
        <v>2013</v>
      </c>
      <c r="O657" s="15" t="s">
        <v>2082</v>
      </c>
      <c r="P657" s="15" t="s">
        <v>2442</v>
      </c>
      <c r="Q657" s="25" t="s">
        <v>2087</v>
      </c>
      <c r="R657" s="25" t="s">
        <v>2435</v>
      </c>
      <c r="S657" s="73" t="s">
        <v>2382</v>
      </c>
    </row>
    <row r="658" spans="1:19" x14ac:dyDescent="0.2">
      <c r="A658" s="1">
        <v>652</v>
      </c>
      <c r="B658" s="1" t="s">
        <v>391</v>
      </c>
      <c r="C658" s="1" t="s">
        <v>2446</v>
      </c>
      <c r="D658" s="1" t="s">
        <v>390</v>
      </c>
      <c r="E658" s="35" t="s">
        <v>864</v>
      </c>
      <c r="F658" s="66" t="s">
        <v>937</v>
      </c>
      <c r="G658" s="24" t="s">
        <v>1669</v>
      </c>
      <c r="H658" s="24">
        <v>34</v>
      </c>
      <c r="I658" s="25">
        <v>5</v>
      </c>
      <c r="J658" s="56">
        <f>5950+670</f>
        <v>6620</v>
      </c>
      <c r="K658" s="15">
        <f>3550+500</f>
        <v>4050</v>
      </c>
      <c r="L658" s="24" t="s">
        <v>2036</v>
      </c>
      <c r="M658" s="24" t="s">
        <v>2014</v>
      </c>
      <c r="N658" s="1" t="s">
        <v>2013</v>
      </c>
      <c r="O658" s="15" t="s">
        <v>2082</v>
      </c>
      <c r="P658" s="15" t="s">
        <v>2442</v>
      </c>
      <c r="Q658" s="25" t="s">
        <v>2089</v>
      </c>
      <c r="R658" s="25" t="s">
        <v>2436</v>
      </c>
      <c r="S658" s="73" t="s">
        <v>2383</v>
      </c>
    </row>
    <row r="659" spans="1:19" x14ac:dyDescent="0.2">
      <c r="A659" s="1">
        <v>653</v>
      </c>
      <c r="B659" s="1" t="s">
        <v>555</v>
      </c>
      <c r="C659" s="1" t="s">
        <v>2446</v>
      </c>
      <c r="D659" s="1" t="s">
        <v>267</v>
      </c>
      <c r="E659" s="35" t="s">
        <v>822</v>
      </c>
      <c r="F659" s="67" t="s">
        <v>978</v>
      </c>
      <c r="G659" s="24" t="s">
        <v>1670</v>
      </c>
      <c r="H659" s="24">
        <v>64</v>
      </c>
      <c r="I659" s="25">
        <v>5</v>
      </c>
      <c r="J659" s="56">
        <v>700</v>
      </c>
      <c r="K659" s="15"/>
      <c r="L659" s="24" t="s">
        <v>2054</v>
      </c>
      <c r="M659" s="24" t="s">
        <v>2016</v>
      </c>
      <c r="N659" s="1" t="s">
        <v>2013</v>
      </c>
      <c r="O659" s="15" t="s">
        <v>2082</v>
      </c>
      <c r="P659" s="15" t="s">
        <v>2442</v>
      </c>
      <c r="Q659" s="25" t="s">
        <v>2088</v>
      </c>
      <c r="R659" s="25" t="s">
        <v>2434</v>
      </c>
      <c r="S659" s="73" t="s">
        <v>2384</v>
      </c>
    </row>
    <row r="660" spans="1:19" x14ac:dyDescent="0.2">
      <c r="A660" s="1">
        <v>654</v>
      </c>
      <c r="B660" s="1" t="s">
        <v>393</v>
      </c>
      <c r="C660" s="1" t="s">
        <v>2446</v>
      </c>
      <c r="D660" s="1" t="s">
        <v>392</v>
      </c>
      <c r="E660" s="35" t="s">
        <v>863</v>
      </c>
      <c r="F660" s="66" t="s">
        <v>967</v>
      </c>
      <c r="G660" s="24" t="s">
        <v>1671</v>
      </c>
      <c r="H660" s="24">
        <v>78</v>
      </c>
      <c r="I660" s="25">
        <v>3</v>
      </c>
      <c r="J660" s="56">
        <f>6250+670</f>
        <v>6920</v>
      </c>
      <c r="K660" s="15">
        <f>3250+500</f>
        <v>3750</v>
      </c>
      <c r="L660" s="24" t="s">
        <v>2049</v>
      </c>
      <c r="M660" s="24" t="s">
        <v>2016</v>
      </c>
      <c r="N660" s="1" t="s">
        <v>2013</v>
      </c>
      <c r="O660" s="15" t="s">
        <v>2082</v>
      </c>
      <c r="P660" s="15" t="s">
        <v>2442</v>
      </c>
      <c r="Q660" s="25" t="s">
        <v>2088</v>
      </c>
      <c r="R660" s="25" t="s">
        <v>2437</v>
      </c>
      <c r="S660" s="73" t="s">
        <v>2181</v>
      </c>
    </row>
    <row r="661" spans="1:19" x14ac:dyDescent="0.2">
      <c r="A661" s="1">
        <v>655</v>
      </c>
      <c r="B661" s="1" t="s">
        <v>395</v>
      </c>
      <c r="C661" s="1" t="s">
        <v>2446</v>
      </c>
      <c r="D661" s="1" t="s">
        <v>394</v>
      </c>
      <c r="E661" s="35" t="s">
        <v>822</v>
      </c>
      <c r="F661" s="67" t="s">
        <v>979</v>
      </c>
      <c r="G661" s="24" t="s">
        <v>1672</v>
      </c>
      <c r="H661" s="24">
        <v>54</v>
      </c>
      <c r="I661" s="25">
        <v>2</v>
      </c>
      <c r="J661" s="56">
        <f>3840+670</f>
        <v>4510</v>
      </c>
      <c r="K661" s="15">
        <f>2050+500</f>
        <v>2550</v>
      </c>
      <c r="L661" s="24" t="s">
        <v>2052</v>
      </c>
      <c r="M661" s="24" t="s">
        <v>2020</v>
      </c>
      <c r="N661" s="1" t="s">
        <v>2013</v>
      </c>
      <c r="O661" s="15" t="s">
        <v>2082</v>
      </c>
      <c r="P661" s="15" t="s">
        <v>2442</v>
      </c>
      <c r="Q661" s="25" t="s">
        <v>2088</v>
      </c>
      <c r="R661" s="25" t="s">
        <v>2435</v>
      </c>
      <c r="S661" s="73" t="s">
        <v>2359</v>
      </c>
    </row>
    <row r="662" spans="1:19" x14ac:dyDescent="0.2">
      <c r="A662" s="1">
        <v>656</v>
      </c>
      <c r="B662" s="1" t="s">
        <v>555</v>
      </c>
      <c r="C662" s="1" t="s">
        <v>2446</v>
      </c>
      <c r="D662" s="1" t="s">
        <v>2629</v>
      </c>
      <c r="E662" s="35" t="s">
        <v>863</v>
      </c>
      <c r="F662" s="66" t="s">
        <v>968</v>
      </c>
      <c r="G662" s="24" t="s">
        <v>1673</v>
      </c>
      <c r="H662" s="24">
        <v>32</v>
      </c>
      <c r="I662" s="25">
        <v>4</v>
      </c>
      <c r="J662" s="56">
        <f>3420+560-70</f>
        <v>3910</v>
      </c>
      <c r="K662" s="15">
        <f>560+20*128</f>
        <v>3120</v>
      </c>
      <c r="L662" s="24" t="s">
        <v>2041</v>
      </c>
      <c r="M662" s="24" t="s">
        <v>2024</v>
      </c>
      <c r="N662" s="1" t="s">
        <v>2013</v>
      </c>
      <c r="O662" s="15" t="s">
        <v>2082</v>
      </c>
      <c r="P662" s="15" t="s">
        <v>2442</v>
      </c>
      <c r="Q662" s="25" t="s">
        <v>2089</v>
      </c>
      <c r="R662" s="25" t="s">
        <v>2434</v>
      </c>
      <c r="S662" s="73" t="s">
        <v>2385</v>
      </c>
    </row>
    <row r="663" spans="1:19" x14ac:dyDescent="0.2">
      <c r="A663" s="1">
        <v>657</v>
      </c>
      <c r="B663" s="1" t="s">
        <v>397</v>
      </c>
      <c r="C663" s="1" t="s">
        <v>2446</v>
      </c>
      <c r="D663" s="1" t="s">
        <v>396</v>
      </c>
      <c r="E663" s="35" t="s">
        <v>864</v>
      </c>
      <c r="F663" s="67" t="s">
        <v>980</v>
      </c>
      <c r="G663" s="24" t="s">
        <v>1674</v>
      </c>
      <c r="H663" s="16">
        <v>24</v>
      </c>
      <c r="I663" s="25">
        <v>1</v>
      </c>
      <c r="J663" s="56">
        <v>3450</v>
      </c>
      <c r="K663" s="15">
        <v>1050</v>
      </c>
      <c r="L663" s="24" t="s">
        <v>2017</v>
      </c>
      <c r="M663" s="24" t="s">
        <v>2016</v>
      </c>
      <c r="N663" s="1" t="s">
        <v>2013</v>
      </c>
      <c r="O663" s="15" t="s">
        <v>2082</v>
      </c>
      <c r="P663" s="15" t="s">
        <v>2442</v>
      </c>
      <c r="Q663" s="25" t="s">
        <v>2087</v>
      </c>
      <c r="R663" s="25" t="s">
        <v>2436</v>
      </c>
      <c r="S663" s="73" t="s">
        <v>2303</v>
      </c>
    </row>
    <row r="664" spans="1:19" x14ac:dyDescent="0.2">
      <c r="A664" s="1">
        <v>658</v>
      </c>
      <c r="B664" s="1" t="s">
        <v>399</v>
      </c>
      <c r="C664" s="1" t="s">
        <v>2446</v>
      </c>
      <c r="D664" s="1" t="s">
        <v>398</v>
      </c>
      <c r="E664" s="35" t="s">
        <v>823</v>
      </c>
      <c r="F664" s="66" t="s">
        <v>969</v>
      </c>
      <c r="G664" s="24" t="s">
        <v>1675</v>
      </c>
      <c r="H664" s="16">
        <v>57</v>
      </c>
      <c r="I664" s="25">
        <v>5</v>
      </c>
      <c r="J664" s="63">
        <v>5570</v>
      </c>
      <c r="K664" s="15">
        <v>2470</v>
      </c>
      <c r="L664" s="24" t="s">
        <v>2044</v>
      </c>
      <c r="M664" s="24" t="s">
        <v>2020</v>
      </c>
      <c r="N664" s="1" t="s">
        <v>2013</v>
      </c>
      <c r="O664" s="15" t="s">
        <v>2082</v>
      </c>
      <c r="P664" s="15" t="s">
        <v>2442</v>
      </c>
      <c r="Q664" s="25" t="s">
        <v>2086</v>
      </c>
      <c r="R664" s="25" t="s">
        <v>2437</v>
      </c>
      <c r="S664" s="73" t="s">
        <v>2313</v>
      </c>
    </row>
    <row r="665" spans="1:19" x14ac:dyDescent="0.2">
      <c r="A665" s="1">
        <v>659</v>
      </c>
      <c r="B665" s="1" t="s">
        <v>555</v>
      </c>
      <c r="C665" s="1" t="s">
        <v>2446</v>
      </c>
      <c r="D665" s="1" t="s">
        <v>2630</v>
      </c>
      <c r="E665" s="35" t="s">
        <v>823</v>
      </c>
      <c r="F665" s="67" t="s">
        <v>970</v>
      </c>
      <c r="G665" s="24" t="s">
        <v>1676</v>
      </c>
      <c r="H665" s="16">
        <v>35</v>
      </c>
      <c r="I665" s="25">
        <v>2</v>
      </c>
      <c r="J665" s="56">
        <f>700+500</f>
        <v>1200</v>
      </c>
      <c r="K665" s="15"/>
      <c r="L665" s="24" t="s">
        <v>2018</v>
      </c>
      <c r="M665" s="24" t="s">
        <v>2020</v>
      </c>
      <c r="N665" s="1" t="s">
        <v>2013</v>
      </c>
      <c r="O665" s="15" t="s">
        <v>2082</v>
      </c>
      <c r="P665" s="15" t="s">
        <v>2442</v>
      </c>
      <c r="Q665" s="25" t="s">
        <v>2087</v>
      </c>
      <c r="R665" s="25" t="s">
        <v>2435</v>
      </c>
      <c r="S665" s="73" t="s">
        <v>2189</v>
      </c>
    </row>
    <row r="666" spans="1:19" x14ac:dyDescent="0.2">
      <c r="A666" s="1">
        <v>660</v>
      </c>
      <c r="B666" s="1" t="s">
        <v>401</v>
      </c>
      <c r="C666" s="1" t="s">
        <v>2446</v>
      </c>
      <c r="D666" s="1" t="s">
        <v>400</v>
      </c>
      <c r="E666" s="35" t="s">
        <v>823</v>
      </c>
      <c r="F666" s="66" t="s">
        <v>970</v>
      </c>
      <c r="G666" s="24" t="s">
        <v>1677</v>
      </c>
      <c r="H666" s="16">
        <v>40</v>
      </c>
      <c r="I666" s="25">
        <v>3</v>
      </c>
      <c r="J666" s="56">
        <f>11150+750</f>
        <v>11900</v>
      </c>
      <c r="K666" s="15">
        <f>4400+560</f>
        <v>4960</v>
      </c>
      <c r="L666" s="24" t="s">
        <v>2027</v>
      </c>
      <c r="M666" s="24" t="s">
        <v>2014</v>
      </c>
      <c r="N666" s="1" t="s">
        <v>2013</v>
      </c>
      <c r="O666" s="15" t="s">
        <v>2082</v>
      </c>
      <c r="P666" s="15" t="s">
        <v>2442</v>
      </c>
      <c r="Q666" s="25" t="s">
        <v>2084</v>
      </c>
      <c r="R666" s="25" t="s">
        <v>2436</v>
      </c>
      <c r="S666" s="73" t="s">
        <v>2253</v>
      </c>
    </row>
    <row r="667" spans="1:19" x14ac:dyDescent="0.2">
      <c r="A667" s="1">
        <v>661</v>
      </c>
      <c r="B667" s="1" t="s">
        <v>403</v>
      </c>
      <c r="C667" s="1" t="s">
        <v>2446</v>
      </c>
      <c r="D667" s="1" t="s">
        <v>402</v>
      </c>
      <c r="E667" s="35" t="s">
        <v>863</v>
      </c>
      <c r="F667" s="67" t="s">
        <v>25</v>
      </c>
      <c r="G667" s="24" t="s">
        <v>1678</v>
      </c>
      <c r="H667" s="16">
        <v>21</v>
      </c>
      <c r="I667" s="25">
        <v>4</v>
      </c>
      <c r="J667" s="63">
        <v>7030</v>
      </c>
      <c r="K667" s="37">
        <v>4430</v>
      </c>
      <c r="L667" s="24" t="s">
        <v>2031</v>
      </c>
      <c r="M667" s="24" t="s">
        <v>2016</v>
      </c>
      <c r="N667" s="1" t="s">
        <v>2013</v>
      </c>
      <c r="O667" s="15" t="s">
        <v>2082</v>
      </c>
      <c r="P667" s="15" t="s">
        <v>2442</v>
      </c>
      <c r="Q667" s="25" t="s">
        <v>2089</v>
      </c>
      <c r="R667" s="25" t="s">
        <v>2434</v>
      </c>
      <c r="S667" s="73" t="s">
        <v>2386</v>
      </c>
    </row>
    <row r="668" spans="1:19" x14ac:dyDescent="0.2">
      <c r="A668" s="1">
        <v>662</v>
      </c>
      <c r="B668" s="1" t="s">
        <v>404</v>
      </c>
      <c r="C668" s="1" t="s">
        <v>2445</v>
      </c>
      <c r="D668" s="1" t="s">
        <v>869</v>
      </c>
      <c r="E668" s="35" t="s">
        <v>817</v>
      </c>
      <c r="F668" s="66" t="s">
        <v>971</v>
      </c>
      <c r="G668" s="24" t="s">
        <v>1679</v>
      </c>
      <c r="H668" s="16">
        <v>59</v>
      </c>
      <c r="I668" s="25">
        <v>1</v>
      </c>
      <c r="J668" s="56">
        <v>3200</v>
      </c>
      <c r="K668" s="15">
        <v>600</v>
      </c>
      <c r="L668" s="24" t="s">
        <v>2021</v>
      </c>
      <c r="M668" s="24" t="s">
        <v>2020</v>
      </c>
      <c r="N668" s="1" t="s">
        <v>2013</v>
      </c>
      <c r="O668" s="15" t="s">
        <v>2082</v>
      </c>
      <c r="P668" s="15" t="s">
        <v>2442</v>
      </c>
      <c r="Q668" s="25" t="s">
        <v>2084</v>
      </c>
      <c r="R668" s="25" t="s">
        <v>2437</v>
      </c>
      <c r="S668" s="73" t="s">
        <v>2249</v>
      </c>
    </row>
    <row r="669" spans="1:19" x14ac:dyDescent="0.2">
      <c r="A669" s="1">
        <v>663</v>
      </c>
      <c r="B669" s="1" t="s">
        <v>406</v>
      </c>
      <c r="C669" s="1" t="s">
        <v>2446</v>
      </c>
      <c r="D669" s="1" t="s">
        <v>405</v>
      </c>
      <c r="E669" s="35" t="s">
        <v>864</v>
      </c>
      <c r="F669" s="67" t="s">
        <v>881</v>
      </c>
      <c r="G669" s="24" t="s">
        <v>1680</v>
      </c>
      <c r="H669" s="16">
        <v>32</v>
      </c>
      <c r="I669" s="25">
        <v>5</v>
      </c>
      <c r="J669" s="56">
        <v>4600</v>
      </c>
      <c r="K669" s="15">
        <v>2300</v>
      </c>
      <c r="L669" s="24" t="s">
        <v>2021</v>
      </c>
      <c r="M669" s="24" t="s">
        <v>2020</v>
      </c>
      <c r="N669" s="1" t="s">
        <v>2013</v>
      </c>
      <c r="O669" s="15" t="s">
        <v>2082</v>
      </c>
      <c r="P669" s="15" t="s">
        <v>2442</v>
      </c>
      <c r="Q669" s="25" t="s">
        <v>2090</v>
      </c>
      <c r="R669" s="25" t="s">
        <v>2435</v>
      </c>
      <c r="S669" s="73" t="s">
        <v>2110</v>
      </c>
    </row>
    <row r="670" spans="1:19" x14ac:dyDescent="0.2">
      <c r="A670" s="1">
        <v>664</v>
      </c>
      <c r="B670" s="1" t="s">
        <v>408</v>
      </c>
      <c r="C670" s="1" t="s">
        <v>2446</v>
      </c>
      <c r="D670" s="1" t="s">
        <v>407</v>
      </c>
      <c r="E670" s="35" t="s">
        <v>2776</v>
      </c>
      <c r="F670" s="66" t="s">
        <v>972</v>
      </c>
      <c r="G670" s="24" t="s">
        <v>1681</v>
      </c>
      <c r="H670" s="16">
        <v>46</v>
      </c>
      <c r="I670" s="25">
        <v>3</v>
      </c>
      <c r="J670" s="56">
        <v>2240</v>
      </c>
      <c r="K670" s="15">
        <v>1100</v>
      </c>
      <c r="L670" s="24" t="s">
        <v>2023</v>
      </c>
      <c r="M670" s="24" t="s">
        <v>2016</v>
      </c>
      <c r="N670" s="1" t="s">
        <v>2013</v>
      </c>
      <c r="O670" s="15" t="s">
        <v>2082</v>
      </c>
      <c r="P670" s="15" t="s">
        <v>2442</v>
      </c>
      <c r="Q670" s="25" t="s">
        <v>2088</v>
      </c>
      <c r="R670" s="25" t="s">
        <v>2434</v>
      </c>
      <c r="S670" s="73" t="s">
        <v>2179</v>
      </c>
    </row>
    <row r="671" spans="1:19" x14ac:dyDescent="0.2">
      <c r="A671" s="1">
        <v>665</v>
      </c>
      <c r="B671" s="1" t="s">
        <v>409</v>
      </c>
      <c r="C671" s="1" t="s">
        <v>2446</v>
      </c>
      <c r="D671" s="1" t="s">
        <v>2631</v>
      </c>
      <c r="E671" s="35" t="s">
        <v>864</v>
      </c>
      <c r="F671" s="67" t="s">
        <v>981</v>
      </c>
      <c r="G671" s="24" t="s">
        <v>1682</v>
      </c>
      <c r="H671" s="16">
        <v>54</v>
      </c>
      <c r="I671" s="25">
        <v>2</v>
      </c>
      <c r="J671" s="56">
        <v>16420</v>
      </c>
      <c r="K671" s="15">
        <v>8500</v>
      </c>
      <c r="L671" s="24" t="s">
        <v>2049</v>
      </c>
      <c r="M671" s="24" t="s">
        <v>2016</v>
      </c>
      <c r="N671" s="1" t="s">
        <v>2013</v>
      </c>
      <c r="O671" s="15" t="s">
        <v>2082</v>
      </c>
      <c r="P671" s="15" t="s">
        <v>2442</v>
      </c>
      <c r="Q671" s="25" t="s">
        <v>2090</v>
      </c>
      <c r="R671" s="25" t="s">
        <v>2436</v>
      </c>
      <c r="S671" s="73" t="s">
        <v>2330</v>
      </c>
    </row>
    <row r="672" spans="1:19" x14ac:dyDescent="0.2">
      <c r="A672" s="1">
        <v>666</v>
      </c>
      <c r="B672" s="1" t="s">
        <v>67</v>
      </c>
      <c r="C672" s="1" t="s">
        <v>2446</v>
      </c>
      <c r="D672" s="1" t="s">
        <v>410</v>
      </c>
      <c r="E672" s="35" t="s">
        <v>822</v>
      </c>
      <c r="F672" s="66" t="s">
        <v>973</v>
      </c>
      <c r="G672" s="24" t="s">
        <v>1683</v>
      </c>
      <c r="H672" s="16">
        <v>25</v>
      </c>
      <c r="I672" s="25">
        <v>4</v>
      </c>
      <c r="J672" s="56">
        <v>3090</v>
      </c>
      <c r="K672" s="15">
        <v>1550</v>
      </c>
      <c r="L672" s="24" t="s">
        <v>2041</v>
      </c>
      <c r="M672" s="24" t="s">
        <v>2014</v>
      </c>
      <c r="N672" s="1" t="s">
        <v>2013</v>
      </c>
      <c r="O672" s="15" t="s">
        <v>2082</v>
      </c>
      <c r="P672" s="15" t="s">
        <v>2442</v>
      </c>
      <c r="Q672" s="25" t="s">
        <v>2087</v>
      </c>
      <c r="R672" s="25" t="s">
        <v>2437</v>
      </c>
      <c r="S672" s="73" t="s">
        <v>2387</v>
      </c>
    </row>
    <row r="673" spans="1:19" x14ac:dyDescent="0.2">
      <c r="A673" s="1">
        <v>667</v>
      </c>
      <c r="B673" s="1" t="s">
        <v>412</v>
      </c>
      <c r="C673" s="1" t="s">
        <v>2446</v>
      </c>
      <c r="D673" s="1" t="s">
        <v>411</v>
      </c>
      <c r="E673" s="35" t="s">
        <v>863</v>
      </c>
      <c r="F673" s="66" t="s">
        <v>321</v>
      </c>
      <c r="G673" s="24" t="s">
        <v>1684</v>
      </c>
      <c r="H673" s="16">
        <v>43</v>
      </c>
      <c r="I673" s="25">
        <v>1</v>
      </c>
      <c r="J673" s="56">
        <v>3950</v>
      </c>
      <c r="K673" s="15">
        <v>2750</v>
      </c>
      <c r="L673" s="24" t="s">
        <v>2055</v>
      </c>
      <c r="M673" s="24" t="s">
        <v>2014</v>
      </c>
      <c r="N673" s="1" t="s">
        <v>2013</v>
      </c>
      <c r="O673" s="15" t="s">
        <v>2082</v>
      </c>
      <c r="P673" s="15" t="s">
        <v>2442</v>
      </c>
      <c r="Q673" s="25" t="s">
        <v>2089</v>
      </c>
      <c r="R673" s="25" t="s">
        <v>2435</v>
      </c>
      <c r="S673" s="73" t="s">
        <v>2388</v>
      </c>
    </row>
    <row r="674" spans="1:19" x14ac:dyDescent="0.2">
      <c r="A674" s="1">
        <v>668</v>
      </c>
      <c r="B674" s="1" t="s">
        <v>414</v>
      </c>
      <c r="C674" s="1" t="s">
        <v>2446</v>
      </c>
      <c r="D674" s="1" t="s">
        <v>413</v>
      </c>
      <c r="E674" s="35" t="s">
        <v>822</v>
      </c>
      <c r="F674" s="66" t="s">
        <v>982</v>
      </c>
      <c r="G674" s="24" t="s">
        <v>1685</v>
      </c>
      <c r="H674" s="16">
        <v>58</v>
      </c>
      <c r="I674" s="25">
        <v>5</v>
      </c>
      <c r="J674" s="56">
        <f>5930+750</f>
        <v>6680</v>
      </c>
      <c r="K674" s="15">
        <f>3500+650</f>
        <v>4150</v>
      </c>
      <c r="L674" s="24" t="s">
        <v>2051</v>
      </c>
      <c r="M674" s="24" t="s">
        <v>2020</v>
      </c>
      <c r="N674" s="1" t="s">
        <v>2013</v>
      </c>
      <c r="O674" s="15" t="s">
        <v>2082</v>
      </c>
      <c r="P674" s="15" t="s">
        <v>2442</v>
      </c>
      <c r="Q674" s="25" t="s">
        <v>2089</v>
      </c>
      <c r="R674" s="25" t="s">
        <v>2436</v>
      </c>
      <c r="S674" s="73" t="s">
        <v>2212</v>
      </c>
    </row>
    <row r="675" spans="1:19" x14ac:dyDescent="0.2">
      <c r="A675" s="1">
        <v>669</v>
      </c>
      <c r="B675" s="1" t="s">
        <v>416</v>
      </c>
      <c r="C675" s="1" t="s">
        <v>2446</v>
      </c>
      <c r="D675" s="1" t="s">
        <v>415</v>
      </c>
      <c r="E675" s="35" t="s">
        <v>863</v>
      </c>
      <c r="F675" s="66" t="s">
        <v>904</v>
      </c>
      <c r="G675" s="24" t="s">
        <v>1686</v>
      </c>
      <c r="H675" s="16">
        <v>20</v>
      </c>
      <c r="I675" s="25">
        <v>2</v>
      </c>
      <c r="J675" s="56">
        <f>3090+220</f>
        <v>3310</v>
      </c>
      <c r="K675" s="15">
        <f>1180+97</f>
        <v>1277</v>
      </c>
      <c r="L675" s="24" t="s">
        <v>2062</v>
      </c>
      <c r="M675" s="24" t="s">
        <v>2014</v>
      </c>
      <c r="N675" s="1" t="s">
        <v>2013</v>
      </c>
      <c r="O675" s="15" t="s">
        <v>2082</v>
      </c>
      <c r="P675" s="15" t="s">
        <v>2442</v>
      </c>
      <c r="Q675" s="25" t="s">
        <v>2086</v>
      </c>
      <c r="R675" s="25" t="s">
        <v>2434</v>
      </c>
      <c r="S675" s="73" t="s">
        <v>2375</v>
      </c>
    </row>
    <row r="676" spans="1:19" x14ac:dyDescent="0.2">
      <c r="A676" s="1">
        <v>670</v>
      </c>
      <c r="B676" s="1" t="s">
        <v>418</v>
      </c>
      <c r="C676" s="1" t="s">
        <v>2446</v>
      </c>
      <c r="D676" s="1" t="s">
        <v>417</v>
      </c>
      <c r="E676" s="35" t="s">
        <v>864</v>
      </c>
      <c r="F676" s="66" t="s">
        <v>983</v>
      </c>
      <c r="G676" s="24" t="s">
        <v>1687</v>
      </c>
      <c r="H676" s="16">
        <v>49</v>
      </c>
      <c r="I676" s="25">
        <v>3</v>
      </c>
      <c r="J676" s="56">
        <v>3790</v>
      </c>
      <c r="K676" s="15">
        <v>1780</v>
      </c>
      <c r="L676" s="24" t="s">
        <v>2060</v>
      </c>
      <c r="M676" s="24" t="s">
        <v>2024</v>
      </c>
      <c r="N676" s="1" t="s">
        <v>2013</v>
      </c>
      <c r="O676" s="15" t="s">
        <v>2082</v>
      </c>
      <c r="P676" s="15" t="s">
        <v>2442</v>
      </c>
      <c r="Q676" s="25" t="s">
        <v>2087</v>
      </c>
      <c r="R676" s="25" t="s">
        <v>2437</v>
      </c>
      <c r="S676" s="73" t="s">
        <v>2347</v>
      </c>
    </row>
    <row r="677" spans="1:19" x14ac:dyDescent="0.2">
      <c r="A677" s="1">
        <v>671</v>
      </c>
      <c r="B677" s="1" t="s">
        <v>131</v>
      </c>
      <c r="C677" s="1" t="s">
        <v>2446</v>
      </c>
      <c r="D677" s="1" t="s">
        <v>419</v>
      </c>
      <c r="E677" s="35" t="s">
        <v>822</v>
      </c>
      <c r="F677" s="66" t="s">
        <v>914</v>
      </c>
      <c r="G677" s="24" t="s">
        <v>1688</v>
      </c>
      <c r="H677" s="24">
        <v>25</v>
      </c>
      <c r="I677" s="25">
        <v>4</v>
      </c>
      <c r="J677" s="56">
        <v>3990</v>
      </c>
      <c r="K677" s="15">
        <v>2200</v>
      </c>
      <c r="L677" s="24" t="s">
        <v>2054</v>
      </c>
      <c r="M677" s="24" t="s">
        <v>2016</v>
      </c>
      <c r="N677" s="1" t="s">
        <v>2013</v>
      </c>
      <c r="O677" s="15" t="s">
        <v>2082</v>
      </c>
      <c r="P677" s="15" t="s">
        <v>2442</v>
      </c>
      <c r="Q677" s="25" t="s">
        <v>2086</v>
      </c>
      <c r="R677" s="25" t="s">
        <v>2435</v>
      </c>
      <c r="S677" s="73" t="s">
        <v>2295</v>
      </c>
    </row>
    <row r="678" spans="1:19" x14ac:dyDescent="0.2">
      <c r="A678" s="1">
        <v>672</v>
      </c>
      <c r="B678" s="1" t="s">
        <v>421</v>
      </c>
      <c r="C678" s="1" t="s">
        <v>2446</v>
      </c>
      <c r="D678" s="1" t="s">
        <v>420</v>
      </c>
      <c r="E678" s="35" t="s">
        <v>863</v>
      </c>
      <c r="F678" s="66" t="s">
        <v>984</v>
      </c>
      <c r="G678" s="24" t="s">
        <v>1689</v>
      </c>
      <c r="H678" s="24">
        <v>31</v>
      </c>
      <c r="I678" s="25">
        <v>1</v>
      </c>
      <c r="J678" s="56">
        <v>4800</v>
      </c>
      <c r="K678" s="15">
        <v>2300</v>
      </c>
      <c r="L678" s="24" t="s">
        <v>2034</v>
      </c>
      <c r="M678" s="24" t="s">
        <v>2016</v>
      </c>
      <c r="N678" s="1" t="s">
        <v>2013</v>
      </c>
      <c r="O678" s="15" t="s">
        <v>2082</v>
      </c>
      <c r="P678" s="15" t="s">
        <v>2442</v>
      </c>
      <c r="Q678" s="25" t="s">
        <v>2089</v>
      </c>
      <c r="R678" s="25" t="s">
        <v>2434</v>
      </c>
      <c r="S678" s="73" t="s">
        <v>2139</v>
      </c>
    </row>
    <row r="679" spans="1:19" x14ac:dyDescent="0.2">
      <c r="A679" s="1">
        <v>673</v>
      </c>
      <c r="B679" s="1" t="s">
        <v>422</v>
      </c>
      <c r="C679" s="1" t="s">
        <v>2446</v>
      </c>
      <c r="D679" s="1" t="s">
        <v>2632</v>
      </c>
      <c r="E679" s="35" t="s">
        <v>828</v>
      </c>
      <c r="F679" s="66" t="s">
        <v>927</v>
      </c>
      <c r="G679" s="24" t="s">
        <v>1690</v>
      </c>
      <c r="H679" s="24">
        <v>56</v>
      </c>
      <c r="I679" s="25">
        <v>5</v>
      </c>
      <c r="J679" s="56">
        <v>11850</v>
      </c>
      <c r="K679" s="15">
        <v>7100</v>
      </c>
      <c r="L679" s="24" t="s">
        <v>2026</v>
      </c>
      <c r="M679" s="24" t="s">
        <v>2020</v>
      </c>
      <c r="N679" s="1" t="s">
        <v>2013</v>
      </c>
      <c r="O679" s="15" t="s">
        <v>2082</v>
      </c>
      <c r="P679" s="15" t="s">
        <v>2442</v>
      </c>
      <c r="Q679" s="25" t="s">
        <v>2086</v>
      </c>
      <c r="R679" s="25" t="s">
        <v>2436</v>
      </c>
      <c r="S679" s="73" t="s">
        <v>2389</v>
      </c>
    </row>
    <row r="680" spans="1:19" x14ac:dyDescent="0.2">
      <c r="A680" s="1">
        <v>674</v>
      </c>
      <c r="B680" s="1" t="s">
        <v>306</v>
      </c>
      <c r="C680" s="1" t="s">
        <v>2446</v>
      </c>
      <c r="D680" s="1" t="s">
        <v>423</v>
      </c>
      <c r="E680" s="35" t="s">
        <v>823</v>
      </c>
      <c r="F680" s="67" t="s">
        <v>932</v>
      </c>
      <c r="G680" s="24" t="s">
        <v>1691</v>
      </c>
      <c r="H680" s="24">
        <v>42</v>
      </c>
      <c r="I680" s="25">
        <v>3</v>
      </c>
      <c r="J680" s="56">
        <f>4030+750</f>
        <v>4780</v>
      </c>
      <c r="K680" s="15">
        <f>2440-90+650</f>
        <v>3000</v>
      </c>
      <c r="L680" s="24" t="s">
        <v>2023</v>
      </c>
      <c r="M680" s="24" t="s">
        <v>2024</v>
      </c>
      <c r="N680" s="1" t="s">
        <v>2013</v>
      </c>
      <c r="O680" s="15" t="s">
        <v>2082</v>
      </c>
      <c r="P680" s="15" t="s">
        <v>2442</v>
      </c>
      <c r="Q680" s="25" t="s">
        <v>2089</v>
      </c>
      <c r="R680" s="25" t="s">
        <v>2437</v>
      </c>
      <c r="S680" s="73" t="s">
        <v>2270</v>
      </c>
    </row>
    <row r="681" spans="1:19" x14ac:dyDescent="0.2">
      <c r="A681" s="1">
        <v>675</v>
      </c>
      <c r="B681" s="1" t="s">
        <v>79</v>
      </c>
      <c r="C681" s="1" t="s">
        <v>2446</v>
      </c>
      <c r="D681" s="1" t="s">
        <v>2633</v>
      </c>
      <c r="E681" s="35" t="s">
        <v>823</v>
      </c>
      <c r="F681" s="66" t="s">
        <v>881</v>
      </c>
      <c r="G681" s="24" t="s">
        <v>1692</v>
      </c>
      <c r="H681" s="24">
        <v>34</v>
      </c>
      <c r="I681" s="25">
        <v>2</v>
      </c>
      <c r="J681" s="56">
        <v>15000</v>
      </c>
      <c r="K681" s="15">
        <f>12500+500</f>
        <v>13000</v>
      </c>
      <c r="L681" s="24" t="s">
        <v>2050</v>
      </c>
      <c r="M681" s="24" t="s">
        <v>2024</v>
      </c>
      <c r="N681" s="1" t="s">
        <v>2013</v>
      </c>
      <c r="O681" s="15" t="s">
        <v>2082</v>
      </c>
      <c r="P681" s="15" t="s">
        <v>2442</v>
      </c>
      <c r="Q681" s="25" t="s">
        <v>2089</v>
      </c>
      <c r="R681" s="25" t="s">
        <v>2435</v>
      </c>
      <c r="S681" s="73" t="s">
        <v>2106</v>
      </c>
    </row>
    <row r="682" spans="1:19" x14ac:dyDescent="0.2">
      <c r="A682" s="1">
        <v>676</v>
      </c>
      <c r="B682" s="1" t="s">
        <v>425</v>
      </c>
      <c r="C682" s="1" t="s">
        <v>2446</v>
      </c>
      <c r="D682" s="1" t="s">
        <v>424</v>
      </c>
      <c r="E682" s="35" t="s">
        <v>863</v>
      </c>
      <c r="F682" s="66" t="s">
        <v>883</v>
      </c>
      <c r="G682" s="24" t="s">
        <v>1693</v>
      </c>
      <c r="H682" s="24">
        <v>23</v>
      </c>
      <c r="I682" s="25">
        <v>4</v>
      </c>
      <c r="J682" s="56">
        <v>4900</v>
      </c>
      <c r="K682" s="15">
        <v>2900</v>
      </c>
      <c r="L682" s="24" t="s">
        <v>2058</v>
      </c>
      <c r="M682" s="24" t="s">
        <v>2020</v>
      </c>
      <c r="N682" s="1" t="s">
        <v>2013</v>
      </c>
      <c r="O682" s="15" t="s">
        <v>2082</v>
      </c>
      <c r="P682" s="15" t="s">
        <v>2442</v>
      </c>
      <c r="Q682" s="25" t="s">
        <v>2083</v>
      </c>
      <c r="R682" s="25" t="s">
        <v>2436</v>
      </c>
      <c r="S682" s="73" t="s">
        <v>2246</v>
      </c>
    </row>
    <row r="683" spans="1:19" x14ac:dyDescent="0.2">
      <c r="A683" s="1">
        <v>677</v>
      </c>
      <c r="B683" s="1" t="s">
        <v>427</v>
      </c>
      <c r="C683" s="1" t="s">
        <v>2446</v>
      </c>
      <c r="D683" s="1" t="s">
        <v>426</v>
      </c>
      <c r="E683" s="35" t="s">
        <v>822</v>
      </c>
      <c r="F683" s="66" t="s">
        <v>884</v>
      </c>
      <c r="G683" s="24" t="s">
        <v>1694</v>
      </c>
      <c r="H683" s="24">
        <v>56</v>
      </c>
      <c r="I683" s="25">
        <v>1</v>
      </c>
      <c r="J683" s="56">
        <v>6350</v>
      </c>
      <c r="K683" s="15">
        <v>3550</v>
      </c>
      <c r="L683" s="24" t="s">
        <v>2048</v>
      </c>
      <c r="M683" s="24" t="s">
        <v>2014</v>
      </c>
      <c r="N683" s="1" t="s">
        <v>2013</v>
      </c>
      <c r="O683" s="15" t="s">
        <v>2082</v>
      </c>
      <c r="P683" s="15" t="s">
        <v>2442</v>
      </c>
      <c r="Q683" s="25" t="s">
        <v>2088</v>
      </c>
      <c r="R683" s="25" t="s">
        <v>2434</v>
      </c>
      <c r="S683" s="73" t="s">
        <v>2236</v>
      </c>
    </row>
    <row r="684" spans="1:19" x14ac:dyDescent="0.2">
      <c r="A684" s="1">
        <v>678</v>
      </c>
      <c r="B684" s="1" t="s">
        <v>555</v>
      </c>
      <c r="C684" s="1" t="s">
        <v>2446</v>
      </c>
      <c r="D684" s="1" t="s">
        <v>2634</v>
      </c>
      <c r="E684" s="35" t="s">
        <v>864</v>
      </c>
      <c r="F684" s="67" t="s">
        <v>931</v>
      </c>
      <c r="G684" s="24" t="s">
        <v>1695</v>
      </c>
      <c r="H684" s="24">
        <v>24</v>
      </c>
      <c r="I684" s="25">
        <v>5</v>
      </c>
      <c r="J684" s="56">
        <v>1600</v>
      </c>
      <c r="K684" s="15"/>
      <c r="L684" s="24" t="s">
        <v>2030</v>
      </c>
      <c r="M684" s="24" t="s">
        <v>2024</v>
      </c>
      <c r="N684" s="1" t="s">
        <v>2013</v>
      </c>
      <c r="O684" s="15" t="s">
        <v>2082</v>
      </c>
      <c r="P684" s="15" t="s">
        <v>2442</v>
      </c>
      <c r="Q684" s="25" t="s">
        <v>2086</v>
      </c>
      <c r="R684" s="25" t="s">
        <v>2437</v>
      </c>
      <c r="S684" s="73" t="s">
        <v>2096</v>
      </c>
    </row>
    <row r="685" spans="1:19" x14ac:dyDescent="0.2">
      <c r="A685" s="1">
        <v>679</v>
      </c>
      <c r="B685" s="1" t="s">
        <v>555</v>
      </c>
      <c r="C685" s="1" t="s">
        <v>2446</v>
      </c>
      <c r="D685" s="1" t="s">
        <v>2635</v>
      </c>
      <c r="E685" s="35" t="s">
        <v>863</v>
      </c>
      <c r="F685" s="66" t="s">
        <v>929</v>
      </c>
      <c r="G685" s="24" t="s">
        <v>1696</v>
      </c>
      <c r="H685" s="24">
        <v>64</v>
      </c>
      <c r="I685" s="25">
        <v>2</v>
      </c>
      <c r="J685" s="56">
        <v>500</v>
      </c>
      <c r="K685" s="15"/>
      <c r="L685" s="24" t="s">
        <v>2044</v>
      </c>
      <c r="M685" s="24" t="s">
        <v>2020</v>
      </c>
      <c r="N685" s="1" t="s">
        <v>2013</v>
      </c>
      <c r="O685" s="15" t="s">
        <v>2082</v>
      </c>
      <c r="P685" s="15" t="s">
        <v>2442</v>
      </c>
      <c r="Q685" s="25" t="s">
        <v>2086</v>
      </c>
      <c r="R685" s="25" t="s">
        <v>2435</v>
      </c>
      <c r="S685" s="73" t="s">
        <v>2390</v>
      </c>
    </row>
    <row r="686" spans="1:19" x14ac:dyDescent="0.2">
      <c r="A686" s="1">
        <v>680</v>
      </c>
      <c r="B686" s="1" t="s">
        <v>79</v>
      </c>
      <c r="C686" s="1" t="s">
        <v>2446</v>
      </c>
      <c r="D686" s="1" t="s">
        <v>428</v>
      </c>
      <c r="E686" s="35" t="s">
        <v>864</v>
      </c>
      <c r="F686" s="66" t="s">
        <v>882</v>
      </c>
      <c r="G686" s="24" t="s">
        <v>1697</v>
      </c>
      <c r="H686" s="24">
        <v>64</v>
      </c>
      <c r="I686" s="25">
        <v>3</v>
      </c>
      <c r="J686" s="56">
        <v>2550</v>
      </c>
      <c r="K686" s="15">
        <v>1600</v>
      </c>
      <c r="L686" s="24" t="s">
        <v>2058</v>
      </c>
      <c r="M686" s="24" t="s">
        <v>2020</v>
      </c>
      <c r="N686" s="1" t="s">
        <v>2013</v>
      </c>
      <c r="O686" s="15" t="s">
        <v>2082</v>
      </c>
      <c r="P686" s="15" t="s">
        <v>2442</v>
      </c>
      <c r="Q686" s="25" t="s">
        <v>2083</v>
      </c>
      <c r="R686" s="25" t="s">
        <v>2434</v>
      </c>
      <c r="S686" s="73" t="s">
        <v>2245</v>
      </c>
    </row>
    <row r="687" spans="1:19" x14ac:dyDescent="0.2">
      <c r="A687" s="1">
        <v>681</v>
      </c>
      <c r="B687" s="1" t="s">
        <v>430</v>
      </c>
      <c r="C687" s="1" t="s">
        <v>2446</v>
      </c>
      <c r="D687" s="1" t="s">
        <v>429</v>
      </c>
      <c r="E687" s="35" t="s">
        <v>822</v>
      </c>
      <c r="F687" s="66" t="s">
        <v>880</v>
      </c>
      <c r="G687" s="24" t="s">
        <v>1698</v>
      </c>
      <c r="H687" s="24">
        <v>23</v>
      </c>
      <c r="I687" s="25">
        <v>4</v>
      </c>
      <c r="J687" s="56">
        <v>4290</v>
      </c>
      <c r="K687" s="15">
        <v>2090</v>
      </c>
      <c r="L687" s="24" t="s">
        <v>2044</v>
      </c>
      <c r="M687" s="24" t="s">
        <v>2020</v>
      </c>
      <c r="N687" s="1" t="s">
        <v>2013</v>
      </c>
      <c r="O687" s="15" t="s">
        <v>2082</v>
      </c>
      <c r="P687" s="15" t="s">
        <v>2442</v>
      </c>
      <c r="Q687" s="25" t="s">
        <v>2083</v>
      </c>
      <c r="R687" s="25" t="s">
        <v>2436</v>
      </c>
      <c r="S687" s="73" t="s">
        <v>2248</v>
      </c>
    </row>
    <row r="688" spans="1:19" x14ac:dyDescent="0.2">
      <c r="A688" s="1">
        <v>682</v>
      </c>
      <c r="B688" s="1" t="s">
        <v>431</v>
      </c>
      <c r="C688" s="1" t="s">
        <v>2446</v>
      </c>
      <c r="D688" s="1" t="s">
        <v>413</v>
      </c>
      <c r="E688" s="35" t="s">
        <v>863</v>
      </c>
      <c r="F688" s="66" t="s">
        <v>878</v>
      </c>
      <c r="G688" s="24" t="s">
        <v>1699</v>
      </c>
      <c r="H688" s="24">
        <v>19</v>
      </c>
      <c r="I688" s="25">
        <v>3</v>
      </c>
      <c r="J688" s="56">
        <f>6750+750</f>
        <v>7500</v>
      </c>
      <c r="K688" s="15">
        <f>4050+650</f>
        <v>4700</v>
      </c>
      <c r="L688" s="24" t="s">
        <v>2034</v>
      </c>
      <c r="M688" s="24" t="s">
        <v>2016</v>
      </c>
      <c r="N688" s="1" t="s">
        <v>2013</v>
      </c>
      <c r="O688" s="15" t="s">
        <v>2082</v>
      </c>
      <c r="P688" s="15" t="s">
        <v>2442</v>
      </c>
      <c r="Q688" s="25" t="s">
        <v>2089</v>
      </c>
      <c r="R688" s="25" t="s">
        <v>2437</v>
      </c>
      <c r="S688" s="73" t="s">
        <v>2391</v>
      </c>
    </row>
    <row r="689" spans="1:19" x14ac:dyDescent="0.2">
      <c r="A689" s="1">
        <v>683</v>
      </c>
      <c r="B689" s="1" t="s">
        <v>555</v>
      </c>
      <c r="C689" s="1" t="s">
        <v>2446</v>
      </c>
      <c r="D689" s="1" t="s">
        <v>2636</v>
      </c>
      <c r="E689" s="35" t="s">
        <v>822</v>
      </c>
      <c r="F689" s="66" t="s">
        <v>879</v>
      </c>
      <c r="G689" s="24" t="s">
        <v>1700</v>
      </c>
      <c r="H689" s="24">
        <v>21</v>
      </c>
      <c r="I689" s="25">
        <v>1</v>
      </c>
      <c r="J689" s="56">
        <v>500</v>
      </c>
      <c r="K689" s="15"/>
      <c r="L689" s="24" t="s">
        <v>2060</v>
      </c>
      <c r="M689" s="24" t="s">
        <v>2024</v>
      </c>
      <c r="N689" s="1" t="s">
        <v>2013</v>
      </c>
      <c r="O689" s="15" t="s">
        <v>2082</v>
      </c>
      <c r="P689" s="15" t="s">
        <v>2442</v>
      </c>
      <c r="Q689" s="25" t="s">
        <v>2088</v>
      </c>
      <c r="R689" s="25" t="s">
        <v>2435</v>
      </c>
      <c r="S689" s="73" t="s">
        <v>2143</v>
      </c>
    </row>
    <row r="690" spans="1:19" x14ac:dyDescent="0.2">
      <c r="A690" s="1">
        <v>684</v>
      </c>
      <c r="B690" s="1" t="s">
        <v>79</v>
      </c>
      <c r="C690" s="1" t="s">
        <v>2446</v>
      </c>
      <c r="D690" s="1" t="s">
        <v>432</v>
      </c>
      <c r="E690" s="35" t="s">
        <v>864</v>
      </c>
      <c r="F690" s="66" t="s">
        <v>880</v>
      </c>
      <c r="G690" s="24" t="s">
        <v>1701</v>
      </c>
      <c r="H690" s="24">
        <v>56</v>
      </c>
      <c r="I690" s="25">
        <v>4</v>
      </c>
      <c r="J690" s="56">
        <v>2890</v>
      </c>
      <c r="K690" s="15">
        <v>1890</v>
      </c>
      <c r="L690" s="24" t="s">
        <v>2050</v>
      </c>
      <c r="M690" s="24" t="s">
        <v>2024</v>
      </c>
      <c r="N690" s="1" t="s">
        <v>2013</v>
      </c>
      <c r="O690" s="15" t="s">
        <v>2082</v>
      </c>
      <c r="P690" s="15" t="s">
        <v>2442</v>
      </c>
      <c r="Q690" s="25" t="s">
        <v>2088</v>
      </c>
      <c r="R690" s="25" t="s">
        <v>2436</v>
      </c>
      <c r="S690" s="73" t="s">
        <v>2217</v>
      </c>
    </row>
    <row r="691" spans="1:19" x14ac:dyDescent="0.2">
      <c r="A691" s="1">
        <v>685</v>
      </c>
      <c r="B691" s="1" t="s">
        <v>633</v>
      </c>
      <c r="C691" s="1" t="s">
        <v>2446</v>
      </c>
      <c r="D691" s="1" t="s">
        <v>2637</v>
      </c>
      <c r="E691" s="35" t="s">
        <v>863</v>
      </c>
      <c r="F691" s="66" t="s">
        <v>881</v>
      </c>
      <c r="G691" s="24" t="s">
        <v>1702</v>
      </c>
      <c r="H691" s="24">
        <v>34</v>
      </c>
      <c r="I691" s="25">
        <v>5</v>
      </c>
      <c r="J691" s="56">
        <v>1530</v>
      </c>
      <c r="K691" s="15">
        <v>680</v>
      </c>
      <c r="L691" s="24" t="s">
        <v>2015</v>
      </c>
      <c r="M691" s="24" t="s">
        <v>2014</v>
      </c>
      <c r="N691" s="1" t="s">
        <v>2013</v>
      </c>
      <c r="O691" s="15" t="s">
        <v>2082</v>
      </c>
      <c r="P691" s="15" t="s">
        <v>2442</v>
      </c>
      <c r="Q691" s="25" t="s">
        <v>2086</v>
      </c>
      <c r="R691" s="25" t="s">
        <v>2434</v>
      </c>
      <c r="S691" s="73" t="s">
        <v>2263</v>
      </c>
    </row>
    <row r="692" spans="1:19" x14ac:dyDescent="0.2">
      <c r="A692" s="1">
        <v>686</v>
      </c>
      <c r="B692" s="1" t="s">
        <v>434</v>
      </c>
      <c r="C692" s="1" t="s">
        <v>2446</v>
      </c>
      <c r="D692" s="1" t="s">
        <v>433</v>
      </c>
      <c r="E692" s="35" t="s">
        <v>864</v>
      </c>
      <c r="F692" s="66" t="s">
        <v>882</v>
      </c>
      <c r="G692" s="24" t="s">
        <v>1703</v>
      </c>
      <c r="H692" s="24">
        <v>64</v>
      </c>
      <c r="I692" s="25">
        <v>3</v>
      </c>
      <c r="J692" s="56">
        <v>4970</v>
      </c>
      <c r="K692" s="15">
        <v>2170</v>
      </c>
      <c r="L692" s="24" t="s">
        <v>2051</v>
      </c>
      <c r="M692" s="24" t="s">
        <v>2020</v>
      </c>
      <c r="N692" s="1" t="s">
        <v>2013</v>
      </c>
      <c r="O692" s="15" t="s">
        <v>2082</v>
      </c>
      <c r="P692" s="15" t="s">
        <v>2442</v>
      </c>
      <c r="Q692" s="25" t="s">
        <v>2085</v>
      </c>
      <c r="R692" s="25" t="s">
        <v>2437</v>
      </c>
      <c r="S692" s="73" t="s">
        <v>2289</v>
      </c>
    </row>
    <row r="693" spans="1:19" x14ac:dyDescent="0.2">
      <c r="A693" s="1">
        <v>687</v>
      </c>
      <c r="B693" s="1" t="s">
        <v>435</v>
      </c>
      <c r="C693" s="1" t="s">
        <v>2446</v>
      </c>
      <c r="D693" s="1" t="s">
        <v>2638</v>
      </c>
      <c r="E693" s="35" t="s">
        <v>2775</v>
      </c>
      <c r="F693" s="66" t="s">
        <v>881</v>
      </c>
      <c r="G693" s="24" t="s">
        <v>1704</v>
      </c>
      <c r="H693" s="24">
        <v>78</v>
      </c>
      <c r="I693" s="25">
        <v>2</v>
      </c>
      <c r="J693" s="56">
        <v>3950</v>
      </c>
      <c r="K693" s="15">
        <v>1950</v>
      </c>
      <c r="L693" s="24" t="s">
        <v>2060</v>
      </c>
      <c r="M693" s="24" t="s">
        <v>2024</v>
      </c>
      <c r="N693" s="1" t="s">
        <v>2013</v>
      </c>
      <c r="O693" s="15" t="s">
        <v>2082</v>
      </c>
      <c r="P693" s="15" t="s">
        <v>2442</v>
      </c>
      <c r="Q693" s="25" t="s">
        <v>2084</v>
      </c>
      <c r="R693" s="25" t="s">
        <v>2435</v>
      </c>
      <c r="S693" s="73" t="s">
        <v>2133</v>
      </c>
    </row>
    <row r="694" spans="1:19" x14ac:dyDescent="0.2">
      <c r="A694" s="1">
        <v>688</v>
      </c>
      <c r="B694" s="1" t="s">
        <v>437</v>
      </c>
      <c r="C694" s="1" t="s">
        <v>2446</v>
      </c>
      <c r="D694" s="1" t="s">
        <v>436</v>
      </c>
      <c r="E694" s="35" t="s">
        <v>863</v>
      </c>
      <c r="F694" s="66" t="s">
        <v>883</v>
      </c>
      <c r="G694" s="24" t="s">
        <v>1705</v>
      </c>
      <c r="H694" s="24">
        <v>54</v>
      </c>
      <c r="I694" s="25">
        <v>4</v>
      </c>
      <c r="J694" s="56">
        <v>2900</v>
      </c>
      <c r="K694" s="15">
        <v>1200</v>
      </c>
      <c r="L694" s="24" t="s">
        <v>2030</v>
      </c>
      <c r="M694" s="24" t="s">
        <v>2024</v>
      </c>
      <c r="N694" s="1" t="s">
        <v>2013</v>
      </c>
      <c r="O694" s="15" t="s">
        <v>2082</v>
      </c>
      <c r="P694" s="15" t="s">
        <v>2442</v>
      </c>
      <c r="Q694" s="25" t="s">
        <v>2089</v>
      </c>
      <c r="R694" s="25" t="s">
        <v>2434</v>
      </c>
      <c r="S694" s="73" t="s">
        <v>2182</v>
      </c>
    </row>
    <row r="695" spans="1:19" x14ac:dyDescent="0.2">
      <c r="A695" s="1">
        <v>689</v>
      </c>
      <c r="B695" s="1" t="s">
        <v>439</v>
      </c>
      <c r="C695" s="1" t="s">
        <v>2446</v>
      </c>
      <c r="D695" s="1" t="s">
        <v>438</v>
      </c>
      <c r="E695" s="35" t="s">
        <v>822</v>
      </c>
      <c r="F695" s="66" t="s">
        <v>884</v>
      </c>
      <c r="G695" s="24" t="s">
        <v>1706</v>
      </c>
      <c r="H695" s="24">
        <v>32</v>
      </c>
      <c r="I695" s="25">
        <v>1</v>
      </c>
      <c r="J695" s="56">
        <v>1920</v>
      </c>
      <c r="K695" s="15">
        <v>900</v>
      </c>
      <c r="L695" s="24" t="s">
        <v>2022</v>
      </c>
      <c r="M695" s="24" t="s">
        <v>2016</v>
      </c>
      <c r="N695" s="1" t="s">
        <v>2013</v>
      </c>
      <c r="O695" s="15" t="s">
        <v>2082</v>
      </c>
      <c r="P695" s="15" t="s">
        <v>2442</v>
      </c>
      <c r="Q695" s="25" t="s">
        <v>2086</v>
      </c>
      <c r="R695" s="25" t="s">
        <v>2436</v>
      </c>
      <c r="S695" s="73" t="s">
        <v>2340</v>
      </c>
    </row>
    <row r="696" spans="1:19" x14ac:dyDescent="0.2">
      <c r="A696" s="1">
        <v>690</v>
      </c>
      <c r="B696" s="1" t="s">
        <v>195</v>
      </c>
      <c r="C696" s="1" t="s">
        <v>2446</v>
      </c>
      <c r="D696" s="1" t="s">
        <v>440</v>
      </c>
      <c r="E696" s="35" t="s">
        <v>863</v>
      </c>
      <c r="F696" s="67" t="s">
        <v>931</v>
      </c>
      <c r="G696" s="24" t="s">
        <v>1707</v>
      </c>
      <c r="H696" s="16">
        <v>55</v>
      </c>
      <c r="I696" s="25">
        <v>5</v>
      </c>
      <c r="J696" s="56">
        <v>4400</v>
      </c>
      <c r="K696" s="15">
        <v>2400</v>
      </c>
      <c r="L696" s="24" t="s">
        <v>2025</v>
      </c>
      <c r="M696" s="24" t="s">
        <v>2024</v>
      </c>
      <c r="N696" s="1" t="s">
        <v>2013</v>
      </c>
      <c r="O696" s="15" t="s">
        <v>2082</v>
      </c>
      <c r="P696" s="15" t="s">
        <v>2442</v>
      </c>
      <c r="Q696" s="25" t="s">
        <v>2090</v>
      </c>
      <c r="R696" s="25" t="s">
        <v>2437</v>
      </c>
      <c r="S696" s="73" t="s">
        <v>2392</v>
      </c>
    </row>
    <row r="697" spans="1:19" x14ac:dyDescent="0.2">
      <c r="A697" s="1">
        <v>691</v>
      </c>
      <c r="B697" s="1" t="s">
        <v>250</v>
      </c>
      <c r="C697" s="1" t="s">
        <v>2446</v>
      </c>
      <c r="D697" s="1" t="s">
        <v>441</v>
      </c>
      <c r="E697" s="35" t="s">
        <v>864</v>
      </c>
      <c r="F697" s="66" t="s">
        <v>929</v>
      </c>
      <c r="G697" s="24" t="s">
        <v>1708</v>
      </c>
      <c r="H697" s="16">
        <v>36</v>
      </c>
      <c r="I697" s="25">
        <v>2</v>
      </c>
      <c r="J697" s="56">
        <v>3300</v>
      </c>
      <c r="K697" s="15">
        <v>1800</v>
      </c>
      <c r="L697" s="24" t="s">
        <v>2019</v>
      </c>
      <c r="M697" s="24" t="s">
        <v>2014</v>
      </c>
      <c r="N697" s="1" t="s">
        <v>2013</v>
      </c>
      <c r="O697" s="15" t="s">
        <v>2082</v>
      </c>
      <c r="P697" s="15" t="s">
        <v>2442</v>
      </c>
      <c r="Q697" s="25" t="s">
        <v>2089</v>
      </c>
      <c r="R697" s="25" t="s">
        <v>2435</v>
      </c>
      <c r="S697" s="73" t="s">
        <v>2387</v>
      </c>
    </row>
    <row r="698" spans="1:19" x14ac:dyDescent="0.2">
      <c r="A698" s="1">
        <v>692</v>
      </c>
      <c r="B698" s="1" t="s">
        <v>443</v>
      </c>
      <c r="C698" s="1" t="s">
        <v>2446</v>
      </c>
      <c r="D698" s="1" t="s">
        <v>442</v>
      </c>
      <c r="E698" s="35" t="s">
        <v>822</v>
      </c>
      <c r="F698" s="66" t="s">
        <v>882</v>
      </c>
      <c r="G698" s="24" t="s">
        <v>1709</v>
      </c>
      <c r="H698" s="16">
        <v>28</v>
      </c>
      <c r="I698" s="25">
        <v>3</v>
      </c>
      <c r="J698" s="56">
        <v>3050</v>
      </c>
      <c r="K698" s="15">
        <v>1550</v>
      </c>
      <c r="L698" s="24" t="s">
        <v>2060</v>
      </c>
      <c r="M698" s="24" t="s">
        <v>2024</v>
      </c>
      <c r="N698" s="1" t="s">
        <v>2013</v>
      </c>
      <c r="O698" s="15" t="s">
        <v>2082</v>
      </c>
      <c r="P698" s="15" t="s">
        <v>2442</v>
      </c>
      <c r="Q698" s="25" t="s">
        <v>2090</v>
      </c>
      <c r="R698" s="25" t="s">
        <v>2436</v>
      </c>
      <c r="S698" s="73" t="s">
        <v>2261</v>
      </c>
    </row>
    <row r="699" spans="1:19" x14ac:dyDescent="0.2">
      <c r="A699" s="1">
        <v>693</v>
      </c>
      <c r="B699" s="1" t="s">
        <v>444</v>
      </c>
      <c r="C699" s="1" t="s">
        <v>2446</v>
      </c>
      <c r="D699" s="11" t="s">
        <v>2639</v>
      </c>
      <c r="E699" s="35" t="s">
        <v>863</v>
      </c>
      <c r="F699" s="66" t="s">
        <v>930</v>
      </c>
      <c r="G699" s="24" t="s">
        <v>1710</v>
      </c>
      <c r="H699" s="16">
        <v>50</v>
      </c>
      <c r="I699" s="25">
        <v>4</v>
      </c>
      <c r="J699" s="56">
        <v>3850</v>
      </c>
      <c r="K699" s="15">
        <v>2300</v>
      </c>
      <c r="L699" s="24" t="s">
        <v>2043</v>
      </c>
      <c r="M699" s="24" t="s">
        <v>2016</v>
      </c>
      <c r="N699" s="1" t="s">
        <v>2013</v>
      </c>
      <c r="O699" s="15" t="s">
        <v>2082</v>
      </c>
      <c r="P699" s="15" t="s">
        <v>2442</v>
      </c>
      <c r="Q699" s="25" t="s">
        <v>2083</v>
      </c>
      <c r="R699" s="25" t="s">
        <v>2434</v>
      </c>
      <c r="S699" s="73" t="s">
        <v>2211</v>
      </c>
    </row>
    <row r="700" spans="1:19" x14ac:dyDescent="0.2">
      <c r="A700" s="1">
        <v>694</v>
      </c>
      <c r="B700" s="1" t="s">
        <v>446</v>
      </c>
      <c r="C700" s="1" t="s">
        <v>2446</v>
      </c>
      <c r="D700" s="11" t="s">
        <v>445</v>
      </c>
      <c r="E700" s="35" t="s">
        <v>828</v>
      </c>
      <c r="F700" s="67" t="s">
        <v>915</v>
      </c>
      <c r="G700" s="24" t="s">
        <v>1711</v>
      </c>
      <c r="H700" s="16">
        <v>39</v>
      </c>
      <c r="I700" s="25">
        <v>1</v>
      </c>
      <c r="J700" s="56">
        <v>5715</v>
      </c>
      <c r="K700" s="15">
        <v>2280</v>
      </c>
      <c r="L700" s="24" t="s">
        <v>2055</v>
      </c>
      <c r="M700" s="24" t="s">
        <v>2014</v>
      </c>
      <c r="N700" s="1" t="s">
        <v>2013</v>
      </c>
      <c r="O700" s="15" t="s">
        <v>2082</v>
      </c>
      <c r="P700" s="15" t="s">
        <v>2442</v>
      </c>
      <c r="Q700" s="25" t="s">
        <v>2084</v>
      </c>
      <c r="R700" s="25" t="s">
        <v>2437</v>
      </c>
      <c r="S700" s="73" t="s">
        <v>2125</v>
      </c>
    </row>
    <row r="701" spans="1:19" x14ac:dyDescent="0.2">
      <c r="A701" s="1">
        <v>695</v>
      </c>
      <c r="B701" s="1" t="s">
        <v>448</v>
      </c>
      <c r="C701" s="1" t="s">
        <v>2446</v>
      </c>
      <c r="D701" s="11" t="s">
        <v>447</v>
      </c>
      <c r="E701" s="35" t="s">
        <v>823</v>
      </c>
      <c r="F701" s="66" t="s">
        <v>920</v>
      </c>
      <c r="G701" s="24" t="s">
        <v>1712</v>
      </c>
      <c r="H701" s="16">
        <v>31</v>
      </c>
      <c r="I701" s="25">
        <v>5</v>
      </c>
      <c r="J701" s="56">
        <v>3780</v>
      </c>
      <c r="K701" s="15">
        <v>2280</v>
      </c>
      <c r="L701" s="24" t="s">
        <v>2019</v>
      </c>
      <c r="M701" s="24" t="s">
        <v>2014</v>
      </c>
      <c r="N701" s="1" t="s">
        <v>2013</v>
      </c>
      <c r="O701" s="15" t="s">
        <v>2082</v>
      </c>
      <c r="P701" s="15" t="s">
        <v>2442</v>
      </c>
      <c r="Q701" s="25" t="s">
        <v>2088</v>
      </c>
      <c r="R701" s="25" t="s">
        <v>2435</v>
      </c>
      <c r="S701" s="73" t="s">
        <v>2393</v>
      </c>
    </row>
    <row r="702" spans="1:19" x14ac:dyDescent="0.2">
      <c r="A702" s="1">
        <v>696</v>
      </c>
      <c r="B702" s="1" t="s">
        <v>450</v>
      </c>
      <c r="C702" s="1" t="s">
        <v>2446</v>
      </c>
      <c r="D702" s="11" t="s">
        <v>449</v>
      </c>
      <c r="E702" s="35" t="s">
        <v>823</v>
      </c>
      <c r="F702" s="67" t="s">
        <v>921</v>
      </c>
      <c r="G702" s="24" t="s">
        <v>1713</v>
      </c>
      <c r="H702" s="16">
        <v>44</v>
      </c>
      <c r="I702" s="25">
        <v>3</v>
      </c>
      <c r="J702" s="56">
        <v>3090</v>
      </c>
      <c r="K702" s="15">
        <v>1670</v>
      </c>
      <c r="L702" s="24" t="s">
        <v>2025</v>
      </c>
      <c r="M702" s="24" t="s">
        <v>2024</v>
      </c>
      <c r="N702" s="1" t="s">
        <v>2013</v>
      </c>
      <c r="O702" s="15" t="s">
        <v>2082</v>
      </c>
      <c r="P702" s="15" t="s">
        <v>2442</v>
      </c>
      <c r="Q702" s="25" t="s">
        <v>2086</v>
      </c>
      <c r="R702" s="25" t="s">
        <v>2434</v>
      </c>
      <c r="S702" s="73" t="s">
        <v>2374</v>
      </c>
    </row>
    <row r="703" spans="1:19" x14ac:dyDescent="0.2">
      <c r="A703" s="1">
        <v>697</v>
      </c>
      <c r="B703" s="1" t="s">
        <v>452</v>
      </c>
      <c r="C703" s="1" t="s">
        <v>2446</v>
      </c>
      <c r="D703" s="11" t="s">
        <v>451</v>
      </c>
      <c r="E703" s="35" t="s">
        <v>863</v>
      </c>
      <c r="F703" s="66" t="s">
        <v>930</v>
      </c>
      <c r="G703" s="24" t="s">
        <v>1714</v>
      </c>
      <c r="H703" s="16">
        <v>26</v>
      </c>
      <c r="I703" s="25">
        <v>2</v>
      </c>
      <c r="J703" s="56">
        <v>3180</v>
      </c>
      <c r="K703" s="15">
        <v>1260</v>
      </c>
      <c r="L703" s="24" t="s">
        <v>2060</v>
      </c>
      <c r="M703" s="24" t="s">
        <v>2024</v>
      </c>
      <c r="N703" s="1" t="s">
        <v>2013</v>
      </c>
      <c r="O703" s="15" t="s">
        <v>2082</v>
      </c>
      <c r="P703" s="15" t="s">
        <v>2442</v>
      </c>
      <c r="Q703" s="25" t="s">
        <v>2086</v>
      </c>
      <c r="R703" s="25" t="s">
        <v>2436</v>
      </c>
      <c r="S703" s="73" t="s">
        <v>2352</v>
      </c>
    </row>
    <row r="704" spans="1:19" x14ac:dyDescent="0.2">
      <c r="A704" s="1">
        <v>698</v>
      </c>
      <c r="B704" s="1" t="s">
        <v>453</v>
      </c>
      <c r="C704" s="1" t="s">
        <v>2446</v>
      </c>
      <c r="D704" s="1" t="s">
        <v>2640</v>
      </c>
      <c r="E704" s="35" t="s">
        <v>822</v>
      </c>
      <c r="F704" s="67" t="s">
        <v>915</v>
      </c>
      <c r="G704" s="24" t="s">
        <v>1715</v>
      </c>
      <c r="H704" s="16">
        <v>48</v>
      </c>
      <c r="I704" s="25">
        <v>4</v>
      </c>
      <c r="J704" s="56">
        <v>2600</v>
      </c>
      <c r="K704" s="15">
        <v>1200</v>
      </c>
      <c r="L704" s="24" t="s">
        <v>2034</v>
      </c>
      <c r="M704" s="24" t="s">
        <v>2016</v>
      </c>
      <c r="N704" s="1" t="s">
        <v>2013</v>
      </c>
      <c r="O704" s="15" t="s">
        <v>2082</v>
      </c>
      <c r="P704" s="15" t="s">
        <v>2442</v>
      </c>
      <c r="Q704" s="25" t="s">
        <v>2088</v>
      </c>
      <c r="R704" s="25" t="s">
        <v>2437</v>
      </c>
      <c r="S704" s="73" t="s">
        <v>2188</v>
      </c>
    </row>
    <row r="705" spans="1:19" x14ac:dyDescent="0.2">
      <c r="A705" s="1">
        <v>699</v>
      </c>
      <c r="B705" s="1" t="s">
        <v>454</v>
      </c>
      <c r="C705" s="1" t="s">
        <v>2446</v>
      </c>
      <c r="D705" s="1" t="s">
        <v>2641</v>
      </c>
      <c r="E705" s="35" t="s">
        <v>822</v>
      </c>
      <c r="F705" s="66" t="s">
        <v>920</v>
      </c>
      <c r="G705" s="24" t="s">
        <v>1716</v>
      </c>
      <c r="H705" s="16">
        <v>53</v>
      </c>
      <c r="I705" s="25">
        <v>1</v>
      </c>
      <c r="J705" s="56">
        <v>2150</v>
      </c>
      <c r="K705" s="15">
        <v>1150</v>
      </c>
      <c r="L705" s="24" t="s">
        <v>2036</v>
      </c>
      <c r="M705" s="24" t="s">
        <v>2014</v>
      </c>
      <c r="N705" s="1" t="s">
        <v>2013</v>
      </c>
      <c r="O705" s="15" t="s">
        <v>2082</v>
      </c>
      <c r="P705" s="15" t="s">
        <v>2442</v>
      </c>
      <c r="Q705" s="25" t="s">
        <v>2090</v>
      </c>
      <c r="R705" s="25" t="s">
        <v>2435</v>
      </c>
      <c r="S705" s="73" t="s">
        <v>2394</v>
      </c>
    </row>
    <row r="706" spans="1:19" x14ac:dyDescent="0.2">
      <c r="A706" s="1">
        <v>700</v>
      </c>
      <c r="B706" s="1" t="s">
        <v>859</v>
      </c>
      <c r="C706" s="1" t="s">
        <v>2446</v>
      </c>
      <c r="D706" s="1" t="s">
        <v>2642</v>
      </c>
      <c r="E706" s="35" t="s">
        <v>864</v>
      </c>
      <c r="F706" s="67" t="s">
        <v>921</v>
      </c>
      <c r="G706" s="24" t="s">
        <v>1717</v>
      </c>
      <c r="H706" s="16">
        <v>30</v>
      </c>
      <c r="I706" s="25">
        <v>5</v>
      </c>
      <c r="J706" s="56">
        <v>1700</v>
      </c>
      <c r="K706" s="15">
        <v>1200</v>
      </c>
      <c r="L706" s="24" t="s">
        <v>2032</v>
      </c>
      <c r="M706" s="24" t="s">
        <v>2020</v>
      </c>
      <c r="N706" s="1" t="s">
        <v>2013</v>
      </c>
      <c r="O706" s="15" t="s">
        <v>2082</v>
      </c>
      <c r="P706" s="15" t="s">
        <v>2442</v>
      </c>
      <c r="Q706" s="25" t="s">
        <v>2085</v>
      </c>
      <c r="R706" s="25" t="s">
        <v>2436</v>
      </c>
      <c r="S706" s="73" t="s">
        <v>2357</v>
      </c>
    </row>
    <row r="707" spans="1:19" x14ac:dyDescent="0.2">
      <c r="A707" s="1">
        <v>701</v>
      </c>
      <c r="B707" s="1" t="s">
        <v>455</v>
      </c>
      <c r="C707" s="1" t="s">
        <v>2446</v>
      </c>
      <c r="D707" s="1" t="s">
        <v>413</v>
      </c>
      <c r="E707" s="35" t="s">
        <v>863</v>
      </c>
      <c r="F707" s="67" t="s">
        <v>922</v>
      </c>
      <c r="G707" s="24" t="s">
        <v>1718</v>
      </c>
      <c r="H707" s="16">
        <v>37</v>
      </c>
      <c r="I707" s="25">
        <v>2</v>
      </c>
      <c r="J707" s="56">
        <f>7720+750</f>
        <v>8470</v>
      </c>
      <c r="K707" s="15">
        <f>4750+650</f>
        <v>5400</v>
      </c>
      <c r="L707" s="24" t="s">
        <v>2054</v>
      </c>
      <c r="M707" s="24" t="s">
        <v>2016</v>
      </c>
      <c r="N707" s="1" t="s">
        <v>2013</v>
      </c>
      <c r="O707" s="15" t="s">
        <v>2082</v>
      </c>
      <c r="P707" s="15" t="s">
        <v>2442</v>
      </c>
      <c r="Q707" s="25" t="s">
        <v>2089</v>
      </c>
      <c r="R707" s="25" t="s">
        <v>2434</v>
      </c>
      <c r="S707" s="73" t="s">
        <v>2245</v>
      </c>
    </row>
    <row r="708" spans="1:19" x14ac:dyDescent="0.2">
      <c r="A708" s="1">
        <v>702</v>
      </c>
      <c r="B708" s="1" t="s">
        <v>457</v>
      </c>
      <c r="C708" s="1" t="s">
        <v>2446</v>
      </c>
      <c r="D708" s="1" t="s">
        <v>456</v>
      </c>
      <c r="E708" s="35" t="s">
        <v>864</v>
      </c>
      <c r="F708" s="67" t="s">
        <v>923</v>
      </c>
      <c r="G708" s="24" t="s">
        <v>1719</v>
      </c>
      <c r="H708" s="16">
        <v>42</v>
      </c>
      <c r="I708" s="25">
        <v>3</v>
      </c>
      <c r="J708" s="56">
        <v>2270</v>
      </c>
      <c r="K708" s="15">
        <v>1100</v>
      </c>
      <c r="L708" s="24" t="s">
        <v>2030</v>
      </c>
      <c r="M708" s="24" t="s">
        <v>2024</v>
      </c>
      <c r="N708" s="1" t="s">
        <v>2013</v>
      </c>
      <c r="O708" s="15" t="s">
        <v>2082</v>
      </c>
      <c r="P708" s="15" t="s">
        <v>2442</v>
      </c>
      <c r="Q708" s="25" t="s">
        <v>2088</v>
      </c>
      <c r="R708" s="25" t="s">
        <v>2437</v>
      </c>
      <c r="S708" s="73" t="s">
        <v>2310</v>
      </c>
    </row>
    <row r="709" spans="1:19" x14ac:dyDescent="0.2">
      <c r="A709" s="1">
        <v>703</v>
      </c>
      <c r="B709" s="1" t="s">
        <v>458</v>
      </c>
      <c r="C709" s="1" t="s">
        <v>2446</v>
      </c>
      <c r="D709" s="1" t="s">
        <v>413</v>
      </c>
      <c r="E709" s="35" t="s">
        <v>822</v>
      </c>
      <c r="F709" s="67" t="s">
        <v>924</v>
      </c>
      <c r="G709" s="24" t="s">
        <v>1720</v>
      </c>
      <c r="H709" s="16">
        <v>24</v>
      </c>
      <c r="I709" s="25">
        <v>4</v>
      </c>
      <c r="J709" s="56">
        <f>7070+750</f>
        <v>7820</v>
      </c>
      <c r="K709" s="15">
        <f>4100+650</f>
        <v>4750</v>
      </c>
      <c r="L709" s="24" t="s">
        <v>2019</v>
      </c>
      <c r="M709" s="24" t="s">
        <v>2014</v>
      </c>
      <c r="N709" s="1" t="s">
        <v>2013</v>
      </c>
      <c r="O709" s="15" t="s">
        <v>2082</v>
      </c>
      <c r="P709" s="15" t="s">
        <v>2442</v>
      </c>
      <c r="Q709" s="25" t="s">
        <v>2086</v>
      </c>
      <c r="R709" s="25" t="s">
        <v>2435</v>
      </c>
      <c r="S709" s="73" t="s">
        <v>2384</v>
      </c>
    </row>
    <row r="710" spans="1:19" x14ac:dyDescent="0.2">
      <c r="A710" s="1">
        <v>704</v>
      </c>
      <c r="B710" s="1" t="s">
        <v>138</v>
      </c>
      <c r="C710" s="1" t="s">
        <v>2446</v>
      </c>
      <c r="D710" s="1" t="s">
        <v>2643</v>
      </c>
      <c r="E710" s="35" t="s">
        <v>863</v>
      </c>
      <c r="F710" s="67" t="s">
        <v>925</v>
      </c>
      <c r="G710" s="24" t="s">
        <v>1721</v>
      </c>
      <c r="H710" s="16">
        <v>57</v>
      </c>
      <c r="I710" s="25">
        <v>1</v>
      </c>
      <c r="J710" s="56">
        <v>3820</v>
      </c>
      <c r="K710" s="15">
        <v>1800</v>
      </c>
      <c r="L710" s="24" t="s">
        <v>2039</v>
      </c>
      <c r="M710" s="24" t="s">
        <v>2014</v>
      </c>
      <c r="N710" s="1" t="s">
        <v>2013</v>
      </c>
      <c r="O710" s="15" t="s">
        <v>2082</v>
      </c>
      <c r="P710" s="15" t="s">
        <v>2442</v>
      </c>
      <c r="Q710" s="25" t="s">
        <v>2086</v>
      </c>
      <c r="R710" s="25" t="s">
        <v>2434</v>
      </c>
      <c r="S710" s="73" t="s">
        <v>2210</v>
      </c>
    </row>
    <row r="711" spans="1:19" x14ac:dyDescent="0.2">
      <c r="A711" s="1">
        <v>705</v>
      </c>
      <c r="B711" s="1" t="s">
        <v>138</v>
      </c>
      <c r="C711" s="1" t="s">
        <v>2446</v>
      </c>
      <c r="D711" s="1" t="s">
        <v>2644</v>
      </c>
      <c r="E711" s="35" t="s">
        <v>864</v>
      </c>
      <c r="F711" s="69" t="s">
        <v>904</v>
      </c>
      <c r="G711" s="24" t="s">
        <v>1722</v>
      </c>
      <c r="H711" s="16">
        <v>35</v>
      </c>
      <c r="I711" s="25">
        <v>5</v>
      </c>
      <c r="J711" s="56">
        <v>4920</v>
      </c>
      <c r="K711" s="15">
        <v>2000</v>
      </c>
      <c r="L711" s="24" t="s">
        <v>2053</v>
      </c>
      <c r="M711" s="24" t="s">
        <v>2014</v>
      </c>
      <c r="N711" s="1" t="s">
        <v>2013</v>
      </c>
      <c r="O711" s="15" t="s">
        <v>2082</v>
      </c>
      <c r="P711" s="15" t="s">
        <v>2442</v>
      </c>
      <c r="Q711" s="25" t="s">
        <v>2090</v>
      </c>
      <c r="R711" s="25" t="s">
        <v>2436</v>
      </c>
      <c r="S711" s="73" t="s">
        <v>2184</v>
      </c>
    </row>
    <row r="712" spans="1:19" x14ac:dyDescent="0.2">
      <c r="A712" s="1">
        <v>706</v>
      </c>
      <c r="B712" s="1" t="s">
        <v>460</v>
      </c>
      <c r="C712" s="1" t="s">
        <v>2446</v>
      </c>
      <c r="D712" s="1" t="s">
        <v>459</v>
      </c>
      <c r="E712" s="35" t="s">
        <v>822</v>
      </c>
      <c r="F712" s="66" t="s">
        <v>926</v>
      </c>
      <c r="G712" s="24" t="s">
        <v>1723</v>
      </c>
      <c r="H712" s="16">
        <v>40</v>
      </c>
      <c r="I712" s="25">
        <v>3</v>
      </c>
      <c r="J712" s="56">
        <v>4500</v>
      </c>
      <c r="K712" s="15">
        <v>1600</v>
      </c>
      <c r="L712" s="24" t="s">
        <v>2038</v>
      </c>
      <c r="M712" s="24" t="s">
        <v>2016</v>
      </c>
      <c r="N712" s="1" t="s">
        <v>2013</v>
      </c>
      <c r="O712" s="15" t="s">
        <v>2082</v>
      </c>
      <c r="P712" s="15" t="s">
        <v>2442</v>
      </c>
      <c r="Q712" s="25" t="s">
        <v>2087</v>
      </c>
      <c r="R712" s="25" t="s">
        <v>2437</v>
      </c>
      <c r="S712" s="73" t="s">
        <v>2379</v>
      </c>
    </row>
    <row r="713" spans="1:19" x14ac:dyDescent="0.2">
      <c r="A713" s="1">
        <v>707</v>
      </c>
      <c r="B713" s="1" t="s">
        <v>461</v>
      </c>
      <c r="C713" s="1" t="s">
        <v>2446</v>
      </c>
      <c r="D713" s="1" t="s">
        <v>2645</v>
      </c>
      <c r="E713" s="35" t="s">
        <v>863</v>
      </c>
      <c r="F713" s="66" t="s">
        <v>927</v>
      </c>
      <c r="G713" s="24" t="s">
        <v>1724</v>
      </c>
      <c r="H713" s="16">
        <v>21</v>
      </c>
      <c r="I713" s="25">
        <v>2</v>
      </c>
      <c r="J713" s="56">
        <v>1940</v>
      </c>
      <c r="K713" s="15">
        <v>840</v>
      </c>
      <c r="L713" s="24" t="s">
        <v>2027</v>
      </c>
      <c r="M713" s="24" t="s">
        <v>2014</v>
      </c>
      <c r="N713" s="1" t="s">
        <v>2013</v>
      </c>
      <c r="O713" s="15" t="s">
        <v>2082</v>
      </c>
      <c r="P713" s="15" t="s">
        <v>2442</v>
      </c>
      <c r="Q713" s="25" t="s">
        <v>2083</v>
      </c>
      <c r="R713" s="25" t="s">
        <v>2435</v>
      </c>
      <c r="S713" s="73" t="s">
        <v>2235</v>
      </c>
    </row>
    <row r="714" spans="1:19" x14ac:dyDescent="0.2">
      <c r="A714" s="1">
        <v>708</v>
      </c>
      <c r="B714" s="1" t="s">
        <v>463</v>
      </c>
      <c r="C714" s="1" t="s">
        <v>2446</v>
      </c>
      <c r="D714" s="1" t="s">
        <v>462</v>
      </c>
      <c r="E714" s="35" t="s">
        <v>864</v>
      </c>
      <c r="F714" s="67" t="s">
        <v>932</v>
      </c>
      <c r="G714" s="24" t="s">
        <v>1725</v>
      </c>
      <c r="H714" s="16">
        <v>36</v>
      </c>
      <c r="I714" s="25">
        <v>4</v>
      </c>
      <c r="J714" s="56">
        <v>5940</v>
      </c>
      <c r="K714" s="15">
        <v>3400</v>
      </c>
      <c r="L714" s="24" t="s">
        <v>2048</v>
      </c>
      <c r="M714" s="24" t="s">
        <v>2014</v>
      </c>
      <c r="N714" s="1" t="s">
        <v>2013</v>
      </c>
      <c r="O714" s="15" t="s">
        <v>2082</v>
      </c>
      <c r="P714" s="15" t="s">
        <v>2442</v>
      </c>
      <c r="Q714" s="25" t="s">
        <v>2087</v>
      </c>
      <c r="R714" s="25" t="s">
        <v>2436</v>
      </c>
      <c r="S714" s="73" t="s">
        <v>2395</v>
      </c>
    </row>
    <row r="715" spans="1:19" x14ac:dyDescent="0.2">
      <c r="A715" s="1">
        <v>709</v>
      </c>
      <c r="B715" s="2" t="s">
        <v>464</v>
      </c>
      <c r="C715" s="2" t="s">
        <v>2446</v>
      </c>
      <c r="D715" s="2" t="s">
        <v>2646</v>
      </c>
      <c r="E715" s="35" t="s">
        <v>822</v>
      </c>
      <c r="F715" s="67" t="s">
        <v>922</v>
      </c>
      <c r="G715" s="24" t="s">
        <v>1726</v>
      </c>
      <c r="H715" s="16">
        <v>28</v>
      </c>
      <c r="I715" s="25">
        <v>1</v>
      </c>
      <c r="J715" s="56">
        <v>6741</v>
      </c>
      <c r="K715" s="15">
        <v>2890</v>
      </c>
      <c r="L715" s="24" t="s">
        <v>2022</v>
      </c>
      <c r="M715" s="24" t="s">
        <v>2016</v>
      </c>
      <c r="N715" s="1" t="s">
        <v>2013</v>
      </c>
      <c r="O715" s="15" t="s">
        <v>2082</v>
      </c>
      <c r="P715" s="15" t="s">
        <v>2442</v>
      </c>
      <c r="Q715" s="25" t="s">
        <v>2083</v>
      </c>
      <c r="R715" s="25" t="s">
        <v>2434</v>
      </c>
      <c r="S715" s="73" t="s">
        <v>2236</v>
      </c>
    </row>
    <row r="716" spans="1:19" x14ac:dyDescent="0.2">
      <c r="A716" s="1">
        <v>710</v>
      </c>
      <c r="B716" s="1" t="s">
        <v>466</v>
      </c>
      <c r="C716" s="1" t="s">
        <v>2446</v>
      </c>
      <c r="D716" s="1" t="s">
        <v>465</v>
      </c>
      <c r="E716" s="35" t="s">
        <v>863</v>
      </c>
      <c r="F716" s="67" t="s">
        <v>923</v>
      </c>
      <c r="G716" s="24" t="s">
        <v>1727</v>
      </c>
      <c r="H716" s="16">
        <v>50</v>
      </c>
      <c r="I716" s="25">
        <v>5</v>
      </c>
      <c r="J716" s="56">
        <v>6360</v>
      </c>
      <c r="K716" s="15">
        <v>3270</v>
      </c>
      <c r="L716" s="24" t="s">
        <v>2040</v>
      </c>
      <c r="M716" s="24" t="s">
        <v>2016</v>
      </c>
      <c r="N716" s="1" t="s">
        <v>2013</v>
      </c>
      <c r="O716" s="15" t="s">
        <v>2082</v>
      </c>
      <c r="P716" s="15" t="s">
        <v>2442</v>
      </c>
      <c r="Q716" s="25" t="s">
        <v>2088</v>
      </c>
      <c r="R716" s="25" t="s">
        <v>2437</v>
      </c>
      <c r="S716" s="73" t="s">
        <v>2396</v>
      </c>
    </row>
    <row r="717" spans="1:19" x14ac:dyDescent="0.2">
      <c r="A717" s="1">
        <v>711</v>
      </c>
      <c r="B717" s="1" t="s">
        <v>467</v>
      </c>
      <c r="C717" s="1" t="s">
        <v>2446</v>
      </c>
      <c r="D717" s="1" t="s">
        <v>2605</v>
      </c>
      <c r="E717" s="35" t="s">
        <v>822</v>
      </c>
      <c r="F717" s="67" t="s">
        <v>924</v>
      </c>
      <c r="G717" s="24" t="s">
        <v>1728</v>
      </c>
      <c r="H717" s="16">
        <v>39</v>
      </c>
      <c r="I717" s="25">
        <v>2</v>
      </c>
      <c r="J717" s="56">
        <v>6590</v>
      </c>
      <c r="K717" s="15">
        <v>3590</v>
      </c>
      <c r="L717" s="24" t="s">
        <v>2035</v>
      </c>
      <c r="M717" s="24" t="s">
        <v>2024</v>
      </c>
      <c r="N717" s="1" t="s">
        <v>2013</v>
      </c>
      <c r="O717" s="15" t="s">
        <v>2082</v>
      </c>
      <c r="P717" s="15" t="s">
        <v>2442</v>
      </c>
      <c r="Q717" s="25" t="s">
        <v>2084</v>
      </c>
      <c r="R717" s="25" t="s">
        <v>2435</v>
      </c>
      <c r="S717" s="73" t="s">
        <v>2167</v>
      </c>
    </row>
    <row r="718" spans="1:19" x14ac:dyDescent="0.2">
      <c r="A718" s="1">
        <v>712</v>
      </c>
      <c r="B718" s="1" t="s">
        <v>26</v>
      </c>
      <c r="C718" s="1" t="s">
        <v>2446</v>
      </c>
      <c r="D718" s="1" t="s">
        <v>468</v>
      </c>
      <c r="E718" s="35" t="s">
        <v>864</v>
      </c>
      <c r="F718" s="67" t="s">
        <v>925</v>
      </c>
      <c r="G718" s="24" t="s">
        <v>1729</v>
      </c>
      <c r="H718" s="16">
        <v>31</v>
      </c>
      <c r="I718" s="25">
        <v>3</v>
      </c>
      <c r="J718" s="56">
        <v>6230</v>
      </c>
      <c r="K718" s="15">
        <v>4000</v>
      </c>
      <c r="L718" s="24" t="s">
        <v>2042</v>
      </c>
      <c r="M718" s="24" t="s">
        <v>2024</v>
      </c>
      <c r="N718" s="1" t="s">
        <v>2013</v>
      </c>
      <c r="O718" s="15" t="s">
        <v>2082</v>
      </c>
      <c r="P718" s="15" t="s">
        <v>2442</v>
      </c>
      <c r="Q718" s="25" t="s">
        <v>2086</v>
      </c>
      <c r="R718" s="25" t="s">
        <v>2434</v>
      </c>
      <c r="S718" s="73" t="s">
        <v>2373</v>
      </c>
    </row>
    <row r="719" spans="1:19" x14ac:dyDescent="0.2">
      <c r="A719" s="1">
        <v>713</v>
      </c>
      <c r="B719" s="1" t="s">
        <v>469</v>
      </c>
      <c r="C719" s="1" t="s">
        <v>2446</v>
      </c>
      <c r="D719" s="1" t="s">
        <v>2647</v>
      </c>
      <c r="E719" s="35" t="s">
        <v>822</v>
      </c>
      <c r="F719" s="66" t="s">
        <v>929</v>
      </c>
      <c r="G719" s="24" t="s">
        <v>1730</v>
      </c>
      <c r="H719" s="16">
        <v>44</v>
      </c>
      <c r="I719" s="25">
        <v>4</v>
      </c>
      <c r="J719" s="56">
        <v>7455</v>
      </c>
      <c r="K719" s="15">
        <v>3000</v>
      </c>
      <c r="L719" s="24" t="s">
        <v>2056</v>
      </c>
      <c r="M719" s="24" t="s">
        <v>2024</v>
      </c>
      <c r="N719" s="1" t="s">
        <v>2013</v>
      </c>
      <c r="O719" s="15" t="s">
        <v>2082</v>
      </c>
      <c r="P719" s="15" t="s">
        <v>2442</v>
      </c>
      <c r="Q719" s="25" t="s">
        <v>2089</v>
      </c>
      <c r="R719" s="25" t="s">
        <v>2436</v>
      </c>
      <c r="S719" s="73" t="s">
        <v>2155</v>
      </c>
    </row>
    <row r="720" spans="1:19" x14ac:dyDescent="0.2">
      <c r="A720" s="1">
        <v>714</v>
      </c>
      <c r="B720" s="1" t="s">
        <v>79</v>
      </c>
      <c r="C720" s="1" t="s">
        <v>2446</v>
      </c>
      <c r="D720" s="1" t="s">
        <v>470</v>
      </c>
      <c r="E720" s="35" t="s">
        <v>863</v>
      </c>
      <c r="F720" s="66" t="s">
        <v>882</v>
      </c>
      <c r="G720" s="24" t="s">
        <v>1731</v>
      </c>
      <c r="H720" s="16">
        <v>26</v>
      </c>
      <c r="I720" s="25">
        <v>5</v>
      </c>
      <c r="J720" s="56">
        <v>2150</v>
      </c>
      <c r="K720" s="15">
        <v>1150</v>
      </c>
      <c r="L720" s="24" t="s">
        <v>2037</v>
      </c>
      <c r="M720" s="24" t="s">
        <v>2014</v>
      </c>
      <c r="N720" s="1" t="s">
        <v>2013</v>
      </c>
      <c r="O720" s="15" t="s">
        <v>2082</v>
      </c>
      <c r="P720" s="15" t="s">
        <v>2442</v>
      </c>
      <c r="Q720" s="25" t="s">
        <v>2087</v>
      </c>
      <c r="R720" s="25" t="s">
        <v>2437</v>
      </c>
      <c r="S720" s="73" t="s">
        <v>2397</v>
      </c>
    </row>
    <row r="721" spans="1:19" x14ac:dyDescent="0.2">
      <c r="A721" s="1">
        <v>715</v>
      </c>
      <c r="B721" s="1" t="s">
        <v>472</v>
      </c>
      <c r="C721" s="1" t="s">
        <v>2446</v>
      </c>
      <c r="D721" s="1" t="s">
        <v>471</v>
      </c>
      <c r="E721" s="35" t="s">
        <v>822</v>
      </c>
      <c r="F721" s="66" t="s">
        <v>930</v>
      </c>
      <c r="G721" s="24" t="s">
        <v>1732</v>
      </c>
      <c r="H721" s="16">
        <v>48</v>
      </c>
      <c r="I721" s="25">
        <v>2</v>
      </c>
      <c r="J721" s="56">
        <v>2740</v>
      </c>
      <c r="K721" s="15">
        <v>1240</v>
      </c>
      <c r="L721" s="24" t="s">
        <v>2019</v>
      </c>
      <c r="M721" s="24" t="s">
        <v>2014</v>
      </c>
      <c r="N721" s="1" t="s">
        <v>2013</v>
      </c>
      <c r="O721" s="15" t="s">
        <v>2082</v>
      </c>
      <c r="P721" s="15" t="s">
        <v>2442</v>
      </c>
      <c r="Q721" s="25" t="s">
        <v>2085</v>
      </c>
      <c r="R721" s="25" t="s">
        <v>2435</v>
      </c>
      <c r="S721" s="73" t="s">
        <v>2149</v>
      </c>
    </row>
    <row r="722" spans="1:19" x14ac:dyDescent="0.2">
      <c r="A722" s="1">
        <v>716</v>
      </c>
      <c r="B722" s="1" t="s">
        <v>473</v>
      </c>
      <c r="C722" s="1" t="s">
        <v>2446</v>
      </c>
      <c r="D722" s="1" t="s">
        <v>384</v>
      </c>
      <c r="E722" s="35" t="s">
        <v>863</v>
      </c>
      <c r="F722" s="67" t="s">
        <v>915</v>
      </c>
      <c r="G722" s="24" t="s">
        <v>1733</v>
      </c>
      <c r="H722" s="16">
        <v>53</v>
      </c>
      <c r="I722" s="25">
        <v>3</v>
      </c>
      <c r="J722" s="56">
        <v>3610</v>
      </c>
      <c r="K722" s="15">
        <v>1640</v>
      </c>
      <c r="L722" s="24" t="s">
        <v>2034</v>
      </c>
      <c r="M722" s="24" t="s">
        <v>2016</v>
      </c>
      <c r="N722" s="1" t="s">
        <v>2013</v>
      </c>
      <c r="O722" s="15" t="s">
        <v>2082</v>
      </c>
      <c r="P722" s="15" t="s">
        <v>2442</v>
      </c>
      <c r="Q722" s="25" t="s">
        <v>2083</v>
      </c>
      <c r="R722" s="25" t="s">
        <v>2436</v>
      </c>
      <c r="S722" s="73" t="s">
        <v>2151</v>
      </c>
    </row>
    <row r="723" spans="1:19" x14ac:dyDescent="0.2">
      <c r="A723" s="1">
        <v>717</v>
      </c>
      <c r="B723" s="1" t="s">
        <v>8</v>
      </c>
      <c r="C723" s="1" t="s">
        <v>2445</v>
      </c>
      <c r="D723" s="1" t="s">
        <v>869</v>
      </c>
      <c r="E723" s="35" t="s">
        <v>817</v>
      </c>
      <c r="F723" s="66" t="s">
        <v>920</v>
      </c>
      <c r="G723" s="24" t="s">
        <v>1734</v>
      </c>
      <c r="H723" s="16">
        <v>30</v>
      </c>
      <c r="I723" s="25">
        <v>4</v>
      </c>
      <c r="J723" s="56">
        <v>1090</v>
      </c>
      <c r="K723" s="15">
        <v>600</v>
      </c>
      <c r="L723" s="24" t="s">
        <v>2055</v>
      </c>
      <c r="M723" s="24" t="s">
        <v>2014</v>
      </c>
      <c r="N723" s="1" t="s">
        <v>2013</v>
      </c>
      <c r="O723" s="15" t="s">
        <v>2082</v>
      </c>
      <c r="P723" s="15" t="s">
        <v>2442</v>
      </c>
      <c r="Q723" s="25" t="s">
        <v>2086</v>
      </c>
      <c r="R723" s="25" t="s">
        <v>2434</v>
      </c>
      <c r="S723" s="73" t="s">
        <v>2397</v>
      </c>
    </row>
    <row r="724" spans="1:19" x14ac:dyDescent="0.2">
      <c r="A724" s="1">
        <v>718</v>
      </c>
      <c r="B724" s="1" t="s">
        <v>475</v>
      </c>
      <c r="C724" s="1" t="s">
        <v>2446</v>
      </c>
      <c r="D724" s="11" t="s">
        <v>474</v>
      </c>
      <c r="E724" s="35" t="s">
        <v>2777</v>
      </c>
      <c r="F724" s="67" t="s">
        <v>921</v>
      </c>
      <c r="G724" s="24" t="s">
        <v>1735</v>
      </c>
      <c r="H724" s="16">
        <v>37</v>
      </c>
      <c r="I724" s="25">
        <v>3</v>
      </c>
      <c r="J724" s="56">
        <v>4650</v>
      </c>
      <c r="K724" s="15">
        <v>2350</v>
      </c>
      <c r="L724" s="24" t="s">
        <v>2041</v>
      </c>
      <c r="M724" s="24" t="s">
        <v>2014</v>
      </c>
      <c r="N724" s="1" t="s">
        <v>2013</v>
      </c>
      <c r="O724" s="15" t="s">
        <v>2082</v>
      </c>
      <c r="P724" s="15" t="s">
        <v>2442</v>
      </c>
      <c r="Q724" s="25" t="s">
        <v>2087</v>
      </c>
      <c r="R724" s="25" t="s">
        <v>2437</v>
      </c>
      <c r="S724" s="73" t="s">
        <v>2187</v>
      </c>
    </row>
    <row r="725" spans="1:19" x14ac:dyDescent="0.2">
      <c r="A725" s="1">
        <v>719</v>
      </c>
      <c r="B725" s="1" t="s">
        <v>117</v>
      </c>
      <c r="C725" s="1" t="s">
        <v>2446</v>
      </c>
      <c r="D725" s="11" t="s">
        <v>476</v>
      </c>
      <c r="E725" s="35" t="s">
        <v>864</v>
      </c>
      <c r="F725" s="67" t="s">
        <v>922</v>
      </c>
      <c r="G725" s="24" t="s">
        <v>1736</v>
      </c>
      <c r="H725" s="16">
        <v>42</v>
      </c>
      <c r="I725" s="25">
        <v>1</v>
      </c>
      <c r="J725" s="56">
        <v>2270</v>
      </c>
      <c r="K725" s="15">
        <v>1070</v>
      </c>
      <c r="L725" s="24" t="s">
        <v>2043</v>
      </c>
      <c r="M725" s="24" t="s">
        <v>2016</v>
      </c>
      <c r="N725" s="1" t="s">
        <v>2013</v>
      </c>
      <c r="O725" s="15" t="s">
        <v>2082</v>
      </c>
      <c r="P725" s="15" t="s">
        <v>2442</v>
      </c>
      <c r="Q725" s="25" t="s">
        <v>2084</v>
      </c>
      <c r="R725" s="25" t="s">
        <v>2435</v>
      </c>
      <c r="S725" s="73" t="s">
        <v>2341</v>
      </c>
    </row>
    <row r="726" spans="1:19" x14ac:dyDescent="0.2">
      <c r="A726" s="1">
        <v>720</v>
      </c>
      <c r="B726" s="1" t="s">
        <v>478</v>
      </c>
      <c r="C726" s="1" t="s">
        <v>2446</v>
      </c>
      <c r="D726" s="11" t="s">
        <v>477</v>
      </c>
      <c r="E726" s="35" t="s">
        <v>863</v>
      </c>
      <c r="F726" s="67" t="s">
        <v>923</v>
      </c>
      <c r="G726" s="24" t="s">
        <v>1737</v>
      </c>
      <c r="H726" s="16">
        <v>24</v>
      </c>
      <c r="I726" s="25">
        <v>4</v>
      </c>
      <c r="J726" s="56">
        <v>3020</v>
      </c>
      <c r="K726" s="15">
        <v>1520</v>
      </c>
      <c r="L726" s="24" t="s">
        <v>2026</v>
      </c>
      <c r="M726" s="24" t="s">
        <v>2020</v>
      </c>
      <c r="N726" s="1" t="s">
        <v>2013</v>
      </c>
      <c r="O726" s="15" t="s">
        <v>2082</v>
      </c>
      <c r="P726" s="15" t="s">
        <v>2442</v>
      </c>
      <c r="Q726" s="25" t="s">
        <v>2088</v>
      </c>
      <c r="R726" s="25" t="s">
        <v>2434</v>
      </c>
      <c r="S726" s="73" t="s">
        <v>2384</v>
      </c>
    </row>
    <row r="727" spans="1:19" x14ac:dyDescent="0.2">
      <c r="A727" s="1">
        <v>721</v>
      </c>
      <c r="B727" s="1" t="s">
        <v>480</v>
      </c>
      <c r="C727" s="1" t="s">
        <v>2446</v>
      </c>
      <c r="D727" s="11" t="s">
        <v>479</v>
      </c>
      <c r="E727" s="35" t="s">
        <v>864</v>
      </c>
      <c r="F727" s="67" t="s">
        <v>924</v>
      </c>
      <c r="G727" s="24" t="s">
        <v>1738</v>
      </c>
      <c r="H727" s="16">
        <v>57</v>
      </c>
      <c r="I727" s="25">
        <v>5</v>
      </c>
      <c r="J727" s="56">
        <v>1800</v>
      </c>
      <c r="K727" s="15">
        <v>850</v>
      </c>
      <c r="L727" s="24" t="s">
        <v>2036</v>
      </c>
      <c r="M727" s="24" t="s">
        <v>2014</v>
      </c>
      <c r="N727" s="1" t="s">
        <v>2013</v>
      </c>
      <c r="O727" s="15" t="s">
        <v>2082</v>
      </c>
      <c r="P727" s="15" t="s">
        <v>2442</v>
      </c>
      <c r="Q727" s="25" t="s">
        <v>2087</v>
      </c>
      <c r="R727" s="25" t="s">
        <v>2436</v>
      </c>
      <c r="S727" s="73" t="s">
        <v>2351</v>
      </c>
    </row>
    <row r="728" spans="1:19" x14ac:dyDescent="0.2">
      <c r="A728" s="1">
        <v>722</v>
      </c>
      <c r="B728" s="1" t="s">
        <v>8</v>
      </c>
      <c r="C728" s="1" t="s">
        <v>2446</v>
      </c>
      <c r="D728" s="11" t="s">
        <v>481</v>
      </c>
      <c r="E728" s="35" t="s">
        <v>822</v>
      </c>
      <c r="F728" s="67" t="s">
        <v>925</v>
      </c>
      <c r="G728" s="24" t="s">
        <v>1739</v>
      </c>
      <c r="H728" s="16">
        <v>35</v>
      </c>
      <c r="I728" s="25">
        <v>3</v>
      </c>
      <c r="J728" s="56">
        <v>1450</v>
      </c>
      <c r="K728" s="15">
        <v>550</v>
      </c>
      <c r="L728" s="24" t="s">
        <v>2049</v>
      </c>
      <c r="M728" s="24" t="s">
        <v>2016</v>
      </c>
      <c r="N728" s="1" t="s">
        <v>2013</v>
      </c>
      <c r="O728" s="15" t="s">
        <v>2082</v>
      </c>
      <c r="P728" s="15" t="s">
        <v>2442</v>
      </c>
      <c r="Q728" s="25" t="s">
        <v>2087</v>
      </c>
      <c r="R728" s="25" t="s">
        <v>2437</v>
      </c>
      <c r="S728" s="73" t="s">
        <v>2190</v>
      </c>
    </row>
    <row r="729" spans="1:19" x14ac:dyDescent="0.2">
      <c r="A729" s="1">
        <v>723</v>
      </c>
      <c r="B729" s="1" t="s">
        <v>397</v>
      </c>
      <c r="C729" s="1" t="s">
        <v>2446</v>
      </c>
      <c r="D729" s="11" t="s">
        <v>482</v>
      </c>
      <c r="E729" s="35" t="s">
        <v>863</v>
      </c>
      <c r="F729" s="69" t="s">
        <v>904</v>
      </c>
      <c r="G729" s="24" t="s">
        <v>1740</v>
      </c>
      <c r="H729" s="16">
        <v>40</v>
      </c>
      <c r="I729" s="25">
        <v>2</v>
      </c>
      <c r="J729" s="56">
        <v>2610</v>
      </c>
      <c r="K729" s="15">
        <v>1070</v>
      </c>
      <c r="L729" s="24" t="s">
        <v>2058</v>
      </c>
      <c r="M729" s="24" t="s">
        <v>2020</v>
      </c>
      <c r="N729" s="1" t="s">
        <v>2013</v>
      </c>
      <c r="O729" s="15" t="s">
        <v>2082</v>
      </c>
      <c r="P729" s="15" t="s">
        <v>2442</v>
      </c>
      <c r="Q729" s="25" t="s">
        <v>2086</v>
      </c>
      <c r="R729" s="25" t="s">
        <v>2435</v>
      </c>
      <c r="S729" s="73" t="s">
        <v>2398</v>
      </c>
    </row>
    <row r="730" spans="1:19" x14ac:dyDescent="0.2">
      <c r="A730" s="1">
        <v>724</v>
      </c>
      <c r="B730" s="1" t="s">
        <v>484</v>
      </c>
      <c r="C730" s="1" t="s">
        <v>2446</v>
      </c>
      <c r="D730" s="11" t="s">
        <v>483</v>
      </c>
      <c r="E730" s="35" t="s">
        <v>864</v>
      </c>
      <c r="F730" s="66" t="s">
        <v>926</v>
      </c>
      <c r="G730" s="24" t="s">
        <v>1741</v>
      </c>
      <c r="H730" s="16">
        <v>21</v>
      </c>
      <c r="I730" s="25">
        <v>4</v>
      </c>
      <c r="J730" s="56">
        <v>4400</v>
      </c>
      <c r="K730" s="15">
        <v>1900</v>
      </c>
      <c r="L730" s="24" t="s">
        <v>2027</v>
      </c>
      <c r="M730" s="24" t="s">
        <v>2014</v>
      </c>
      <c r="N730" s="1" t="s">
        <v>2013</v>
      </c>
      <c r="O730" s="15" t="s">
        <v>2082</v>
      </c>
      <c r="P730" s="15" t="s">
        <v>2442</v>
      </c>
      <c r="Q730" s="25" t="s">
        <v>2084</v>
      </c>
      <c r="R730" s="25" t="s">
        <v>2436</v>
      </c>
      <c r="S730" s="73" t="s">
        <v>2301</v>
      </c>
    </row>
    <row r="731" spans="1:19" x14ac:dyDescent="0.2">
      <c r="A731" s="1">
        <v>725</v>
      </c>
      <c r="B731" s="1" t="s">
        <v>353</v>
      </c>
      <c r="C731" s="1" t="s">
        <v>2446</v>
      </c>
      <c r="D731" s="11" t="s">
        <v>485</v>
      </c>
      <c r="E731" s="35" t="s">
        <v>822</v>
      </c>
      <c r="F731" s="66" t="s">
        <v>927</v>
      </c>
      <c r="G731" s="24" t="s">
        <v>1742</v>
      </c>
      <c r="H731" s="16">
        <v>59</v>
      </c>
      <c r="I731" s="25">
        <v>1</v>
      </c>
      <c r="J731" s="56">
        <v>2450</v>
      </c>
      <c r="K731" s="15">
        <v>900</v>
      </c>
      <c r="L731" s="24" t="s">
        <v>2052</v>
      </c>
      <c r="M731" s="24" t="s">
        <v>2016</v>
      </c>
      <c r="N731" s="1" t="s">
        <v>2013</v>
      </c>
      <c r="O731" s="15" t="s">
        <v>2082</v>
      </c>
      <c r="P731" s="15" t="s">
        <v>2442</v>
      </c>
      <c r="Q731" s="25" t="s">
        <v>2085</v>
      </c>
      <c r="R731" s="25" t="s">
        <v>2434</v>
      </c>
      <c r="S731" s="73" t="s">
        <v>2092</v>
      </c>
    </row>
    <row r="732" spans="1:19" x14ac:dyDescent="0.2">
      <c r="A732" s="1">
        <v>726</v>
      </c>
      <c r="B732" s="1" t="s">
        <v>6</v>
      </c>
      <c r="C732" s="1" t="s">
        <v>2445</v>
      </c>
      <c r="D732" s="11" t="s">
        <v>869</v>
      </c>
      <c r="E732" s="35" t="s">
        <v>818</v>
      </c>
      <c r="F732" s="66" t="s">
        <v>877</v>
      </c>
      <c r="G732" s="24" t="s">
        <v>1743</v>
      </c>
      <c r="H732" s="16">
        <v>32</v>
      </c>
      <c r="I732" s="25">
        <v>5</v>
      </c>
      <c r="J732" s="56">
        <v>1890</v>
      </c>
      <c r="K732" s="15">
        <v>1000</v>
      </c>
      <c r="L732" s="24" t="s">
        <v>2028</v>
      </c>
      <c r="M732" s="24" t="s">
        <v>2024</v>
      </c>
      <c r="N732" s="1" t="s">
        <v>2013</v>
      </c>
      <c r="O732" s="15" t="s">
        <v>2082</v>
      </c>
      <c r="P732" s="15" t="s">
        <v>2442</v>
      </c>
      <c r="Q732" s="25" t="s">
        <v>2090</v>
      </c>
      <c r="R732" s="25" t="s">
        <v>2437</v>
      </c>
      <c r="S732" s="73" t="s">
        <v>2317</v>
      </c>
    </row>
    <row r="733" spans="1:19" x14ac:dyDescent="0.2">
      <c r="A733" s="1">
        <v>727</v>
      </c>
      <c r="B733" s="1" t="s">
        <v>487</v>
      </c>
      <c r="C733" s="1" t="s">
        <v>2446</v>
      </c>
      <c r="D733" s="11" t="s">
        <v>486</v>
      </c>
      <c r="E733" s="35" t="s">
        <v>864</v>
      </c>
      <c r="F733" s="66" t="s">
        <v>878</v>
      </c>
      <c r="G733" s="24" t="s">
        <v>1744</v>
      </c>
      <c r="H733" s="16">
        <v>46</v>
      </c>
      <c r="I733" s="25">
        <v>2</v>
      </c>
      <c r="J733" s="56">
        <v>2150</v>
      </c>
      <c r="K733" s="15">
        <v>950</v>
      </c>
      <c r="L733" s="24" t="s">
        <v>2027</v>
      </c>
      <c r="M733" s="24" t="s">
        <v>2014</v>
      </c>
      <c r="N733" s="1" t="s">
        <v>2013</v>
      </c>
      <c r="O733" s="15" t="s">
        <v>2082</v>
      </c>
      <c r="P733" s="15" t="s">
        <v>2442</v>
      </c>
      <c r="Q733" s="25" t="s">
        <v>2085</v>
      </c>
      <c r="R733" s="25" t="s">
        <v>2435</v>
      </c>
      <c r="S733" s="73" t="s">
        <v>2099</v>
      </c>
    </row>
    <row r="734" spans="1:19" x14ac:dyDescent="0.2">
      <c r="A734" s="1">
        <v>728</v>
      </c>
      <c r="B734" s="1" t="s">
        <v>489</v>
      </c>
      <c r="C734" s="1" t="s">
        <v>2446</v>
      </c>
      <c r="D734" s="11" t="s">
        <v>488</v>
      </c>
      <c r="E734" s="35" t="s">
        <v>822</v>
      </c>
      <c r="F734" s="66" t="s">
        <v>879</v>
      </c>
      <c r="G734" s="24" t="s">
        <v>1745</v>
      </c>
      <c r="H734" s="16">
        <v>54</v>
      </c>
      <c r="I734" s="25">
        <v>3</v>
      </c>
      <c r="J734" s="56">
        <v>2670</v>
      </c>
      <c r="K734" s="15">
        <v>1370</v>
      </c>
      <c r="L734" s="24" t="s">
        <v>2046</v>
      </c>
      <c r="M734" s="24" t="s">
        <v>2016</v>
      </c>
      <c r="N734" s="1" t="s">
        <v>2013</v>
      </c>
      <c r="O734" s="15" t="s">
        <v>2082</v>
      </c>
      <c r="P734" s="15" t="s">
        <v>2442</v>
      </c>
      <c r="Q734" s="25" t="s">
        <v>2086</v>
      </c>
      <c r="R734" s="25" t="s">
        <v>2434</v>
      </c>
      <c r="S734" s="73" t="s">
        <v>2294</v>
      </c>
    </row>
    <row r="735" spans="1:19" x14ac:dyDescent="0.2">
      <c r="A735" s="1">
        <v>729</v>
      </c>
      <c r="B735" s="1" t="s">
        <v>93</v>
      </c>
      <c r="C735" s="1" t="s">
        <v>2446</v>
      </c>
      <c r="D735" s="11" t="s">
        <v>490</v>
      </c>
      <c r="E735" s="35" t="s">
        <v>863</v>
      </c>
      <c r="F735" s="66" t="s">
        <v>880</v>
      </c>
      <c r="G735" s="24" t="s">
        <v>1746</v>
      </c>
      <c r="H735" s="16">
        <v>25</v>
      </c>
      <c r="I735" s="25">
        <v>4</v>
      </c>
      <c r="J735" s="56">
        <v>6950</v>
      </c>
      <c r="K735" s="15">
        <v>3950</v>
      </c>
      <c r="L735" s="24" t="s">
        <v>2041</v>
      </c>
      <c r="M735" s="24" t="s">
        <v>2020</v>
      </c>
      <c r="N735" s="1" t="s">
        <v>2013</v>
      </c>
      <c r="O735" s="15" t="s">
        <v>2082</v>
      </c>
      <c r="P735" s="15" t="s">
        <v>2442</v>
      </c>
      <c r="Q735" s="25" t="s">
        <v>2086</v>
      </c>
      <c r="R735" s="25" t="s">
        <v>2436</v>
      </c>
      <c r="S735" s="73" t="s">
        <v>2399</v>
      </c>
    </row>
    <row r="736" spans="1:19" x14ac:dyDescent="0.2">
      <c r="A736" s="1">
        <v>730</v>
      </c>
      <c r="B736" s="1" t="s">
        <v>492</v>
      </c>
      <c r="C736" s="1" t="s">
        <v>2446</v>
      </c>
      <c r="D736" s="11" t="s">
        <v>491</v>
      </c>
      <c r="E736" s="35" t="s">
        <v>822</v>
      </c>
      <c r="F736" s="66" t="s">
        <v>878</v>
      </c>
      <c r="G736" s="24" t="s">
        <v>1747</v>
      </c>
      <c r="H736" s="16">
        <v>43</v>
      </c>
      <c r="I736" s="25">
        <v>1</v>
      </c>
      <c r="J736" s="56">
        <v>7490</v>
      </c>
      <c r="K736" s="15">
        <v>2900</v>
      </c>
      <c r="L736" s="24" t="s">
        <v>2056</v>
      </c>
      <c r="M736" s="24" t="s">
        <v>2024</v>
      </c>
      <c r="N736" s="1" t="s">
        <v>2013</v>
      </c>
      <c r="O736" s="15" t="s">
        <v>2082</v>
      </c>
      <c r="P736" s="15" t="s">
        <v>2442</v>
      </c>
      <c r="Q736" s="25" t="s">
        <v>2083</v>
      </c>
      <c r="R736" s="25" t="s">
        <v>2437</v>
      </c>
      <c r="S736" s="73" t="s">
        <v>2152</v>
      </c>
    </row>
    <row r="737" spans="1:19" x14ac:dyDescent="0.2">
      <c r="A737" s="1">
        <v>731</v>
      </c>
      <c r="B737" s="1" t="s">
        <v>493</v>
      </c>
      <c r="C737" s="1" t="s">
        <v>2446</v>
      </c>
      <c r="D737" s="11" t="s">
        <v>2648</v>
      </c>
      <c r="E737" s="35" t="s">
        <v>864</v>
      </c>
      <c r="F737" s="66" t="s">
        <v>926</v>
      </c>
      <c r="G737" s="24" t="s">
        <v>1748</v>
      </c>
      <c r="H737" s="16">
        <v>58</v>
      </c>
      <c r="I737" s="25">
        <v>5</v>
      </c>
      <c r="J737" s="56">
        <v>3350</v>
      </c>
      <c r="K737" s="15">
        <v>1950</v>
      </c>
      <c r="L737" s="24" t="s">
        <v>2019</v>
      </c>
      <c r="M737" s="24" t="s">
        <v>2014</v>
      </c>
      <c r="N737" s="1" t="s">
        <v>2013</v>
      </c>
      <c r="O737" s="15" t="s">
        <v>2082</v>
      </c>
      <c r="P737" s="15" t="s">
        <v>2442</v>
      </c>
      <c r="Q737" s="25" t="s">
        <v>2089</v>
      </c>
      <c r="R737" s="25" t="s">
        <v>2435</v>
      </c>
      <c r="S737" s="73" t="s">
        <v>2400</v>
      </c>
    </row>
    <row r="738" spans="1:19" x14ac:dyDescent="0.2">
      <c r="A738" s="1">
        <v>732</v>
      </c>
      <c r="B738" s="1" t="s">
        <v>494</v>
      </c>
      <c r="C738" s="1" t="s">
        <v>2446</v>
      </c>
      <c r="D738" s="11" t="s">
        <v>2649</v>
      </c>
      <c r="E738" s="35" t="s">
        <v>822</v>
      </c>
      <c r="F738" s="66" t="s">
        <v>927</v>
      </c>
      <c r="G738" s="24" t="s">
        <v>1749</v>
      </c>
      <c r="H738" s="16">
        <v>20</v>
      </c>
      <c r="I738" s="25">
        <v>3</v>
      </c>
      <c r="J738" s="56">
        <v>3120</v>
      </c>
      <c r="K738" s="15">
        <v>1920</v>
      </c>
      <c r="L738" s="24" t="s">
        <v>2051</v>
      </c>
      <c r="M738" s="24" t="s">
        <v>2020</v>
      </c>
      <c r="N738" s="1" t="s">
        <v>2013</v>
      </c>
      <c r="O738" s="15" t="s">
        <v>2082</v>
      </c>
      <c r="P738" s="15" t="s">
        <v>2442</v>
      </c>
      <c r="Q738" s="25" t="s">
        <v>2084</v>
      </c>
      <c r="R738" s="25" t="s">
        <v>2436</v>
      </c>
      <c r="S738" s="73" t="s">
        <v>2150</v>
      </c>
    </row>
    <row r="739" spans="1:19" x14ac:dyDescent="0.2">
      <c r="A739" s="1">
        <v>733</v>
      </c>
      <c r="B739" s="1" t="s">
        <v>496</v>
      </c>
      <c r="C739" s="1" t="s">
        <v>2446</v>
      </c>
      <c r="D739" s="11" t="s">
        <v>495</v>
      </c>
      <c r="E739" s="35" t="s">
        <v>863</v>
      </c>
      <c r="F739" s="66" t="s">
        <v>877</v>
      </c>
      <c r="G739" s="24" t="s">
        <v>1750</v>
      </c>
      <c r="H739" s="16">
        <v>49</v>
      </c>
      <c r="I739" s="25">
        <v>5</v>
      </c>
      <c r="J739" s="56">
        <v>3050</v>
      </c>
      <c r="K739" s="15">
        <v>1450</v>
      </c>
      <c r="L739" s="24" t="s">
        <v>2057</v>
      </c>
      <c r="M739" s="24" t="s">
        <v>2020</v>
      </c>
      <c r="N739" s="1" t="s">
        <v>2013</v>
      </c>
      <c r="O739" s="15" t="s">
        <v>2082</v>
      </c>
      <c r="P739" s="15" t="s">
        <v>2442</v>
      </c>
      <c r="Q739" s="25" t="s">
        <v>2089</v>
      </c>
      <c r="R739" s="25" t="s">
        <v>2434</v>
      </c>
      <c r="S739" s="73" t="s">
        <v>2401</v>
      </c>
    </row>
    <row r="740" spans="1:19" x14ac:dyDescent="0.2">
      <c r="A740" s="1">
        <v>734</v>
      </c>
      <c r="B740" s="1" t="s">
        <v>496</v>
      </c>
      <c r="C740" s="1" t="s">
        <v>2446</v>
      </c>
      <c r="D740" s="11" t="s">
        <v>497</v>
      </c>
      <c r="E740" s="35" t="s">
        <v>822</v>
      </c>
      <c r="F740" s="66" t="s">
        <v>878</v>
      </c>
      <c r="G740" s="24" t="s">
        <v>1751</v>
      </c>
      <c r="H740" s="16">
        <v>34</v>
      </c>
      <c r="I740" s="25">
        <v>2</v>
      </c>
      <c r="J740" s="56">
        <v>2640</v>
      </c>
      <c r="K740" s="15">
        <v>1300</v>
      </c>
      <c r="L740" s="24" t="s">
        <v>2053</v>
      </c>
      <c r="M740" s="24" t="s">
        <v>2014</v>
      </c>
      <c r="N740" s="1" t="s">
        <v>2013</v>
      </c>
      <c r="O740" s="15" t="s">
        <v>2082</v>
      </c>
      <c r="P740" s="15" t="s">
        <v>2442</v>
      </c>
      <c r="Q740" s="25" t="s">
        <v>2084</v>
      </c>
      <c r="R740" s="25" t="s">
        <v>2437</v>
      </c>
      <c r="S740" s="73" t="s">
        <v>2402</v>
      </c>
    </row>
    <row r="741" spans="1:19" x14ac:dyDescent="0.2">
      <c r="A741" s="1">
        <v>735</v>
      </c>
      <c r="B741" s="1" t="s">
        <v>498</v>
      </c>
      <c r="C741" s="1" t="s">
        <v>2446</v>
      </c>
      <c r="D741" s="13" t="s">
        <v>2650</v>
      </c>
      <c r="E741" s="35" t="s">
        <v>864</v>
      </c>
      <c r="F741" s="66" t="s">
        <v>879</v>
      </c>
      <c r="G741" s="24" t="s">
        <v>1752</v>
      </c>
      <c r="H741" s="16">
        <v>27</v>
      </c>
      <c r="I741" s="25">
        <v>1</v>
      </c>
      <c r="J741" s="56">
        <v>4199</v>
      </c>
      <c r="K741" s="15">
        <v>2200</v>
      </c>
      <c r="L741" s="24" t="s">
        <v>2049</v>
      </c>
      <c r="M741" s="24" t="s">
        <v>2016</v>
      </c>
      <c r="N741" s="1" t="s">
        <v>2013</v>
      </c>
      <c r="O741" s="15" t="s">
        <v>2082</v>
      </c>
      <c r="P741" s="15" t="s">
        <v>2442</v>
      </c>
      <c r="Q741" s="25" t="s">
        <v>2089</v>
      </c>
      <c r="R741" s="25" t="s">
        <v>2435</v>
      </c>
      <c r="S741" s="73" t="s">
        <v>2124</v>
      </c>
    </row>
    <row r="742" spans="1:19" x14ac:dyDescent="0.2">
      <c r="A742" s="1">
        <v>736</v>
      </c>
      <c r="B742" s="1" t="s">
        <v>499</v>
      </c>
      <c r="C742" s="1" t="s">
        <v>2446</v>
      </c>
      <c r="D742" s="11" t="s">
        <v>2651</v>
      </c>
      <c r="E742" s="35" t="s">
        <v>822</v>
      </c>
      <c r="F742" s="66" t="s">
        <v>880</v>
      </c>
      <c r="G742" s="24" t="s">
        <v>1753</v>
      </c>
      <c r="H742" s="16">
        <v>45</v>
      </c>
      <c r="I742" s="25">
        <v>3</v>
      </c>
      <c r="J742" s="56">
        <v>4670</v>
      </c>
      <c r="K742" s="15">
        <v>2100</v>
      </c>
      <c r="L742" s="24" t="s">
        <v>2060</v>
      </c>
      <c r="M742" s="24" t="s">
        <v>2024</v>
      </c>
      <c r="N742" s="1" t="s">
        <v>2013</v>
      </c>
      <c r="O742" s="15" t="s">
        <v>2082</v>
      </c>
      <c r="P742" s="15" t="s">
        <v>2442</v>
      </c>
      <c r="Q742" s="25" t="s">
        <v>2086</v>
      </c>
      <c r="R742" s="25" t="s">
        <v>2434</v>
      </c>
      <c r="S742" s="73" t="s">
        <v>2403</v>
      </c>
    </row>
    <row r="743" spans="1:19" x14ac:dyDescent="0.2">
      <c r="A743" s="1">
        <v>737</v>
      </c>
      <c r="B743" s="1" t="s">
        <v>501</v>
      </c>
      <c r="C743" s="1" t="s">
        <v>2446</v>
      </c>
      <c r="D743" s="11" t="s">
        <v>500</v>
      </c>
      <c r="E743" s="35" t="s">
        <v>863</v>
      </c>
      <c r="F743" s="66" t="s">
        <v>878</v>
      </c>
      <c r="G743" s="24" t="s">
        <v>1754</v>
      </c>
      <c r="H743" s="16">
        <v>52</v>
      </c>
      <c r="I743" s="25">
        <v>4</v>
      </c>
      <c r="J743" s="56">
        <v>3130</v>
      </c>
      <c r="K743" s="15">
        <v>1750</v>
      </c>
      <c r="L743" s="24" t="s">
        <v>2039</v>
      </c>
      <c r="M743" s="24" t="s">
        <v>2014</v>
      </c>
      <c r="N743" s="1" t="s">
        <v>2013</v>
      </c>
      <c r="O743" s="15" t="s">
        <v>2082</v>
      </c>
      <c r="P743" s="15" t="s">
        <v>2442</v>
      </c>
      <c r="Q743" s="25" t="s">
        <v>2089</v>
      </c>
      <c r="R743" s="25" t="s">
        <v>2436</v>
      </c>
      <c r="S743" s="73" t="s">
        <v>2187</v>
      </c>
    </row>
    <row r="744" spans="1:19" x14ac:dyDescent="0.2">
      <c r="A744" s="1">
        <v>738</v>
      </c>
      <c r="B744" s="1" t="s">
        <v>503</v>
      </c>
      <c r="C744" s="1" t="s">
        <v>2446</v>
      </c>
      <c r="D744" s="11" t="s">
        <v>502</v>
      </c>
      <c r="E744" s="35" t="s">
        <v>822</v>
      </c>
      <c r="F744" s="66" t="s">
        <v>879</v>
      </c>
      <c r="G744" s="24" t="s">
        <v>1755</v>
      </c>
      <c r="H744" s="16">
        <v>23</v>
      </c>
      <c r="I744" s="25">
        <v>5</v>
      </c>
      <c r="J744" s="56">
        <v>2590</v>
      </c>
      <c r="K744" s="15">
        <v>1190</v>
      </c>
      <c r="L744" s="24" t="s">
        <v>2042</v>
      </c>
      <c r="M744" s="24" t="s">
        <v>2024</v>
      </c>
      <c r="N744" s="1" t="s">
        <v>2013</v>
      </c>
      <c r="O744" s="15" t="s">
        <v>2082</v>
      </c>
      <c r="P744" s="15" t="s">
        <v>2442</v>
      </c>
      <c r="Q744" s="25" t="s">
        <v>2088</v>
      </c>
      <c r="R744" s="25" t="s">
        <v>2437</v>
      </c>
      <c r="S744" s="73" t="s">
        <v>2396</v>
      </c>
    </row>
    <row r="745" spans="1:19" x14ac:dyDescent="0.2">
      <c r="A745" s="1">
        <v>739</v>
      </c>
      <c r="B745" s="1" t="s">
        <v>505</v>
      </c>
      <c r="C745" s="1" t="s">
        <v>2446</v>
      </c>
      <c r="D745" s="11" t="s">
        <v>504</v>
      </c>
      <c r="E745" s="35" t="s">
        <v>863</v>
      </c>
      <c r="F745" s="66" t="s">
        <v>880</v>
      </c>
      <c r="G745" s="24" t="s">
        <v>1756</v>
      </c>
      <c r="H745" s="16">
        <v>38</v>
      </c>
      <c r="I745" s="25">
        <v>2</v>
      </c>
      <c r="J745" s="56">
        <v>2460</v>
      </c>
      <c r="K745" s="15">
        <v>1260</v>
      </c>
      <c r="L745" s="24" t="s">
        <v>2034</v>
      </c>
      <c r="M745" s="24" t="s">
        <v>2016</v>
      </c>
      <c r="N745" s="1" t="s">
        <v>2013</v>
      </c>
      <c r="O745" s="15" t="s">
        <v>2082</v>
      </c>
      <c r="P745" s="15" t="s">
        <v>2442</v>
      </c>
      <c r="Q745" s="25" t="s">
        <v>2089</v>
      </c>
      <c r="R745" s="25" t="s">
        <v>2435</v>
      </c>
      <c r="S745" s="73" t="s">
        <v>2107</v>
      </c>
    </row>
    <row r="746" spans="1:19" x14ac:dyDescent="0.2">
      <c r="A746" s="1">
        <v>740</v>
      </c>
      <c r="B746" s="1" t="s">
        <v>507</v>
      </c>
      <c r="C746" s="1" t="s">
        <v>2446</v>
      </c>
      <c r="D746" s="11" t="s">
        <v>506</v>
      </c>
      <c r="E746" s="35" t="s">
        <v>828</v>
      </c>
      <c r="F746" s="66" t="s">
        <v>881</v>
      </c>
      <c r="G746" s="24" t="s">
        <v>1757</v>
      </c>
      <c r="H746" s="16">
        <v>41</v>
      </c>
      <c r="I746" s="25">
        <v>3</v>
      </c>
      <c r="J746" s="56">
        <v>3250</v>
      </c>
      <c r="K746" s="15">
        <v>2250</v>
      </c>
      <c r="L746" s="24" t="s">
        <v>2058</v>
      </c>
      <c r="M746" s="24" t="s">
        <v>2020</v>
      </c>
      <c r="N746" s="1" t="s">
        <v>2013</v>
      </c>
      <c r="O746" s="15" t="s">
        <v>2082</v>
      </c>
      <c r="P746" s="15" t="s">
        <v>2442</v>
      </c>
      <c r="Q746" s="25" t="s">
        <v>2089</v>
      </c>
      <c r="R746" s="25" t="s">
        <v>2436</v>
      </c>
      <c r="S746" s="73" t="s">
        <v>2317</v>
      </c>
    </row>
    <row r="747" spans="1:19" x14ac:dyDescent="0.2">
      <c r="A747" s="1">
        <v>741</v>
      </c>
      <c r="B747" s="1" t="s">
        <v>508</v>
      </c>
      <c r="C747" s="1" t="s">
        <v>2446</v>
      </c>
      <c r="D747" s="11" t="s">
        <v>2652</v>
      </c>
      <c r="E747" s="35" t="s">
        <v>823</v>
      </c>
      <c r="F747" s="66" t="s">
        <v>882</v>
      </c>
      <c r="G747" s="24" t="s">
        <v>1758</v>
      </c>
      <c r="H747" s="16">
        <v>29</v>
      </c>
      <c r="I747" s="25">
        <v>1</v>
      </c>
      <c r="J747" s="56">
        <v>5240</v>
      </c>
      <c r="K747" s="15">
        <v>1640</v>
      </c>
      <c r="L747" s="24" t="s">
        <v>2055</v>
      </c>
      <c r="M747" s="24" t="s">
        <v>2014</v>
      </c>
      <c r="N747" s="1" t="s">
        <v>2013</v>
      </c>
      <c r="O747" s="15" t="s">
        <v>2082</v>
      </c>
      <c r="P747" s="15" t="s">
        <v>2442</v>
      </c>
      <c r="Q747" s="25" t="s">
        <v>2084</v>
      </c>
      <c r="R747" s="25" t="s">
        <v>2434</v>
      </c>
      <c r="S747" s="73" t="s">
        <v>2404</v>
      </c>
    </row>
    <row r="748" spans="1:19" x14ac:dyDescent="0.2">
      <c r="A748" s="1">
        <v>742</v>
      </c>
      <c r="B748" s="1" t="s">
        <v>509</v>
      </c>
      <c r="C748" s="1" t="s">
        <v>2446</v>
      </c>
      <c r="D748" s="11" t="s">
        <v>2653</v>
      </c>
      <c r="E748" s="35" t="s">
        <v>823</v>
      </c>
      <c r="F748" s="66" t="s">
        <v>881</v>
      </c>
      <c r="G748" s="24" t="s">
        <v>1759</v>
      </c>
      <c r="H748" s="16">
        <v>60</v>
      </c>
      <c r="I748" s="25">
        <v>2</v>
      </c>
      <c r="J748" s="56">
        <v>4750</v>
      </c>
      <c r="K748" s="15">
        <v>2550</v>
      </c>
      <c r="L748" s="24" t="s">
        <v>2046</v>
      </c>
      <c r="M748" s="24" t="s">
        <v>2016</v>
      </c>
      <c r="N748" s="1" t="s">
        <v>2013</v>
      </c>
      <c r="O748" s="15" t="s">
        <v>2082</v>
      </c>
      <c r="P748" s="15" t="s">
        <v>2442</v>
      </c>
      <c r="Q748" s="25" t="s">
        <v>2090</v>
      </c>
      <c r="R748" s="25" t="s">
        <v>2437</v>
      </c>
      <c r="S748" s="73" t="s">
        <v>2098</v>
      </c>
    </row>
    <row r="749" spans="1:19" x14ac:dyDescent="0.2">
      <c r="A749" s="1">
        <v>743</v>
      </c>
      <c r="B749" s="1" t="s">
        <v>510</v>
      </c>
      <c r="C749" s="1" t="s">
        <v>2446</v>
      </c>
      <c r="D749" s="11" t="s">
        <v>2654</v>
      </c>
      <c r="E749" s="35" t="s">
        <v>863</v>
      </c>
      <c r="F749" s="66" t="s">
        <v>883</v>
      </c>
      <c r="G749" s="24" t="s">
        <v>1760</v>
      </c>
      <c r="H749" s="16">
        <v>33</v>
      </c>
      <c r="I749" s="25">
        <v>4</v>
      </c>
      <c r="J749" s="56">
        <v>2200</v>
      </c>
      <c r="K749" s="15">
        <f>900+95</f>
        <v>995</v>
      </c>
      <c r="L749" s="24" t="s">
        <v>2028</v>
      </c>
      <c r="M749" s="24" t="s">
        <v>2024</v>
      </c>
      <c r="N749" s="1" t="s">
        <v>2013</v>
      </c>
      <c r="O749" s="15" t="s">
        <v>2082</v>
      </c>
      <c r="P749" s="15" t="s">
        <v>2442</v>
      </c>
      <c r="Q749" s="25" t="s">
        <v>2089</v>
      </c>
      <c r="R749" s="25" t="s">
        <v>2435</v>
      </c>
      <c r="S749" s="73" t="s">
        <v>2401</v>
      </c>
    </row>
    <row r="750" spans="1:19" x14ac:dyDescent="0.2">
      <c r="A750" s="1">
        <v>744</v>
      </c>
      <c r="B750" s="1" t="s">
        <v>511</v>
      </c>
      <c r="C750" s="1" t="s">
        <v>2446</v>
      </c>
      <c r="D750" s="11" t="s">
        <v>2655</v>
      </c>
      <c r="E750" s="35" t="s">
        <v>822</v>
      </c>
      <c r="F750" s="66" t="s">
        <v>884</v>
      </c>
      <c r="G750" s="24" t="s">
        <v>1761</v>
      </c>
      <c r="H750" s="16">
        <v>22</v>
      </c>
      <c r="I750" s="25">
        <v>5</v>
      </c>
      <c r="J750" s="56">
        <v>2290</v>
      </c>
      <c r="K750" s="15">
        <f>980+95</f>
        <v>1075</v>
      </c>
      <c r="L750" s="24" t="s">
        <v>2030</v>
      </c>
      <c r="M750" s="24" t="s">
        <v>2024</v>
      </c>
      <c r="N750" s="1" t="s">
        <v>2013</v>
      </c>
      <c r="O750" s="15" t="s">
        <v>2082</v>
      </c>
      <c r="P750" s="15" t="s">
        <v>2442</v>
      </c>
      <c r="Q750" s="25" t="s">
        <v>2085</v>
      </c>
      <c r="R750" s="25" t="s">
        <v>2434</v>
      </c>
      <c r="S750" s="73" t="s">
        <v>2322</v>
      </c>
    </row>
    <row r="751" spans="1:19" x14ac:dyDescent="0.2">
      <c r="A751" s="1">
        <v>745</v>
      </c>
      <c r="B751" s="1" t="s">
        <v>513</v>
      </c>
      <c r="C751" s="1" t="s">
        <v>2446</v>
      </c>
      <c r="D751" s="11" t="s">
        <v>512</v>
      </c>
      <c r="E751" s="35" t="s">
        <v>822</v>
      </c>
      <c r="F751" s="67" t="s">
        <v>931</v>
      </c>
      <c r="G751" s="24" t="s">
        <v>1762</v>
      </c>
      <c r="H751" s="16">
        <v>47</v>
      </c>
      <c r="I751" s="25">
        <v>2</v>
      </c>
      <c r="J751" s="56">
        <v>4970</v>
      </c>
      <c r="K751" s="15">
        <v>2000</v>
      </c>
      <c r="L751" s="24" t="s">
        <v>2040</v>
      </c>
      <c r="M751" s="24" t="s">
        <v>2014</v>
      </c>
      <c r="N751" s="1" t="s">
        <v>2013</v>
      </c>
      <c r="O751" s="15" t="s">
        <v>2082</v>
      </c>
      <c r="P751" s="15" t="s">
        <v>2442</v>
      </c>
      <c r="Q751" s="25" t="s">
        <v>2087</v>
      </c>
      <c r="R751" s="25" t="s">
        <v>2436</v>
      </c>
      <c r="S751" s="73" t="s">
        <v>2340</v>
      </c>
    </row>
    <row r="752" spans="1:19" x14ac:dyDescent="0.2">
      <c r="A752" s="1">
        <v>746</v>
      </c>
      <c r="B752" s="1" t="s">
        <v>515</v>
      </c>
      <c r="C752" s="1" t="s">
        <v>2446</v>
      </c>
      <c r="D752" s="11" t="s">
        <v>514</v>
      </c>
      <c r="E752" s="35" t="s">
        <v>864</v>
      </c>
      <c r="F752" s="66" t="s">
        <v>929</v>
      </c>
      <c r="G752" s="24" t="s">
        <v>1763</v>
      </c>
      <c r="H752" s="16">
        <v>55</v>
      </c>
      <c r="I752" s="25">
        <v>3</v>
      </c>
      <c r="J752" s="56">
        <v>1850</v>
      </c>
      <c r="K752" s="15">
        <v>650</v>
      </c>
      <c r="L752" s="24" t="s">
        <v>2036</v>
      </c>
      <c r="M752" s="24" t="s">
        <v>2014</v>
      </c>
      <c r="N752" s="1" t="s">
        <v>2013</v>
      </c>
      <c r="O752" s="15" t="s">
        <v>2082</v>
      </c>
      <c r="P752" s="15" t="s">
        <v>2442</v>
      </c>
      <c r="Q752" s="25" t="s">
        <v>2086</v>
      </c>
      <c r="R752" s="25" t="s">
        <v>2437</v>
      </c>
      <c r="S752" s="73" t="s">
        <v>2210</v>
      </c>
    </row>
    <row r="753" spans="1:19" x14ac:dyDescent="0.2">
      <c r="A753" s="1">
        <v>747</v>
      </c>
      <c r="B753" s="1" t="s">
        <v>200</v>
      </c>
      <c r="C753" s="1" t="s">
        <v>2446</v>
      </c>
      <c r="D753" s="11" t="s">
        <v>516</v>
      </c>
      <c r="E753" s="35" t="s">
        <v>863</v>
      </c>
      <c r="F753" s="66" t="s">
        <v>882</v>
      </c>
      <c r="G753" s="24" t="s">
        <v>1764</v>
      </c>
      <c r="H753" s="16">
        <v>36</v>
      </c>
      <c r="I753" s="25">
        <v>1</v>
      </c>
      <c r="J753" s="56">
        <v>4980</v>
      </c>
      <c r="K753" s="15">
        <v>1750</v>
      </c>
      <c r="L753" s="24" t="s">
        <v>2031</v>
      </c>
      <c r="M753" s="24" t="s">
        <v>2016</v>
      </c>
      <c r="N753" s="1" t="s">
        <v>2013</v>
      </c>
      <c r="O753" s="15" t="s">
        <v>2082</v>
      </c>
      <c r="P753" s="15" t="s">
        <v>2442</v>
      </c>
      <c r="Q753" s="25" t="s">
        <v>2088</v>
      </c>
      <c r="R753" s="25" t="s">
        <v>2435</v>
      </c>
      <c r="S753" s="73" t="s">
        <v>2345</v>
      </c>
    </row>
    <row r="754" spans="1:19" x14ac:dyDescent="0.2">
      <c r="A754" s="1">
        <v>748</v>
      </c>
      <c r="B754" s="1" t="s">
        <v>517</v>
      </c>
      <c r="C754" s="1" t="s">
        <v>2446</v>
      </c>
      <c r="D754" s="11" t="s">
        <v>2656</v>
      </c>
      <c r="E754" s="35" t="s">
        <v>864</v>
      </c>
      <c r="F754" s="66" t="s">
        <v>930</v>
      </c>
      <c r="G754" s="24" t="s">
        <v>1765</v>
      </c>
      <c r="H754" s="16">
        <v>28</v>
      </c>
      <c r="I754" s="25">
        <v>4</v>
      </c>
      <c r="J754" s="56">
        <f>3090+220</f>
        <v>3310</v>
      </c>
      <c r="K754" s="15">
        <f>1390+95</f>
        <v>1485</v>
      </c>
      <c r="L754" s="24" t="s">
        <v>2062</v>
      </c>
      <c r="M754" s="24" t="s">
        <v>2024</v>
      </c>
      <c r="N754" s="1" t="s">
        <v>2013</v>
      </c>
      <c r="O754" s="15" t="s">
        <v>2082</v>
      </c>
      <c r="P754" s="15" t="s">
        <v>2442</v>
      </c>
      <c r="Q754" s="25" t="s">
        <v>2084</v>
      </c>
      <c r="R754" s="25" t="s">
        <v>2436</v>
      </c>
      <c r="S754" s="73" t="s">
        <v>2180</v>
      </c>
    </row>
    <row r="755" spans="1:19" x14ac:dyDescent="0.2">
      <c r="A755" s="1">
        <v>749</v>
      </c>
      <c r="B755" s="1" t="s">
        <v>183</v>
      </c>
      <c r="C755" s="1" t="s">
        <v>2446</v>
      </c>
      <c r="D755" s="11" t="s">
        <v>2657</v>
      </c>
      <c r="E755" s="35" t="s">
        <v>822</v>
      </c>
      <c r="F755" s="67" t="s">
        <v>915</v>
      </c>
      <c r="G755" s="24" t="s">
        <v>1766</v>
      </c>
      <c r="H755" s="16">
        <v>50</v>
      </c>
      <c r="I755" s="25">
        <v>5</v>
      </c>
      <c r="J755" s="56">
        <v>2700</v>
      </c>
      <c r="K755" s="15">
        <v>1200</v>
      </c>
      <c r="L755" s="24" t="s">
        <v>2027</v>
      </c>
      <c r="M755" s="24" t="s">
        <v>2014</v>
      </c>
      <c r="N755" s="1" t="s">
        <v>2013</v>
      </c>
      <c r="O755" s="15" t="s">
        <v>2082</v>
      </c>
      <c r="P755" s="15" t="s">
        <v>2442</v>
      </c>
      <c r="Q755" s="25" t="s">
        <v>2084</v>
      </c>
      <c r="R755" s="25" t="s">
        <v>2434</v>
      </c>
      <c r="S755" s="73" t="s">
        <v>2405</v>
      </c>
    </row>
    <row r="756" spans="1:19" x14ac:dyDescent="0.2">
      <c r="A756" s="1">
        <v>750</v>
      </c>
      <c r="B756" s="1" t="s">
        <v>519</v>
      </c>
      <c r="C756" s="1" t="s">
        <v>2446</v>
      </c>
      <c r="D756" s="11" t="s">
        <v>518</v>
      </c>
      <c r="E756" s="35" t="s">
        <v>863</v>
      </c>
      <c r="F756" s="66" t="s">
        <v>920</v>
      </c>
      <c r="G756" s="24" t="s">
        <v>1767</v>
      </c>
      <c r="H756" s="16">
        <v>39</v>
      </c>
      <c r="I756" s="25">
        <v>3</v>
      </c>
      <c r="J756" s="56">
        <v>3340</v>
      </c>
      <c r="K756" s="15">
        <v>1240</v>
      </c>
      <c r="L756" s="24" t="s">
        <v>2037</v>
      </c>
      <c r="M756" s="24" t="s">
        <v>2014</v>
      </c>
      <c r="N756" s="1" t="s">
        <v>2013</v>
      </c>
      <c r="O756" s="15" t="s">
        <v>2082</v>
      </c>
      <c r="P756" s="15" t="s">
        <v>2442</v>
      </c>
      <c r="Q756" s="25" t="s">
        <v>2087</v>
      </c>
      <c r="R756" s="25" t="s">
        <v>2437</v>
      </c>
      <c r="S756" s="73" t="s">
        <v>2265</v>
      </c>
    </row>
    <row r="757" spans="1:19" x14ac:dyDescent="0.2">
      <c r="A757" s="1">
        <v>751</v>
      </c>
      <c r="B757" s="1" t="s">
        <v>521</v>
      </c>
      <c r="C757" s="1" t="s">
        <v>2446</v>
      </c>
      <c r="D757" s="11" t="s">
        <v>520</v>
      </c>
      <c r="E757" s="35" t="s">
        <v>864</v>
      </c>
      <c r="F757" s="67" t="s">
        <v>921</v>
      </c>
      <c r="G757" s="24" t="s">
        <v>1768</v>
      </c>
      <c r="H757" s="16">
        <v>31</v>
      </c>
      <c r="I757" s="25">
        <v>2</v>
      </c>
      <c r="J757" s="56">
        <v>3450</v>
      </c>
      <c r="K757" s="15">
        <v>1470</v>
      </c>
      <c r="L757" s="24" t="s">
        <v>2032</v>
      </c>
      <c r="M757" s="24" t="s">
        <v>2016</v>
      </c>
      <c r="N757" s="1" t="s">
        <v>2013</v>
      </c>
      <c r="O757" s="15" t="s">
        <v>2082</v>
      </c>
      <c r="P757" s="15" t="s">
        <v>2442</v>
      </c>
      <c r="Q757" s="25" t="s">
        <v>2088</v>
      </c>
      <c r="R757" s="25" t="s">
        <v>2435</v>
      </c>
      <c r="S757" s="73" t="s">
        <v>2406</v>
      </c>
    </row>
    <row r="758" spans="1:19" x14ac:dyDescent="0.2">
      <c r="A758" s="1">
        <v>752</v>
      </c>
      <c r="B758" s="1" t="s">
        <v>67</v>
      </c>
      <c r="C758" s="1" t="s">
        <v>2446</v>
      </c>
      <c r="D758" s="11" t="s">
        <v>522</v>
      </c>
      <c r="E758" s="35" t="s">
        <v>822</v>
      </c>
      <c r="F758" s="67" t="s">
        <v>922</v>
      </c>
      <c r="G758" s="24" t="s">
        <v>1769</v>
      </c>
      <c r="H758" s="16">
        <v>44</v>
      </c>
      <c r="I758" s="25">
        <v>4</v>
      </c>
      <c r="J758" s="56">
        <f>4950+220</f>
        <v>5170</v>
      </c>
      <c r="K758" s="15">
        <f>1950+95</f>
        <v>2045</v>
      </c>
      <c r="L758" s="24" t="s">
        <v>2040</v>
      </c>
      <c r="M758" s="24" t="s">
        <v>2020</v>
      </c>
      <c r="N758" s="1" t="s">
        <v>2013</v>
      </c>
      <c r="O758" s="15" t="s">
        <v>2082</v>
      </c>
      <c r="P758" s="15" t="s">
        <v>2442</v>
      </c>
      <c r="Q758" s="25" t="s">
        <v>2087</v>
      </c>
      <c r="R758" s="25" t="s">
        <v>2434</v>
      </c>
      <c r="S758" s="73" t="s">
        <v>2407</v>
      </c>
    </row>
    <row r="759" spans="1:19" x14ac:dyDescent="0.2">
      <c r="A759" s="1">
        <v>753</v>
      </c>
      <c r="B759" s="1" t="s">
        <v>524</v>
      </c>
      <c r="C759" s="1" t="s">
        <v>2446</v>
      </c>
      <c r="D759" s="11" t="s">
        <v>523</v>
      </c>
      <c r="E759" s="35" t="s">
        <v>863</v>
      </c>
      <c r="F759" s="67" t="s">
        <v>923</v>
      </c>
      <c r="G759" s="24" t="s">
        <v>1770</v>
      </c>
      <c r="H759" s="16">
        <v>26</v>
      </c>
      <c r="I759" s="25">
        <v>1</v>
      </c>
      <c r="J759" s="56">
        <v>2750</v>
      </c>
      <c r="K759" s="15">
        <v>1150</v>
      </c>
      <c r="L759" s="24" t="s">
        <v>2028</v>
      </c>
      <c r="M759" s="24" t="s">
        <v>2014</v>
      </c>
      <c r="N759" s="1" t="s">
        <v>2013</v>
      </c>
      <c r="O759" s="15" t="s">
        <v>2082</v>
      </c>
      <c r="P759" s="15" t="s">
        <v>2442</v>
      </c>
      <c r="Q759" s="25" t="s">
        <v>2085</v>
      </c>
      <c r="R759" s="25" t="s">
        <v>2436</v>
      </c>
      <c r="S759" s="73" t="s">
        <v>2196</v>
      </c>
    </row>
    <row r="760" spans="1:19" x14ac:dyDescent="0.2">
      <c r="A760" s="1">
        <v>754</v>
      </c>
      <c r="B760" s="1" t="s">
        <v>12</v>
      </c>
      <c r="C760" s="1" t="s">
        <v>2445</v>
      </c>
      <c r="D760" s="11" t="s">
        <v>869</v>
      </c>
      <c r="E760" s="35" t="s">
        <v>817</v>
      </c>
      <c r="F760" s="67" t="s">
        <v>924</v>
      </c>
      <c r="G760" s="24" t="s">
        <v>1771</v>
      </c>
      <c r="H760" s="16">
        <v>48</v>
      </c>
      <c r="I760" s="25">
        <v>5</v>
      </c>
      <c r="J760" s="56">
        <v>1290</v>
      </c>
      <c r="K760" s="15">
        <v>700</v>
      </c>
      <c r="L760" s="24" t="s">
        <v>2057</v>
      </c>
      <c r="M760" s="24" t="s">
        <v>2020</v>
      </c>
      <c r="N760" s="1" t="s">
        <v>2013</v>
      </c>
      <c r="O760" s="15" t="s">
        <v>2082</v>
      </c>
      <c r="P760" s="15" t="s">
        <v>2442</v>
      </c>
      <c r="Q760" s="25" t="s">
        <v>2083</v>
      </c>
      <c r="R760" s="25" t="s">
        <v>2437</v>
      </c>
      <c r="S760" s="73" t="s">
        <v>2177</v>
      </c>
    </row>
    <row r="761" spans="1:19" x14ac:dyDescent="0.2">
      <c r="A761" s="1">
        <v>755</v>
      </c>
      <c r="B761" s="1" t="s">
        <v>525</v>
      </c>
      <c r="C761" s="1" t="s">
        <v>2446</v>
      </c>
      <c r="D761" s="11" t="s">
        <v>2658</v>
      </c>
      <c r="E761" s="35" t="s">
        <v>822</v>
      </c>
      <c r="F761" s="67" t="s">
        <v>925</v>
      </c>
      <c r="G761" s="24" t="s">
        <v>1772</v>
      </c>
      <c r="H761" s="16">
        <v>53</v>
      </c>
      <c r="I761" s="25">
        <v>2</v>
      </c>
      <c r="J761" s="56">
        <v>3090</v>
      </c>
      <c r="K761" s="15">
        <v>1590</v>
      </c>
      <c r="L761" s="24" t="s">
        <v>2045</v>
      </c>
      <c r="M761" s="24" t="s">
        <v>2014</v>
      </c>
      <c r="N761" s="1" t="s">
        <v>2013</v>
      </c>
      <c r="O761" s="15" t="s">
        <v>2082</v>
      </c>
      <c r="P761" s="15" t="s">
        <v>2442</v>
      </c>
      <c r="Q761" s="25" t="s">
        <v>2087</v>
      </c>
      <c r="R761" s="25" t="s">
        <v>2435</v>
      </c>
      <c r="S761" s="73" t="s">
        <v>2141</v>
      </c>
    </row>
    <row r="762" spans="1:19" x14ac:dyDescent="0.2">
      <c r="A762" s="1">
        <v>756</v>
      </c>
      <c r="B762" s="1" t="s">
        <v>526</v>
      </c>
      <c r="C762" s="1" t="s">
        <v>2446</v>
      </c>
      <c r="D762" s="11" t="s">
        <v>2659</v>
      </c>
      <c r="E762" s="35" t="s">
        <v>863</v>
      </c>
      <c r="F762" s="69" t="s">
        <v>904</v>
      </c>
      <c r="G762" s="24" t="s">
        <v>1773</v>
      </c>
      <c r="H762" s="16">
        <v>30</v>
      </c>
      <c r="I762" s="25">
        <v>3</v>
      </c>
      <c r="J762" s="56">
        <v>6480</v>
      </c>
      <c r="K762" s="15">
        <v>3800</v>
      </c>
      <c r="L762" s="24" t="s">
        <v>2045</v>
      </c>
      <c r="M762" s="24" t="s">
        <v>2014</v>
      </c>
      <c r="N762" s="1" t="s">
        <v>2013</v>
      </c>
      <c r="O762" s="15" t="s">
        <v>2082</v>
      </c>
      <c r="P762" s="15" t="s">
        <v>2442</v>
      </c>
      <c r="Q762" s="25" t="s">
        <v>2085</v>
      </c>
      <c r="R762" s="25" t="s">
        <v>2436</v>
      </c>
      <c r="S762" s="73" t="s">
        <v>2179</v>
      </c>
    </row>
    <row r="763" spans="1:19" x14ac:dyDescent="0.2">
      <c r="A763" s="1">
        <v>757</v>
      </c>
      <c r="B763" s="1" t="s">
        <v>526</v>
      </c>
      <c r="C763" s="1" t="s">
        <v>2446</v>
      </c>
      <c r="D763" s="11" t="s">
        <v>2659</v>
      </c>
      <c r="E763" s="35" t="s">
        <v>822</v>
      </c>
      <c r="F763" s="66" t="s">
        <v>926</v>
      </c>
      <c r="G763" s="24" t="s">
        <v>1774</v>
      </c>
      <c r="H763" s="16">
        <v>37</v>
      </c>
      <c r="I763" s="25">
        <v>4</v>
      </c>
      <c r="J763" s="56">
        <v>6480</v>
      </c>
      <c r="K763" s="15">
        <v>3800</v>
      </c>
      <c r="L763" s="24" t="s">
        <v>2029</v>
      </c>
      <c r="M763" s="24" t="s">
        <v>2016</v>
      </c>
      <c r="N763" s="1" t="s">
        <v>2013</v>
      </c>
      <c r="O763" s="15" t="s">
        <v>2082</v>
      </c>
      <c r="P763" s="15" t="s">
        <v>2442</v>
      </c>
      <c r="Q763" s="25" t="s">
        <v>2089</v>
      </c>
      <c r="R763" s="25" t="s">
        <v>2434</v>
      </c>
      <c r="S763" s="73" t="s">
        <v>2269</v>
      </c>
    </row>
    <row r="764" spans="1:19" x14ac:dyDescent="0.2">
      <c r="A764" s="1">
        <v>758</v>
      </c>
      <c r="B764" s="1" t="s">
        <v>528</v>
      </c>
      <c r="C764" s="1" t="s">
        <v>2446</v>
      </c>
      <c r="D764" s="11" t="s">
        <v>527</v>
      </c>
      <c r="E764" s="35" t="s">
        <v>864</v>
      </c>
      <c r="F764" s="66" t="s">
        <v>927</v>
      </c>
      <c r="G764" s="24" t="s">
        <v>1775</v>
      </c>
      <c r="H764" s="16">
        <v>42</v>
      </c>
      <c r="I764" s="25">
        <v>1</v>
      </c>
      <c r="J764" s="56">
        <v>5220</v>
      </c>
      <c r="K764" s="15">
        <v>2120</v>
      </c>
      <c r="L764" s="24" t="s">
        <v>2025</v>
      </c>
      <c r="M764" s="24" t="s">
        <v>2024</v>
      </c>
      <c r="N764" s="1" t="s">
        <v>2013</v>
      </c>
      <c r="O764" s="15" t="s">
        <v>2082</v>
      </c>
      <c r="P764" s="15" t="s">
        <v>2442</v>
      </c>
      <c r="Q764" s="25" t="s">
        <v>2090</v>
      </c>
      <c r="R764" s="25" t="s">
        <v>2437</v>
      </c>
      <c r="S764" s="73" t="s">
        <v>2166</v>
      </c>
    </row>
    <row r="765" spans="1:19" x14ac:dyDescent="0.2">
      <c r="A765" s="1">
        <v>759</v>
      </c>
      <c r="B765" s="1" t="s">
        <v>530</v>
      </c>
      <c r="C765" s="1" t="s">
        <v>2446</v>
      </c>
      <c r="D765" s="11" t="s">
        <v>529</v>
      </c>
      <c r="E765" s="35" t="s">
        <v>822</v>
      </c>
      <c r="F765" s="67" t="s">
        <v>932</v>
      </c>
      <c r="G765" s="24" t="s">
        <v>1776</v>
      </c>
      <c r="H765" s="16">
        <v>24</v>
      </c>
      <c r="I765" s="25">
        <v>5</v>
      </c>
      <c r="J765" s="56">
        <v>2470</v>
      </c>
      <c r="K765" s="15">
        <v>1170</v>
      </c>
      <c r="L765" s="24" t="s">
        <v>2051</v>
      </c>
      <c r="M765" s="24" t="s">
        <v>2020</v>
      </c>
      <c r="N765" s="1" t="s">
        <v>2013</v>
      </c>
      <c r="O765" s="15" t="s">
        <v>2082</v>
      </c>
      <c r="P765" s="15" t="s">
        <v>2442</v>
      </c>
      <c r="Q765" s="25" t="s">
        <v>2084</v>
      </c>
      <c r="R765" s="25" t="s">
        <v>2435</v>
      </c>
      <c r="S765" s="73" t="s">
        <v>2408</v>
      </c>
    </row>
    <row r="766" spans="1:19" x14ac:dyDescent="0.2">
      <c r="A766" s="1">
        <v>760</v>
      </c>
      <c r="B766" s="1" t="s">
        <v>532</v>
      </c>
      <c r="C766" s="1" t="s">
        <v>2446</v>
      </c>
      <c r="D766" s="11" t="s">
        <v>531</v>
      </c>
      <c r="E766" s="35" t="s">
        <v>863</v>
      </c>
      <c r="F766" s="66" t="s">
        <v>933</v>
      </c>
      <c r="G766" s="24" t="s">
        <v>1777</v>
      </c>
      <c r="H766" s="16">
        <v>28</v>
      </c>
      <c r="I766" s="25">
        <v>3</v>
      </c>
      <c r="J766" s="56">
        <v>4180</v>
      </c>
      <c r="K766" s="15">
        <v>1680</v>
      </c>
      <c r="L766" s="24" t="s">
        <v>2041</v>
      </c>
      <c r="M766" s="24" t="s">
        <v>2014</v>
      </c>
      <c r="N766" s="1" t="s">
        <v>2013</v>
      </c>
      <c r="O766" s="15" t="s">
        <v>2082</v>
      </c>
      <c r="P766" s="15" t="s">
        <v>2442</v>
      </c>
      <c r="Q766" s="25" t="s">
        <v>2087</v>
      </c>
      <c r="R766" s="25" t="s">
        <v>2434</v>
      </c>
      <c r="S766" s="73" t="s">
        <v>2096</v>
      </c>
    </row>
    <row r="767" spans="1:19" x14ac:dyDescent="0.2">
      <c r="A767" s="1">
        <v>761</v>
      </c>
      <c r="B767" s="1" t="s">
        <v>533</v>
      </c>
      <c r="C767" s="1" t="s">
        <v>2446</v>
      </c>
      <c r="D767" s="11" t="s">
        <v>2660</v>
      </c>
      <c r="E767" s="35" t="s">
        <v>822</v>
      </c>
      <c r="F767" s="67" t="s">
        <v>934</v>
      </c>
      <c r="G767" s="24" t="s">
        <v>1778</v>
      </c>
      <c r="H767" s="16">
        <v>50</v>
      </c>
      <c r="I767" s="25">
        <v>2</v>
      </c>
      <c r="J767" s="56">
        <v>5980</v>
      </c>
      <c r="K767" s="15">
        <v>2750</v>
      </c>
      <c r="L767" s="24" t="s">
        <v>2047</v>
      </c>
      <c r="M767" s="24" t="s">
        <v>2024</v>
      </c>
      <c r="N767" s="1" t="s">
        <v>2013</v>
      </c>
      <c r="O767" s="15" t="s">
        <v>2082</v>
      </c>
      <c r="P767" s="15" t="s">
        <v>2442</v>
      </c>
      <c r="Q767" s="25" t="s">
        <v>2087</v>
      </c>
      <c r="R767" s="25" t="s">
        <v>2436</v>
      </c>
      <c r="S767" s="73" t="s">
        <v>2350</v>
      </c>
    </row>
    <row r="768" spans="1:19" x14ac:dyDescent="0.2">
      <c r="A768" s="1">
        <v>762</v>
      </c>
      <c r="B768" s="1" t="s">
        <v>534</v>
      </c>
      <c r="C768" s="1" t="s">
        <v>2446</v>
      </c>
      <c r="D768" s="11" t="s">
        <v>2661</v>
      </c>
      <c r="E768" s="35" t="s">
        <v>863</v>
      </c>
      <c r="F768" s="67" t="s">
        <v>935</v>
      </c>
      <c r="G768" s="24" t="s">
        <v>1779</v>
      </c>
      <c r="H768" s="16">
        <v>39</v>
      </c>
      <c r="I768" s="25">
        <v>4</v>
      </c>
      <c r="J768" s="56">
        <v>4320</v>
      </c>
      <c r="K768" s="15">
        <f>1280+400</f>
        <v>1680</v>
      </c>
      <c r="L768" s="24" t="s">
        <v>2043</v>
      </c>
      <c r="M768" s="24" t="s">
        <v>2016</v>
      </c>
      <c r="N768" s="1" t="s">
        <v>2013</v>
      </c>
      <c r="O768" s="15" t="s">
        <v>2082</v>
      </c>
      <c r="P768" s="15" t="s">
        <v>2442</v>
      </c>
      <c r="Q768" s="25" t="s">
        <v>2086</v>
      </c>
      <c r="R768" s="25" t="s">
        <v>2437</v>
      </c>
      <c r="S768" s="73" t="s">
        <v>2252</v>
      </c>
    </row>
    <row r="769" spans="1:19" x14ac:dyDescent="0.2">
      <c r="A769" s="1">
        <v>763</v>
      </c>
      <c r="B769" s="1" t="s">
        <v>535</v>
      </c>
      <c r="C769" s="1" t="s">
        <v>2446</v>
      </c>
      <c r="D769" s="11" t="s">
        <v>2662</v>
      </c>
      <c r="E769" s="35" t="s">
        <v>863</v>
      </c>
      <c r="F769" s="66" t="s">
        <v>881</v>
      </c>
      <c r="G769" s="24" t="s">
        <v>1780</v>
      </c>
      <c r="H769" s="16">
        <v>31</v>
      </c>
      <c r="I769" s="25">
        <v>1</v>
      </c>
      <c r="J769" s="56">
        <v>3200</v>
      </c>
      <c r="K769" s="15">
        <v>1900</v>
      </c>
      <c r="L769" s="24" t="s">
        <v>2028</v>
      </c>
      <c r="M769" s="24" t="s">
        <v>2014</v>
      </c>
      <c r="N769" s="1" t="s">
        <v>2013</v>
      </c>
      <c r="O769" s="15" t="s">
        <v>2082</v>
      </c>
      <c r="P769" s="15" t="s">
        <v>2442</v>
      </c>
      <c r="Q769" s="25" t="s">
        <v>2088</v>
      </c>
      <c r="R769" s="25" t="s">
        <v>2435</v>
      </c>
      <c r="S769" s="73" t="s">
        <v>2105</v>
      </c>
    </row>
    <row r="770" spans="1:19" x14ac:dyDescent="0.2">
      <c r="A770" s="1">
        <v>764</v>
      </c>
      <c r="B770" s="1" t="s">
        <v>54</v>
      </c>
      <c r="C770" s="1" t="s">
        <v>2446</v>
      </c>
      <c r="D770" s="11" t="s">
        <v>536</v>
      </c>
      <c r="E770" s="35" t="s">
        <v>822</v>
      </c>
      <c r="F770" s="66" t="s">
        <v>882</v>
      </c>
      <c r="G770" s="24" t="s">
        <v>1781</v>
      </c>
      <c r="H770" s="16">
        <v>44</v>
      </c>
      <c r="I770" s="25">
        <v>5</v>
      </c>
      <c r="J770" s="56">
        <v>3990</v>
      </c>
      <c r="K770" s="15">
        <v>2100</v>
      </c>
      <c r="L770" s="24" t="s">
        <v>2031</v>
      </c>
      <c r="M770" s="24" t="s">
        <v>2016</v>
      </c>
      <c r="N770" s="1" t="s">
        <v>2013</v>
      </c>
      <c r="O770" s="15" t="s">
        <v>2082</v>
      </c>
      <c r="P770" s="15" t="s">
        <v>2442</v>
      </c>
      <c r="Q770" s="25" t="s">
        <v>2086</v>
      </c>
      <c r="R770" s="25" t="s">
        <v>2436</v>
      </c>
      <c r="S770" s="73" t="s">
        <v>2409</v>
      </c>
    </row>
    <row r="771" spans="1:19" x14ac:dyDescent="0.2">
      <c r="A771" s="1">
        <v>765</v>
      </c>
      <c r="B771" s="1" t="s">
        <v>36</v>
      </c>
      <c r="C771" s="1" t="s">
        <v>2446</v>
      </c>
      <c r="D771" s="11" t="s">
        <v>537</v>
      </c>
      <c r="E771" s="35" t="s">
        <v>864</v>
      </c>
      <c r="F771" s="66" t="s">
        <v>881</v>
      </c>
      <c r="G771" s="24" t="s">
        <v>1782</v>
      </c>
      <c r="H771" s="16">
        <v>26</v>
      </c>
      <c r="I771" s="25">
        <v>2</v>
      </c>
      <c r="J771" s="56">
        <v>2650</v>
      </c>
      <c r="K771" s="15">
        <v>1150</v>
      </c>
      <c r="L771" s="24" t="s">
        <v>2025</v>
      </c>
      <c r="M771" s="24" t="s">
        <v>2024</v>
      </c>
      <c r="N771" s="1" t="s">
        <v>2013</v>
      </c>
      <c r="O771" s="15" t="s">
        <v>2082</v>
      </c>
      <c r="P771" s="15" t="s">
        <v>2442</v>
      </c>
      <c r="Q771" s="25" t="s">
        <v>2084</v>
      </c>
      <c r="R771" s="25" t="s">
        <v>2434</v>
      </c>
      <c r="S771" s="73" t="s">
        <v>2366</v>
      </c>
    </row>
    <row r="772" spans="1:19" x14ac:dyDescent="0.2">
      <c r="A772" s="1">
        <v>766</v>
      </c>
      <c r="B772" s="1" t="s">
        <v>539</v>
      </c>
      <c r="C772" s="1" t="s">
        <v>2446</v>
      </c>
      <c r="D772" s="11" t="s">
        <v>538</v>
      </c>
      <c r="E772" s="35" t="s">
        <v>822</v>
      </c>
      <c r="F772" s="66" t="s">
        <v>883</v>
      </c>
      <c r="G772" s="24" t="s">
        <v>1783</v>
      </c>
      <c r="H772" s="16">
        <v>48</v>
      </c>
      <c r="I772" s="25">
        <v>3</v>
      </c>
      <c r="J772" s="56">
        <v>4950</v>
      </c>
      <c r="K772" s="15">
        <v>2450</v>
      </c>
      <c r="L772" s="24" t="s">
        <v>2042</v>
      </c>
      <c r="M772" s="24" t="s">
        <v>2016</v>
      </c>
      <c r="N772" s="1" t="s">
        <v>2013</v>
      </c>
      <c r="O772" s="15" t="s">
        <v>2082</v>
      </c>
      <c r="P772" s="15" t="s">
        <v>2442</v>
      </c>
      <c r="Q772" s="25" t="s">
        <v>2087</v>
      </c>
      <c r="R772" s="25" t="s">
        <v>2437</v>
      </c>
      <c r="S772" s="73" t="s">
        <v>2289</v>
      </c>
    </row>
    <row r="773" spans="1:19" x14ac:dyDescent="0.2">
      <c r="A773" s="1">
        <v>767</v>
      </c>
      <c r="B773" s="1" t="s">
        <v>541</v>
      </c>
      <c r="C773" s="1" t="s">
        <v>2446</v>
      </c>
      <c r="D773" s="11" t="s">
        <v>540</v>
      </c>
      <c r="E773" s="35" t="s">
        <v>863</v>
      </c>
      <c r="F773" s="66" t="s">
        <v>884</v>
      </c>
      <c r="G773" s="24" t="s">
        <v>1784</v>
      </c>
      <c r="H773" s="16">
        <v>53</v>
      </c>
      <c r="I773" s="25">
        <v>4</v>
      </c>
      <c r="J773" s="56">
        <f>4900+550</f>
        <v>5450</v>
      </c>
      <c r="K773" s="15">
        <f>400+2900</f>
        <v>3300</v>
      </c>
      <c r="L773" s="24" t="s">
        <v>2062</v>
      </c>
      <c r="M773" s="24" t="s">
        <v>2024</v>
      </c>
      <c r="N773" s="1" t="s">
        <v>2013</v>
      </c>
      <c r="O773" s="15" t="s">
        <v>2082</v>
      </c>
      <c r="P773" s="15" t="s">
        <v>2442</v>
      </c>
      <c r="Q773" s="25" t="s">
        <v>2083</v>
      </c>
      <c r="R773" s="25" t="s">
        <v>2435</v>
      </c>
      <c r="S773" s="73" t="s">
        <v>2204</v>
      </c>
    </row>
    <row r="774" spans="1:19" x14ac:dyDescent="0.2">
      <c r="A774" s="1">
        <v>768</v>
      </c>
      <c r="B774" s="1" t="s">
        <v>555</v>
      </c>
      <c r="C774" s="1" t="s">
        <v>2446</v>
      </c>
      <c r="D774" s="11" t="s">
        <v>2663</v>
      </c>
      <c r="E774" s="35" t="s">
        <v>864</v>
      </c>
      <c r="F774" s="67" t="s">
        <v>931</v>
      </c>
      <c r="G774" s="24" t="s">
        <v>1785</v>
      </c>
      <c r="H774" s="16">
        <v>30</v>
      </c>
      <c r="I774" s="25">
        <v>1</v>
      </c>
      <c r="J774" s="56">
        <v>500</v>
      </c>
      <c r="K774" s="15"/>
      <c r="L774" s="24" t="s">
        <v>2062</v>
      </c>
      <c r="M774" s="24" t="s">
        <v>2016</v>
      </c>
      <c r="N774" s="1" t="s">
        <v>2013</v>
      </c>
      <c r="O774" s="15" t="s">
        <v>2082</v>
      </c>
      <c r="P774" s="15" t="s">
        <v>2442</v>
      </c>
      <c r="Q774" s="25" t="s">
        <v>2088</v>
      </c>
      <c r="R774" s="25" t="s">
        <v>2434</v>
      </c>
      <c r="S774" s="73" t="s">
        <v>2240</v>
      </c>
    </row>
    <row r="775" spans="1:19" x14ac:dyDescent="0.2">
      <c r="A775" s="1">
        <v>769</v>
      </c>
      <c r="B775" s="1" t="s">
        <v>542</v>
      </c>
      <c r="C775" s="1" t="s">
        <v>2446</v>
      </c>
      <c r="D775" s="11" t="s">
        <v>2664</v>
      </c>
      <c r="E775" s="35" t="s">
        <v>822</v>
      </c>
      <c r="F775" s="66" t="s">
        <v>929</v>
      </c>
      <c r="G775" s="24" t="s">
        <v>1786</v>
      </c>
      <c r="H775" s="16">
        <v>37</v>
      </c>
      <c r="I775" s="25">
        <v>5</v>
      </c>
      <c r="J775" s="56">
        <v>4250</v>
      </c>
      <c r="K775" s="15">
        <v>2250</v>
      </c>
      <c r="L775" s="24" t="s">
        <v>2062</v>
      </c>
      <c r="M775" s="24" t="s">
        <v>2020</v>
      </c>
      <c r="N775" s="1" t="s">
        <v>2013</v>
      </c>
      <c r="O775" s="15" t="s">
        <v>2082</v>
      </c>
      <c r="P775" s="15" t="s">
        <v>2442</v>
      </c>
      <c r="Q775" s="25" t="s">
        <v>2083</v>
      </c>
      <c r="R775" s="25" t="s">
        <v>2436</v>
      </c>
      <c r="S775" s="73" t="s">
        <v>2330</v>
      </c>
    </row>
    <row r="776" spans="1:19" x14ac:dyDescent="0.2">
      <c r="A776" s="1">
        <v>770</v>
      </c>
      <c r="B776" s="1" t="s">
        <v>543</v>
      </c>
      <c r="C776" s="1" t="s">
        <v>2446</v>
      </c>
      <c r="D776" s="11" t="s">
        <v>2665</v>
      </c>
      <c r="E776" s="35" t="s">
        <v>863</v>
      </c>
      <c r="F776" s="66" t="s">
        <v>882</v>
      </c>
      <c r="G776" s="24" t="s">
        <v>1787</v>
      </c>
      <c r="H776" s="16">
        <v>42</v>
      </c>
      <c r="I776" s="25">
        <v>3</v>
      </c>
      <c r="J776" s="56">
        <v>4300</v>
      </c>
      <c r="K776" s="15">
        <v>1600</v>
      </c>
      <c r="L776" s="24" t="s">
        <v>2040</v>
      </c>
      <c r="M776" s="24" t="s">
        <v>2024</v>
      </c>
      <c r="N776" s="1" t="s">
        <v>2013</v>
      </c>
      <c r="O776" s="15" t="s">
        <v>2082</v>
      </c>
      <c r="P776" s="15" t="s">
        <v>2442</v>
      </c>
      <c r="Q776" s="25" t="s">
        <v>2085</v>
      </c>
      <c r="R776" s="25" t="s">
        <v>2437</v>
      </c>
      <c r="S776" s="73" t="s">
        <v>2141</v>
      </c>
    </row>
    <row r="777" spans="1:19" x14ac:dyDescent="0.2">
      <c r="A777" s="1">
        <v>771</v>
      </c>
      <c r="B777" s="1" t="s">
        <v>211</v>
      </c>
      <c r="C777" s="1" t="s">
        <v>2446</v>
      </c>
      <c r="D777" s="11" t="s">
        <v>2666</v>
      </c>
      <c r="E777" s="35" t="s">
        <v>822</v>
      </c>
      <c r="F777" s="66" t="s">
        <v>930</v>
      </c>
      <c r="G777" s="24" t="s">
        <v>1788</v>
      </c>
      <c r="H777" s="16">
        <v>24</v>
      </c>
      <c r="I777" s="25">
        <v>2</v>
      </c>
      <c r="J777" s="56">
        <v>1900</v>
      </c>
      <c r="K777" s="15">
        <v>970</v>
      </c>
      <c r="L777" s="24" t="s">
        <v>2042</v>
      </c>
      <c r="M777" s="24" t="s">
        <v>2020</v>
      </c>
      <c r="N777" s="1" t="s">
        <v>2013</v>
      </c>
      <c r="O777" s="15" t="s">
        <v>2082</v>
      </c>
      <c r="P777" s="15" t="s">
        <v>2442</v>
      </c>
      <c r="Q777" s="25" t="s">
        <v>2084</v>
      </c>
      <c r="R777" s="25" t="s">
        <v>2434</v>
      </c>
      <c r="S777" s="73" t="s">
        <v>2378</v>
      </c>
    </row>
    <row r="778" spans="1:19" x14ac:dyDescent="0.2">
      <c r="A778" s="1">
        <v>772</v>
      </c>
      <c r="B778" s="1" t="s">
        <v>544</v>
      </c>
      <c r="C778" s="1" t="s">
        <v>2446</v>
      </c>
      <c r="D778" s="11" t="s">
        <v>2667</v>
      </c>
      <c r="E778" s="35" t="s">
        <v>864</v>
      </c>
      <c r="F778" s="67" t="s">
        <v>915</v>
      </c>
      <c r="G778" s="24" t="s">
        <v>1789</v>
      </c>
      <c r="H778" s="16">
        <v>57</v>
      </c>
      <c r="I778" s="25">
        <v>4</v>
      </c>
      <c r="J778" s="56">
        <v>4820</v>
      </c>
      <c r="K778" s="15">
        <v>2590</v>
      </c>
      <c r="L778" s="24" t="s">
        <v>2017</v>
      </c>
      <c r="M778" s="24" t="s">
        <v>2016</v>
      </c>
      <c r="N778" s="1" t="s">
        <v>2013</v>
      </c>
      <c r="O778" s="15" t="s">
        <v>2082</v>
      </c>
      <c r="P778" s="15" t="s">
        <v>2442</v>
      </c>
      <c r="Q778" s="25" t="s">
        <v>2090</v>
      </c>
      <c r="R778" s="25" t="s">
        <v>2436</v>
      </c>
      <c r="S778" s="73" t="s">
        <v>2310</v>
      </c>
    </row>
    <row r="779" spans="1:19" x14ac:dyDescent="0.2">
      <c r="A779" s="1">
        <v>773</v>
      </c>
      <c r="B779" s="1" t="s">
        <v>546</v>
      </c>
      <c r="C779" s="1" t="s">
        <v>2446</v>
      </c>
      <c r="D779" s="11" t="s">
        <v>545</v>
      </c>
      <c r="E779" s="35" t="s">
        <v>822</v>
      </c>
      <c r="F779" s="66" t="s">
        <v>920</v>
      </c>
      <c r="G779" s="24" t="s">
        <v>1790</v>
      </c>
      <c r="H779" s="16">
        <v>35</v>
      </c>
      <c r="I779" s="25">
        <v>1</v>
      </c>
      <c r="J779" s="56">
        <v>1550</v>
      </c>
      <c r="K779" s="15">
        <v>1050</v>
      </c>
      <c r="L779" s="24" t="s">
        <v>2058</v>
      </c>
      <c r="M779" s="24" t="s">
        <v>2020</v>
      </c>
      <c r="N779" s="1" t="s">
        <v>2013</v>
      </c>
      <c r="O779" s="15" t="s">
        <v>2082</v>
      </c>
      <c r="P779" s="15" t="s">
        <v>2442</v>
      </c>
      <c r="Q779" s="25" t="s">
        <v>2085</v>
      </c>
      <c r="R779" s="25" t="s">
        <v>2437</v>
      </c>
      <c r="S779" s="73" t="s">
        <v>2193</v>
      </c>
    </row>
    <row r="780" spans="1:19" x14ac:dyDescent="0.2">
      <c r="A780" s="1">
        <v>774</v>
      </c>
      <c r="B780" s="1" t="s">
        <v>548</v>
      </c>
      <c r="C780" s="1" t="s">
        <v>2446</v>
      </c>
      <c r="D780" s="11" t="s">
        <v>547</v>
      </c>
      <c r="E780" s="35" t="s">
        <v>863</v>
      </c>
      <c r="F780" s="67" t="s">
        <v>921</v>
      </c>
      <c r="G780" s="24" t="s">
        <v>1791</v>
      </c>
      <c r="H780" s="16">
        <v>40</v>
      </c>
      <c r="I780" s="25">
        <v>5</v>
      </c>
      <c r="J780" s="56">
        <v>2440</v>
      </c>
      <c r="K780" s="15">
        <v>1090</v>
      </c>
      <c r="L780" s="24" t="s">
        <v>2050</v>
      </c>
      <c r="M780" s="24" t="s">
        <v>2024</v>
      </c>
      <c r="N780" s="1" t="s">
        <v>2013</v>
      </c>
      <c r="O780" s="15" t="s">
        <v>2082</v>
      </c>
      <c r="P780" s="15" t="s">
        <v>2442</v>
      </c>
      <c r="Q780" s="25" t="s">
        <v>2085</v>
      </c>
      <c r="R780" s="25" t="s">
        <v>2435</v>
      </c>
      <c r="S780" s="73" t="s">
        <v>2410</v>
      </c>
    </row>
    <row r="781" spans="1:19" x14ac:dyDescent="0.2">
      <c r="A781" s="1">
        <v>775</v>
      </c>
      <c r="B781" s="1" t="s">
        <v>165</v>
      </c>
      <c r="C781" s="1" t="s">
        <v>2446</v>
      </c>
      <c r="D781" s="11" t="s">
        <v>2668</v>
      </c>
      <c r="E781" s="35" t="s">
        <v>822</v>
      </c>
      <c r="F781" s="67" t="s">
        <v>922</v>
      </c>
      <c r="G781" s="24" t="s">
        <v>1792</v>
      </c>
      <c r="H781" s="16">
        <v>21</v>
      </c>
      <c r="I781" s="25">
        <v>2</v>
      </c>
      <c r="J781" s="56">
        <v>5020</v>
      </c>
      <c r="K781" s="15">
        <v>2100</v>
      </c>
      <c r="L781" s="24" t="s">
        <v>2038</v>
      </c>
      <c r="M781" s="24" t="s">
        <v>2024</v>
      </c>
      <c r="N781" s="1" t="s">
        <v>2013</v>
      </c>
      <c r="O781" s="15" t="s">
        <v>2082</v>
      </c>
      <c r="P781" s="15" t="s">
        <v>2442</v>
      </c>
      <c r="Q781" s="25" t="s">
        <v>2087</v>
      </c>
      <c r="R781" s="25" t="s">
        <v>2436</v>
      </c>
      <c r="S781" s="73" t="s">
        <v>2411</v>
      </c>
    </row>
    <row r="782" spans="1:19" x14ac:dyDescent="0.2">
      <c r="A782" s="1">
        <v>776</v>
      </c>
      <c r="B782" s="1" t="s">
        <v>550</v>
      </c>
      <c r="C782" s="1" t="s">
        <v>2446</v>
      </c>
      <c r="D782" s="11" t="s">
        <v>549</v>
      </c>
      <c r="E782" s="35" t="s">
        <v>863</v>
      </c>
      <c r="F782" s="67" t="s">
        <v>923</v>
      </c>
      <c r="G782" s="24" t="s">
        <v>1793</v>
      </c>
      <c r="H782" s="16">
        <v>36</v>
      </c>
      <c r="I782" s="25">
        <v>3</v>
      </c>
      <c r="J782" s="56">
        <v>3880</v>
      </c>
      <c r="K782" s="15">
        <v>1880</v>
      </c>
      <c r="L782" s="24" t="s">
        <v>2051</v>
      </c>
      <c r="M782" s="24" t="s">
        <v>2020</v>
      </c>
      <c r="N782" s="1" t="s">
        <v>2013</v>
      </c>
      <c r="O782" s="15" t="s">
        <v>2082</v>
      </c>
      <c r="P782" s="15" t="s">
        <v>2442</v>
      </c>
      <c r="Q782" s="25" t="s">
        <v>2083</v>
      </c>
      <c r="R782" s="25" t="s">
        <v>2434</v>
      </c>
      <c r="S782" s="73" t="s">
        <v>2344</v>
      </c>
    </row>
    <row r="783" spans="1:19" x14ac:dyDescent="0.2">
      <c r="A783" s="1">
        <v>777</v>
      </c>
      <c r="B783" s="1" t="s">
        <v>41</v>
      </c>
      <c r="C783" s="1" t="s">
        <v>2446</v>
      </c>
      <c r="D783" s="11" t="s">
        <v>2669</v>
      </c>
      <c r="E783" s="35" t="s">
        <v>863</v>
      </c>
      <c r="F783" s="67" t="s">
        <v>924</v>
      </c>
      <c r="G783" s="24" t="s">
        <v>1794</v>
      </c>
      <c r="H783" s="16">
        <v>28</v>
      </c>
      <c r="I783" s="25">
        <v>4</v>
      </c>
      <c r="J783" s="56">
        <v>3060</v>
      </c>
      <c r="K783" s="15">
        <v>1760</v>
      </c>
      <c r="L783" s="24" t="s">
        <v>2051</v>
      </c>
      <c r="M783" s="24" t="s">
        <v>2020</v>
      </c>
      <c r="N783" s="1" t="s">
        <v>2013</v>
      </c>
      <c r="O783" s="15" t="s">
        <v>2082</v>
      </c>
      <c r="P783" s="15" t="s">
        <v>2442</v>
      </c>
      <c r="Q783" s="25" t="s">
        <v>2089</v>
      </c>
      <c r="R783" s="25" t="s">
        <v>2437</v>
      </c>
      <c r="S783" s="73" t="s">
        <v>2162</v>
      </c>
    </row>
    <row r="784" spans="1:19" x14ac:dyDescent="0.2">
      <c r="A784" s="1">
        <v>778</v>
      </c>
      <c r="B784" s="1" t="s">
        <v>552</v>
      </c>
      <c r="C784" s="1" t="s">
        <v>2446</v>
      </c>
      <c r="D784" s="11" t="s">
        <v>551</v>
      </c>
      <c r="E784" s="35" t="s">
        <v>822</v>
      </c>
      <c r="F784" s="67" t="s">
        <v>925</v>
      </c>
      <c r="G784" s="24" t="s">
        <v>1795</v>
      </c>
      <c r="H784" s="16">
        <v>50</v>
      </c>
      <c r="I784" s="25">
        <v>1</v>
      </c>
      <c r="J784" s="56">
        <v>7260</v>
      </c>
      <c r="K784" s="15">
        <v>4100</v>
      </c>
      <c r="L784" s="24" t="s">
        <v>2028</v>
      </c>
      <c r="M784" s="24" t="s">
        <v>2020</v>
      </c>
      <c r="N784" s="1" t="s">
        <v>2013</v>
      </c>
      <c r="O784" s="15" t="s">
        <v>2082</v>
      </c>
      <c r="P784" s="15" t="s">
        <v>2442</v>
      </c>
      <c r="Q784" s="25" t="s">
        <v>2084</v>
      </c>
      <c r="R784" s="25" t="s">
        <v>2435</v>
      </c>
      <c r="S784" s="73" t="s">
        <v>2350</v>
      </c>
    </row>
    <row r="785" spans="1:19" x14ac:dyDescent="0.2">
      <c r="A785" s="1">
        <v>779</v>
      </c>
      <c r="B785" s="1" t="s">
        <v>860</v>
      </c>
      <c r="C785" s="1" t="s">
        <v>2446</v>
      </c>
      <c r="D785" s="11" t="s">
        <v>553</v>
      </c>
      <c r="E785" s="35" t="s">
        <v>863</v>
      </c>
      <c r="F785" s="69" t="s">
        <v>904</v>
      </c>
      <c r="G785" s="24" t="s">
        <v>1796</v>
      </c>
      <c r="H785" s="16">
        <v>39</v>
      </c>
      <c r="I785" s="25">
        <v>5</v>
      </c>
      <c r="J785" s="56">
        <v>1710</v>
      </c>
      <c r="K785" s="15">
        <v>850</v>
      </c>
      <c r="L785" s="24" t="s">
        <v>2054</v>
      </c>
      <c r="M785" s="24" t="s">
        <v>2016</v>
      </c>
      <c r="N785" s="1" t="s">
        <v>2013</v>
      </c>
      <c r="O785" s="15" t="s">
        <v>2082</v>
      </c>
      <c r="P785" s="15" t="s">
        <v>2442</v>
      </c>
      <c r="Q785" s="25" t="s">
        <v>2084</v>
      </c>
      <c r="R785" s="25" t="s">
        <v>2434</v>
      </c>
      <c r="S785" s="73" t="s">
        <v>2412</v>
      </c>
    </row>
    <row r="786" spans="1:19" x14ac:dyDescent="0.2">
      <c r="A786" s="1">
        <v>780</v>
      </c>
      <c r="B786" s="1" t="s">
        <v>555</v>
      </c>
      <c r="C786" s="1" t="s">
        <v>2446</v>
      </c>
      <c r="D786" s="11" t="s">
        <v>554</v>
      </c>
      <c r="E786" s="35" t="s">
        <v>822</v>
      </c>
      <c r="F786" s="66" t="s">
        <v>926</v>
      </c>
      <c r="G786" s="24" t="s">
        <v>1797</v>
      </c>
      <c r="H786" s="16">
        <v>31</v>
      </c>
      <c r="I786" s="25">
        <v>3</v>
      </c>
      <c r="J786" s="56">
        <v>2130</v>
      </c>
      <c r="K786" s="15">
        <v>930</v>
      </c>
      <c r="L786" s="24" t="s">
        <v>2038</v>
      </c>
      <c r="M786" s="24" t="s">
        <v>2024</v>
      </c>
      <c r="N786" s="1" t="s">
        <v>2013</v>
      </c>
      <c r="O786" s="15" t="s">
        <v>2082</v>
      </c>
      <c r="P786" s="15" t="s">
        <v>2442</v>
      </c>
      <c r="Q786" s="25" t="s">
        <v>2083</v>
      </c>
      <c r="R786" s="25" t="s">
        <v>2436</v>
      </c>
      <c r="S786" s="73" t="s">
        <v>2334</v>
      </c>
    </row>
    <row r="787" spans="1:19" x14ac:dyDescent="0.2">
      <c r="A787" s="1">
        <v>781</v>
      </c>
      <c r="B787" s="1" t="s">
        <v>557</v>
      </c>
      <c r="C787" s="1" t="s">
        <v>2446</v>
      </c>
      <c r="D787" s="11" t="s">
        <v>556</v>
      </c>
      <c r="E787" s="35" t="s">
        <v>864</v>
      </c>
      <c r="F787" s="66" t="s">
        <v>927</v>
      </c>
      <c r="G787" s="24" t="s">
        <v>1798</v>
      </c>
      <c r="H787" s="16">
        <v>44</v>
      </c>
      <c r="I787" s="25">
        <v>2</v>
      </c>
      <c r="J787" s="56">
        <v>1350</v>
      </c>
      <c r="K787" s="15">
        <v>650</v>
      </c>
      <c r="L787" s="24" t="s">
        <v>2058</v>
      </c>
      <c r="M787" s="24" t="s">
        <v>2020</v>
      </c>
      <c r="N787" s="1" t="s">
        <v>2013</v>
      </c>
      <c r="O787" s="15" t="s">
        <v>2082</v>
      </c>
      <c r="P787" s="15" t="s">
        <v>2442</v>
      </c>
      <c r="Q787" s="25" t="s">
        <v>2085</v>
      </c>
      <c r="R787" s="25" t="s">
        <v>2437</v>
      </c>
      <c r="S787" s="73" t="s">
        <v>2293</v>
      </c>
    </row>
    <row r="788" spans="1:19" x14ac:dyDescent="0.2">
      <c r="A788" s="1">
        <v>782</v>
      </c>
      <c r="B788" s="1" t="s">
        <v>559</v>
      </c>
      <c r="C788" s="1" t="s">
        <v>2446</v>
      </c>
      <c r="D788" s="11" t="s">
        <v>558</v>
      </c>
      <c r="E788" s="35" t="s">
        <v>822</v>
      </c>
      <c r="F788" s="67" t="s">
        <v>932</v>
      </c>
      <c r="G788" s="24" t="s">
        <v>1799</v>
      </c>
      <c r="H788" s="16">
        <v>26</v>
      </c>
      <c r="I788" s="25">
        <v>4</v>
      </c>
      <c r="J788" s="56">
        <v>1400</v>
      </c>
      <c r="K788" s="15">
        <v>650</v>
      </c>
      <c r="L788" s="24" t="s">
        <v>2038</v>
      </c>
      <c r="M788" s="24" t="s">
        <v>2020</v>
      </c>
      <c r="N788" s="1" t="s">
        <v>2013</v>
      </c>
      <c r="O788" s="15" t="s">
        <v>2082</v>
      </c>
      <c r="P788" s="15" t="s">
        <v>2442</v>
      </c>
      <c r="Q788" s="25" t="s">
        <v>2083</v>
      </c>
      <c r="R788" s="25" t="s">
        <v>2435</v>
      </c>
      <c r="S788" s="73" t="s">
        <v>2219</v>
      </c>
    </row>
    <row r="789" spans="1:19" x14ac:dyDescent="0.2">
      <c r="A789" s="1">
        <v>783</v>
      </c>
      <c r="B789" s="1" t="s">
        <v>561</v>
      </c>
      <c r="C789" s="1" t="s">
        <v>2446</v>
      </c>
      <c r="D789" s="11" t="s">
        <v>560</v>
      </c>
      <c r="E789" s="1" t="s">
        <v>863</v>
      </c>
      <c r="F789" s="66" t="s">
        <v>881</v>
      </c>
      <c r="G789" s="24" t="s">
        <v>1800</v>
      </c>
      <c r="H789" s="16">
        <v>48</v>
      </c>
      <c r="I789" s="25">
        <v>1</v>
      </c>
      <c r="J789" s="56">
        <v>1450</v>
      </c>
      <c r="K789" s="15">
        <v>700</v>
      </c>
      <c r="L789" s="24" t="s">
        <v>2027</v>
      </c>
      <c r="M789" s="24" t="s">
        <v>2014</v>
      </c>
      <c r="N789" s="1" t="s">
        <v>2013</v>
      </c>
      <c r="O789" s="15" t="s">
        <v>2082</v>
      </c>
      <c r="P789" s="15" t="s">
        <v>2442</v>
      </c>
      <c r="Q789" s="25" t="s">
        <v>2086</v>
      </c>
      <c r="R789" s="25" t="s">
        <v>2436</v>
      </c>
      <c r="S789" s="73" t="s">
        <v>2157</v>
      </c>
    </row>
    <row r="790" spans="1:19" x14ac:dyDescent="0.2">
      <c r="A790" s="1">
        <v>784</v>
      </c>
      <c r="B790" s="1" t="s">
        <v>563</v>
      </c>
      <c r="C790" s="1" t="s">
        <v>2446</v>
      </c>
      <c r="D790" s="11" t="s">
        <v>562</v>
      </c>
      <c r="E790" s="35" t="s">
        <v>864</v>
      </c>
      <c r="F790" s="66" t="s">
        <v>883</v>
      </c>
      <c r="G790" s="24" t="s">
        <v>1801</v>
      </c>
      <c r="H790" s="16">
        <v>53</v>
      </c>
      <c r="I790" s="25">
        <v>5</v>
      </c>
      <c r="J790" s="56">
        <v>2400</v>
      </c>
      <c r="K790" s="15">
        <v>1200</v>
      </c>
      <c r="L790" s="24" t="s">
        <v>2036</v>
      </c>
      <c r="M790" s="24" t="s">
        <v>2014</v>
      </c>
      <c r="N790" s="1" t="s">
        <v>2013</v>
      </c>
      <c r="O790" s="15" t="s">
        <v>2082</v>
      </c>
      <c r="P790" s="15" t="s">
        <v>2442</v>
      </c>
      <c r="Q790" s="25" t="s">
        <v>2083</v>
      </c>
      <c r="R790" s="25" t="s">
        <v>2434</v>
      </c>
      <c r="S790" s="73" t="s">
        <v>2413</v>
      </c>
    </row>
    <row r="791" spans="1:19" x14ac:dyDescent="0.2">
      <c r="A791" s="1">
        <v>785</v>
      </c>
      <c r="B791" s="1" t="s">
        <v>565</v>
      </c>
      <c r="C791" s="1" t="s">
        <v>2446</v>
      </c>
      <c r="D791" s="11" t="s">
        <v>564</v>
      </c>
      <c r="E791" s="35" t="s">
        <v>823</v>
      </c>
      <c r="F791" s="66" t="s">
        <v>884</v>
      </c>
      <c r="G791" s="24" t="s">
        <v>1802</v>
      </c>
      <c r="H791" s="16">
        <v>30</v>
      </c>
      <c r="I791" s="25">
        <v>2</v>
      </c>
      <c r="J791" s="56">
        <v>2400</v>
      </c>
      <c r="K791" s="15">
        <v>1200</v>
      </c>
      <c r="L791" s="24" t="s">
        <v>2043</v>
      </c>
      <c r="M791" s="24" t="s">
        <v>2016</v>
      </c>
      <c r="N791" s="1" t="s">
        <v>2013</v>
      </c>
      <c r="O791" s="15" t="s">
        <v>2082</v>
      </c>
      <c r="P791" s="15" t="s">
        <v>2442</v>
      </c>
      <c r="Q791" s="25" t="s">
        <v>2089</v>
      </c>
      <c r="R791" s="25" t="s">
        <v>2437</v>
      </c>
      <c r="S791" s="73" t="s">
        <v>2140</v>
      </c>
    </row>
    <row r="792" spans="1:19" x14ac:dyDescent="0.2">
      <c r="A792" s="1">
        <v>786</v>
      </c>
      <c r="B792" s="1" t="s">
        <v>550</v>
      </c>
      <c r="C792" s="1" t="s">
        <v>2446</v>
      </c>
      <c r="D792" s="11" t="s">
        <v>566</v>
      </c>
      <c r="E792" s="35" t="s">
        <v>823</v>
      </c>
      <c r="F792" s="67" t="s">
        <v>931</v>
      </c>
      <c r="G792" s="24" t="s">
        <v>1803</v>
      </c>
      <c r="H792" s="16">
        <v>37</v>
      </c>
      <c r="I792" s="25">
        <v>3</v>
      </c>
      <c r="J792" s="56">
        <v>2800</v>
      </c>
      <c r="K792" s="15">
        <v>1400</v>
      </c>
      <c r="L792" s="24" t="s">
        <v>2055</v>
      </c>
      <c r="M792" s="24" t="s">
        <v>2014</v>
      </c>
      <c r="N792" s="1" t="s">
        <v>2013</v>
      </c>
      <c r="O792" s="15" t="s">
        <v>2082</v>
      </c>
      <c r="P792" s="15" t="s">
        <v>2442</v>
      </c>
      <c r="Q792" s="25" t="s">
        <v>2083</v>
      </c>
      <c r="R792" s="25" t="s">
        <v>2435</v>
      </c>
      <c r="S792" s="73" t="s">
        <v>2186</v>
      </c>
    </row>
    <row r="793" spans="1:19" x14ac:dyDescent="0.2">
      <c r="A793" s="1">
        <v>787</v>
      </c>
      <c r="B793" s="1" t="s">
        <v>568</v>
      </c>
      <c r="C793" s="1" t="s">
        <v>2446</v>
      </c>
      <c r="D793" s="11" t="s">
        <v>567</v>
      </c>
      <c r="E793" s="35" t="s">
        <v>863</v>
      </c>
      <c r="F793" s="66" t="s">
        <v>929</v>
      </c>
      <c r="G793" s="24" t="s">
        <v>1804</v>
      </c>
      <c r="H793" s="16">
        <v>42</v>
      </c>
      <c r="I793" s="25">
        <v>4</v>
      </c>
      <c r="J793" s="56">
        <v>3700</v>
      </c>
      <c r="K793" s="15">
        <v>2480</v>
      </c>
      <c r="L793" s="24" t="s">
        <v>2041</v>
      </c>
      <c r="M793" s="24" t="s">
        <v>2020</v>
      </c>
      <c r="N793" s="1" t="s">
        <v>2013</v>
      </c>
      <c r="O793" s="15" t="s">
        <v>2082</v>
      </c>
      <c r="P793" s="15" t="s">
        <v>2442</v>
      </c>
      <c r="Q793" s="25" t="s">
        <v>2089</v>
      </c>
      <c r="R793" s="25" t="s">
        <v>2434</v>
      </c>
      <c r="S793" s="73" t="s">
        <v>2251</v>
      </c>
    </row>
    <row r="794" spans="1:19" x14ac:dyDescent="0.2">
      <c r="A794" s="1">
        <v>788</v>
      </c>
      <c r="B794" s="1" t="s">
        <v>570</v>
      </c>
      <c r="C794" s="1" t="s">
        <v>2446</v>
      </c>
      <c r="D794" s="11" t="s">
        <v>569</v>
      </c>
      <c r="E794" s="35" t="s">
        <v>822</v>
      </c>
      <c r="F794" s="66" t="s">
        <v>882</v>
      </c>
      <c r="G794" s="24" t="s">
        <v>1805</v>
      </c>
      <c r="H794" s="16">
        <v>24</v>
      </c>
      <c r="I794" s="25">
        <v>1</v>
      </c>
      <c r="J794" s="56">
        <v>2790</v>
      </c>
      <c r="K794" s="15">
        <v>1190</v>
      </c>
      <c r="L794" s="24" t="s">
        <v>2040</v>
      </c>
      <c r="M794" s="24" t="s">
        <v>2024</v>
      </c>
      <c r="N794" s="1" t="s">
        <v>2013</v>
      </c>
      <c r="O794" s="15" t="s">
        <v>2082</v>
      </c>
      <c r="P794" s="15" t="s">
        <v>2442</v>
      </c>
      <c r="Q794" s="25" t="s">
        <v>2089</v>
      </c>
      <c r="R794" s="25" t="s">
        <v>2436</v>
      </c>
      <c r="S794" s="73" t="s">
        <v>2104</v>
      </c>
    </row>
    <row r="795" spans="1:19" x14ac:dyDescent="0.2">
      <c r="A795" s="1">
        <v>789</v>
      </c>
      <c r="B795" s="1" t="s">
        <v>572</v>
      </c>
      <c r="C795" s="1" t="s">
        <v>2446</v>
      </c>
      <c r="D795" s="11" t="s">
        <v>571</v>
      </c>
      <c r="E795" s="35" t="s">
        <v>863</v>
      </c>
      <c r="F795" s="66" t="s">
        <v>880</v>
      </c>
      <c r="G795" s="24" t="s">
        <v>1806</v>
      </c>
      <c r="H795" s="16">
        <v>57</v>
      </c>
      <c r="I795" s="25">
        <v>5</v>
      </c>
      <c r="J795" s="56">
        <v>3640</v>
      </c>
      <c r="K795" s="15">
        <v>1540</v>
      </c>
      <c r="L795" s="24" t="s">
        <v>2053</v>
      </c>
      <c r="M795" s="24" t="s">
        <v>2014</v>
      </c>
      <c r="N795" s="1" t="s">
        <v>2013</v>
      </c>
      <c r="O795" s="15" t="s">
        <v>2082</v>
      </c>
      <c r="P795" s="15" t="s">
        <v>2442</v>
      </c>
      <c r="Q795" s="25" t="s">
        <v>2089</v>
      </c>
      <c r="R795" s="25" t="s">
        <v>2437</v>
      </c>
      <c r="S795" s="73" t="s">
        <v>2274</v>
      </c>
    </row>
    <row r="796" spans="1:19" x14ac:dyDescent="0.2">
      <c r="A796" s="1">
        <v>780</v>
      </c>
      <c r="B796" s="1" t="s">
        <v>138</v>
      </c>
      <c r="C796" s="1" t="s">
        <v>2446</v>
      </c>
      <c r="D796" s="11" t="s">
        <v>556</v>
      </c>
      <c r="E796" s="35" t="s">
        <v>822</v>
      </c>
      <c r="F796" s="66" t="s">
        <v>878</v>
      </c>
      <c r="G796" s="24" t="s">
        <v>1807</v>
      </c>
      <c r="H796" s="16">
        <v>35</v>
      </c>
      <c r="I796" s="25">
        <v>3</v>
      </c>
      <c r="J796" s="56">
        <v>6000</v>
      </c>
      <c r="K796" s="15">
        <v>4000</v>
      </c>
      <c r="L796" s="24" t="s">
        <v>2036</v>
      </c>
      <c r="M796" s="24" t="s">
        <v>2014</v>
      </c>
      <c r="N796" s="1" t="s">
        <v>2013</v>
      </c>
      <c r="O796" s="15" t="s">
        <v>2082</v>
      </c>
      <c r="P796" s="15" t="s">
        <v>2442</v>
      </c>
      <c r="Q796" s="25" t="s">
        <v>2088</v>
      </c>
      <c r="R796" s="25" t="s">
        <v>2435</v>
      </c>
      <c r="S796" s="73" t="s">
        <v>2265</v>
      </c>
    </row>
    <row r="797" spans="1:19" x14ac:dyDescent="0.2">
      <c r="A797" s="1">
        <v>781</v>
      </c>
      <c r="B797" s="1" t="s">
        <v>573</v>
      </c>
      <c r="C797" s="1" t="s">
        <v>2446</v>
      </c>
      <c r="D797" s="11" t="s">
        <v>2670</v>
      </c>
      <c r="E797" s="35" t="s">
        <v>828</v>
      </c>
      <c r="F797" s="66" t="s">
        <v>879</v>
      </c>
      <c r="G797" s="24" t="s">
        <v>1808</v>
      </c>
      <c r="H797" s="16">
        <v>40</v>
      </c>
      <c r="I797" s="25">
        <v>2</v>
      </c>
      <c r="J797" s="56">
        <v>8700</v>
      </c>
      <c r="K797" s="15">
        <v>5460</v>
      </c>
      <c r="L797" s="24" t="s">
        <v>2037</v>
      </c>
      <c r="M797" s="24" t="s">
        <v>2014</v>
      </c>
      <c r="N797" s="1" t="s">
        <v>2013</v>
      </c>
      <c r="O797" s="15" t="s">
        <v>2082</v>
      </c>
      <c r="P797" s="15" t="s">
        <v>2442</v>
      </c>
      <c r="Q797" s="25" t="s">
        <v>2086</v>
      </c>
      <c r="R797" s="25" t="s">
        <v>2436</v>
      </c>
      <c r="S797" s="73" t="s">
        <v>2317</v>
      </c>
    </row>
    <row r="798" spans="1:19" x14ac:dyDescent="0.2">
      <c r="A798" s="1">
        <v>782</v>
      </c>
      <c r="B798" s="1" t="s">
        <v>574</v>
      </c>
      <c r="C798" s="1" t="s">
        <v>2446</v>
      </c>
      <c r="D798" s="11" t="s">
        <v>2671</v>
      </c>
      <c r="E798" s="1" t="s">
        <v>863</v>
      </c>
      <c r="F798" s="66" t="s">
        <v>880</v>
      </c>
      <c r="G798" s="24" t="s">
        <v>1809</v>
      </c>
      <c r="H798" s="16">
        <v>21</v>
      </c>
      <c r="I798" s="25">
        <v>4</v>
      </c>
      <c r="J798" s="56">
        <v>2920</v>
      </c>
      <c r="K798" s="15">
        <v>920</v>
      </c>
      <c r="L798" s="24" t="s">
        <v>2051</v>
      </c>
      <c r="M798" s="24" t="s">
        <v>2020</v>
      </c>
      <c r="N798" s="1" t="s">
        <v>2013</v>
      </c>
      <c r="O798" s="15" t="s">
        <v>2082</v>
      </c>
      <c r="P798" s="15" t="s">
        <v>2442</v>
      </c>
      <c r="Q798" s="25" t="s">
        <v>2088</v>
      </c>
      <c r="R798" s="25" t="s">
        <v>2434</v>
      </c>
      <c r="S798" s="73" t="s">
        <v>2414</v>
      </c>
    </row>
    <row r="799" spans="1:19" x14ac:dyDescent="0.2">
      <c r="A799" s="1">
        <v>783</v>
      </c>
      <c r="B799" s="1" t="s">
        <v>575</v>
      </c>
      <c r="C799" s="1" t="s">
        <v>2446</v>
      </c>
      <c r="D799" s="11" t="s">
        <v>2554</v>
      </c>
      <c r="E799" s="1" t="s">
        <v>864</v>
      </c>
      <c r="F799" s="66" t="s">
        <v>881</v>
      </c>
      <c r="G799" s="24" t="s">
        <v>1810</v>
      </c>
      <c r="H799" s="16">
        <v>59</v>
      </c>
      <c r="I799" s="25">
        <v>1</v>
      </c>
      <c r="J799" s="56">
        <v>2750</v>
      </c>
      <c r="K799" s="15">
        <v>1450</v>
      </c>
      <c r="L799" s="24" t="s">
        <v>2029</v>
      </c>
      <c r="M799" s="24" t="s">
        <v>2016</v>
      </c>
      <c r="N799" s="1" t="s">
        <v>2013</v>
      </c>
      <c r="O799" s="15" t="s">
        <v>2082</v>
      </c>
      <c r="P799" s="15" t="s">
        <v>2442</v>
      </c>
      <c r="Q799" s="25" t="s">
        <v>2088</v>
      </c>
      <c r="R799" s="25" t="s">
        <v>2437</v>
      </c>
      <c r="S799" s="73" t="s">
        <v>2275</v>
      </c>
    </row>
    <row r="800" spans="1:19" x14ac:dyDescent="0.2">
      <c r="A800" s="1">
        <v>784</v>
      </c>
      <c r="B800" s="1" t="s">
        <v>577</v>
      </c>
      <c r="C800" s="1" t="s">
        <v>2446</v>
      </c>
      <c r="D800" s="11" t="s">
        <v>576</v>
      </c>
      <c r="E800" s="1" t="s">
        <v>822</v>
      </c>
      <c r="F800" s="66" t="s">
        <v>882</v>
      </c>
      <c r="G800" s="24" t="s">
        <v>1811</v>
      </c>
      <c r="H800" s="16">
        <v>34</v>
      </c>
      <c r="I800" s="25">
        <v>5</v>
      </c>
      <c r="J800" s="56">
        <v>3780</v>
      </c>
      <c r="K800" s="15">
        <v>1780</v>
      </c>
      <c r="L800" s="24" t="s">
        <v>2036</v>
      </c>
      <c r="M800" s="24" t="s">
        <v>2014</v>
      </c>
      <c r="N800" s="1" t="s">
        <v>2013</v>
      </c>
      <c r="O800" s="15" t="s">
        <v>2082</v>
      </c>
      <c r="P800" s="15" t="s">
        <v>2442</v>
      </c>
      <c r="Q800" s="25" t="s">
        <v>2084</v>
      </c>
      <c r="R800" s="25" t="s">
        <v>2435</v>
      </c>
      <c r="S800" s="73" t="s">
        <v>2297</v>
      </c>
    </row>
    <row r="801" spans="1:19" x14ac:dyDescent="0.2">
      <c r="A801" s="1">
        <v>785</v>
      </c>
      <c r="B801" s="1" t="s">
        <v>34</v>
      </c>
      <c r="C801" s="1" t="s">
        <v>2446</v>
      </c>
      <c r="D801" s="11" t="s">
        <v>578</v>
      </c>
      <c r="E801" s="1" t="s">
        <v>823</v>
      </c>
      <c r="F801" s="66" t="s">
        <v>881</v>
      </c>
      <c r="G801" s="24" t="s">
        <v>1812</v>
      </c>
      <c r="H801" s="16">
        <v>27</v>
      </c>
      <c r="I801" s="25">
        <v>2</v>
      </c>
      <c r="J801" s="56">
        <v>3550</v>
      </c>
      <c r="K801" s="15">
        <v>1570</v>
      </c>
      <c r="L801" s="24" t="s">
        <v>2022</v>
      </c>
      <c r="M801" s="24" t="s">
        <v>2016</v>
      </c>
      <c r="N801" s="1" t="s">
        <v>2013</v>
      </c>
      <c r="O801" s="15" t="s">
        <v>2082</v>
      </c>
      <c r="P801" s="15" t="s">
        <v>2442</v>
      </c>
      <c r="Q801" s="25" t="s">
        <v>2089</v>
      </c>
      <c r="R801" s="25" t="s">
        <v>2434</v>
      </c>
      <c r="S801" s="73" t="s">
        <v>2208</v>
      </c>
    </row>
    <row r="802" spans="1:19" x14ac:dyDescent="0.2">
      <c r="A802" s="1">
        <v>786</v>
      </c>
      <c r="B802" s="1" t="s">
        <v>555</v>
      </c>
      <c r="C802" s="1" t="s">
        <v>2446</v>
      </c>
      <c r="D802" s="11" t="s">
        <v>579</v>
      </c>
      <c r="E802" s="35" t="s">
        <v>822</v>
      </c>
      <c r="F802" s="66" t="s">
        <v>883</v>
      </c>
      <c r="G802" s="24" t="s">
        <v>1813</v>
      </c>
      <c r="H802" s="16">
        <v>45</v>
      </c>
      <c r="I802" s="25">
        <v>3</v>
      </c>
      <c r="J802" s="56">
        <v>2320</v>
      </c>
      <c r="K802" s="15">
        <v>1220</v>
      </c>
      <c r="L802" s="24" t="s">
        <v>2018</v>
      </c>
      <c r="M802" s="24" t="s">
        <v>2016</v>
      </c>
      <c r="N802" s="1" t="s">
        <v>2013</v>
      </c>
      <c r="O802" s="15" t="s">
        <v>2082</v>
      </c>
      <c r="P802" s="15" t="s">
        <v>2442</v>
      </c>
      <c r="Q802" s="25" t="s">
        <v>2086</v>
      </c>
      <c r="R802" s="25" t="s">
        <v>2436</v>
      </c>
      <c r="S802" s="73" t="s">
        <v>2188</v>
      </c>
    </row>
    <row r="803" spans="1:19" x14ac:dyDescent="0.2">
      <c r="A803" s="1">
        <v>787</v>
      </c>
      <c r="B803" s="1" t="s">
        <v>117</v>
      </c>
      <c r="C803" s="1" t="s">
        <v>2446</v>
      </c>
      <c r="D803" s="11" t="s">
        <v>580</v>
      </c>
      <c r="E803" s="35" t="s">
        <v>864</v>
      </c>
      <c r="F803" s="66" t="s">
        <v>884</v>
      </c>
      <c r="G803" s="24" t="s">
        <v>1814</v>
      </c>
      <c r="H803" s="16">
        <v>52</v>
      </c>
      <c r="I803" s="25">
        <v>4</v>
      </c>
      <c r="J803" s="56">
        <v>1890</v>
      </c>
      <c r="K803" s="15">
        <v>890</v>
      </c>
      <c r="L803" s="24" t="s">
        <v>2056</v>
      </c>
      <c r="M803" s="24" t="s">
        <v>2024</v>
      </c>
      <c r="N803" s="1" t="s">
        <v>2013</v>
      </c>
      <c r="O803" s="15" t="s">
        <v>2082</v>
      </c>
      <c r="P803" s="15" t="s">
        <v>2442</v>
      </c>
      <c r="Q803" s="25" t="s">
        <v>2083</v>
      </c>
      <c r="R803" s="25" t="s">
        <v>2437</v>
      </c>
      <c r="S803" s="73" t="s">
        <v>2121</v>
      </c>
    </row>
    <row r="804" spans="1:19" x14ac:dyDescent="0.2">
      <c r="A804" s="1">
        <v>788</v>
      </c>
      <c r="B804" s="1" t="s">
        <v>582</v>
      </c>
      <c r="C804" s="1" t="s">
        <v>2446</v>
      </c>
      <c r="D804" s="1" t="s">
        <v>581</v>
      </c>
      <c r="E804" s="1" t="s">
        <v>863</v>
      </c>
      <c r="F804" s="67" t="s">
        <v>931</v>
      </c>
      <c r="G804" s="24" t="s">
        <v>1815</v>
      </c>
      <c r="H804" s="16">
        <v>23</v>
      </c>
      <c r="I804" s="25">
        <v>1</v>
      </c>
      <c r="J804" s="56">
        <v>3350</v>
      </c>
      <c r="K804" s="15">
        <v>1850</v>
      </c>
      <c r="L804" s="24" t="s">
        <v>2047</v>
      </c>
      <c r="M804" s="24" t="s">
        <v>2024</v>
      </c>
      <c r="N804" s="1" t="s">
        <v>2013</v>
      </c>
      <c r="O804" s="15" t="s">
        <v>2082</v>
      </c>
      <c r="P804" s="15" t="s">
        <v>2442</v>
      </c>
      <c r="Q804" s="25" t="s">
        <v>2087</v>
      </c>
      <c r="R804" s="25" t="s">
        <v>2435</v>
      </c>
      <c r="S804" s="73" t="s">
        <v>2415</v>
      </c>
    </row>
    <row r="805" spans="1:19" x14ac:dyDescent="0.2">
      <c r="A805" s="1">
        <v>789</v>
      </c>
      <c r="B805" s="1" t="s">
        <v>583</v>
      </c>
      <c r="C805" s="1" t="s">
        <v>2446</v>
      </c>
      <c r="D805" s="11" t="s">
        <v>2560</v>
      </c>
      <c r="E805" s="1" t="s">
        <v>864</v>
      </c>
      <c r="F805" s="66" t="s">
        <v>929</v>
      </c>
      <c r="G805" s="24" t="s">
        <v>1816</v>
      </c>
      <c r="H805" s="16">
        <v>38</v>
      </c>
      <c r="I805" s="25">
        <v>5</v>
      </c>
      <c r="J805" s="56">
        <f>1680+220</f>
        <v>1900</v>
      </c>
      <c r="K805" s="15">
        <f>680+90</f>
        <v>770</v>
      </c>
      <c r="L805" s="24" t="s">
        <v>2050</v>
      </c>
      <c r="M805" s="24" t="s">
        <v>2024</v>
      </c>
      <c r="N805" s="1" t="s">
        <v>2013</v>
      </c>
      <c r="O805" s="15" t="s">
        <v>2082</v>
      </c>
      <c r="P805" s="15" t="s">
        <v>2442</v>
      </c>
      <c r="Q805" s="25" t="s">
        <v>2087</v>
      </c>
      <c r="R805" s="25" t="s">
        <v>2436</v>
      </c>
      <c r="S805" s="73" t="s">
        <v>2416</v>
      </c>
    </row>
    <row r="806" spans="1:19" x14ac:dyDescent="0.2">
      <c r="A806" s="1">
        <v>790</v>
      </c>
      <c r="B806" s="1" t="s">
        <v>585</v>
      </c>
      <c r="C806" s="1" t="s">
        <v>2446</v>
      </c>
      <c r="D806" s="11" t="s">
        <v>584</v>
      </c>
      <c r="E806" s="1" t="s">
        <v>822</v>
      </c>
      <c r="F806" s="66" t="s">
        <v>882</v>
      </c>
      <c r="G806" s="24" t="s">
        <v>1817</v>
      </c>
      <c r="H806" s="16">
        <v>41</v>
      </c>
      <c r="I806" s="25">
        <v>5</v>
      </c>
      <c r="J806" s="56">
        <v>1760</v>
      </c>
      <c r="K806" s="15">
        <v>800</v>
      </c>
      <c r="L806" s="24" t="s">
        <v>2060</v>
      </c>
      <c r="M806" s="24" t="s">
        <v>2024</v>
      </c>
      <c r="N806" s="1" t="s">
        <v>2013</v>
      </c>
      <c r="O806" s="15" t="s">
        <v>2082</v>
      </c>
      <c r="P806" s="15" t="s">
        <v>2442</v>
      </c>
      <c r="Q806" s="25" t="s">
        <v>2085</v>
      </c>
      <c r="R806" s="25" t="s">
        <v>2434</v>
      </c>
      <c r="S806" s="73" t="s">
        <v>2092</v>
      </c>
    </row>
    <row r="807" spans="1:19" x14ac:dyDescent="0.2">
      <c r="A807" s="1">
        <v>791</v>
      </c>
      <c r="B807" s="1" t="s">
        <v>51</v>
      </c>
      <c r="C807" s="1" t="s">
        <v>2446</v>
      </c>
      <c r="D807" s="11" t="s">
        <v>586</v>
      </c>
      <c r="E807" s="1" t="s">
        <v>823</v>
      </c>
      <c r="F807" s="66" t="s">
        <v>930</v>
      </c>
      <c r="G807" s="24" t="s">
        <v>1818</v>
      </c>
      <c r="H807" s="16">
        <v>29</v>
      </c>
      <c r="I807" s="25">
        <v>3</v>
      </c>
      <c r="J807" s="56">
        <v>2400</v>
      </c>
      <c r="K807" s="15"/>
      <c r="L807" s="24" t="s">
        <v>2038</v>
      </c>
      <c r="M807" s="24" t="s">
        <v>2014</v>
      </c>
      <c r="N807" s="1" t="s">
        <v>2013</v>
      </c>
      <c r="O807" s="15" t="s">
        <v>2082</v>
      </c>
      <c r="P807" s="15" t="s">
        <v>2442</v>
      </c>
      <c r="Q807" s="25" t="s">
        <v>2088</v>
      </c>
      <c r="R807" s="25" t="s">
        <v>2437</v>
      </c>
      <c r="S807" s="73" t="s">
        <v>2295</v>
      </c>
    </row>
    <row r="808" spans="1:19" x14ac:dyDescent="0.2">
      <c r="A808" s="1">
        <v>792</v>
      </c>
      <c r="B808" s="1" t="s">
        <v>67</v>
      </c>
      <c r="C808" s="1" t="s">
        <v>2446</v>
      </c>
      <c r="D808" s="1" t="s">
        <v>587</v>
      </c>
      <c r="E808" s="1" t="s">
        <v>828</v>
      </c>
      <c r="F808" s="67" t="s">
        <v>915</v>
      </c>
      <c r="G808" s="24" t="s">
        <v>1819</v>
      </c>
      <c r="H808" s="16">
        <v>60</v>
      </c>
      <c r="I808" s="25">
        <v>2</v>
      </c>
      <c r="J808" s="56">
        <v>3790</v>
      </c>
      <c r="K808" s="15">
        <v>1690</v>
      </c>
      <c r="L808" s="24" t="s">
        <v>2027</v>
      </c>
      <c r="M808" s="24" t="s">
        <v>2014</v>
      </c>
      <c r="N808" s="1" t="s">
        <v>2013</v>
      </c>
      <c r="O808" s="15" t="s">
        <v>2082</v>
      </c>
      <c r="P808" s="15" t="s">
        <v>2442</v>
      </c>
      <c r="Q808" s="25" t="s">
        <v>2086</v>
      </c>
      <c r="R808" s="25" t="s">
        <v>2435</v>
      </c>
      <c r="S808" s="73" t="s">
        <v>2360</v>
      </c>
    </row>
    <row r="809" spans="1:19" x14ac:dyDescent="0.2">
      <c r="A809" s="1">
        <v>793</v>
      </c>
      <c r="B809" s="1" t="s">
        <v>589</v>
      </c>
      <c r="C809" s="1" t="s">
        <v>2446</v>
      </c>
      <c r="D809" s="11" t="s">
        <v>588</v>
      </c>
      <c r="E809" s="1" t="s">
        <v>822</v>
      </c>
      <c r="F809" s="66" t="s">
        <v>920</v>
      </c>
      <c r="G809" s="24" t="s">
        <v>1820</v>
      </c>
      <c r="H809" s="16">
        <v>33</v>
      </c>
      <c r="I809" s="25">
        <v>4</v>
      </c>
      <c r="J809" s="56">
        <v>5530</v>
      </c>
      <c r="K809" s="15">
        <v>2530</v>
      </c>
      <c r="L809" s="24" t="s">
        <v>2046</v>
      </c>
      <c r="M809" s="24" t="s">
        <v>2016</v>
      </c>
      <c r="N809" s="1" t="s">
        <v>2013</v>
      </c>
      <c r="O809" s="15" t="s">
        <v>2082</v>
      </c>
      <c r="P809" s="15" t="s">
        <v>2442</v>
      </c>
      <c r="Q809" s="25" t="s">
        <v>2086</v>
      </c>
      <c r="R809" s="25" t="s">
        <v>2434</v>
      </c>
      <c r="S809" s="73" t="s">
        <v>2174</v>
      </c>
    </row>
    <row r="810" spans="1:19" x14ac:dyDescent="0.2">
      <c r="A810" s="1">
        <v>794</v>
      </c>
      <c r="B810" s="1" t="s">
        <v>590</v>
      </c>
      <c r="C810" s="1" t="s">
        <v>2446</v>
      </c>
      <c r="D810" s="1" t="s">
        <v>2672</v>
      </c>
      <c r="E810" s="1" t="s">
        <v>828</v>
      </c>
      <c r="F810" s="67" t="s">
        <v>921</v>
      </c>
      <c r="G810" s="24" t="s">
        <v>1821</v>
      </c>
      <c r="H810" s="16">
        <v>22</v>
      </c>
      <c r="I810" s="25">
        <v>1</v>
      </c>
      <c r="J810" s="56">
        <v>5150</v>
      </c>
      <c r="K810" s="15">
        <v>2050</v>
      </c>
      <c r="L810" s="24" t="s">
        <v>2023</v>
      </c>
      <c r="M810" s="24" t="s">
        <v>2020</v>
      </c>
      <c r="N810" s="1" t="s">
        <v>2013</v>
      </c>
      <c r="O810" s="15" t="s">
        <v>2082</v>
      </c>
      <c r="P810" s="15" t="s">
        <v>2442</v>
      </c>
      <c r="Q810" s="25" t="s">
        <v>2090</v>
      </c>
      <c r="R810" s="25" t="s">
        <v>2436</v>
      </c>
      <c r="S810" s="73" t="s">
        <v>2092</v>
      </c>
    </row>
    <row r="811" spans="1:19" x14ac:dyDescent="0.2">
      <c r="A811" s="1">
        <v>795</v>
      </c>
      <c r="B811" s="1" t="s">
        <v>633</v>
      </c>
      <c r="C811" s="1" t="s">
        <v>2446</v>
      </c>
      <c r="D811" s="11" t="s">
        <v>894</v>
      </c>
      <c r="E811" s="1" t="s">
        <v>823</v>
      </c>
      <c r="F811" s="66" t="s">
        <v>930</v>
      </c>
      <c r="G811" s="24" t="s">
        <v>1822</v>
      </c>
      <c r="H811" s="16">
        <v>47</v>
      </c>
      <c r="I811" s="25">
        <v>5</v>
      </c>
      <c r="J811" s="56">
        <v>3500</v>
      </c>
      <c r="K811" s="15">
        <v>1880</v>
      </c>
      <c r="L811" s="24" t="s">
        <v>2019</v>
      </c>
      <c r="M811" s="24" t="s">
        <v>2014</v>
      </c>
      <c r="N811" s="1" t="s">
        <v>2013</v>
      </c>
      <c r="O811" s="15" t="s">
        <v>2082</v>
      </c>
      <c r="P811" s="15" t="s">
        <v>2442</v>
      </c>
      <c r="Q811" s="25" t="s">
        <v>2083</v>
      </c>
      <c r="R811" s="25" t="s">
        <v>2437</v>
      </c>
      <c r="S811" s="73" t="s">
        <v>2417</v>
      </c>
    </row>
    <row r="812" spans="1:19" x14ac:dyDescent="0.2">
      <c r="A812" s="1">
        <v>796</v>
      </c>
      <c r="B812" s="1" t="s">
        <v>157</v>
      </c>
      <c r="C812" s="1" t="s">
        <v>2446</v>
      </c>
      <c r="D812" s="11" t="s">
        <v>591</v>
      </c>
      <c r="E812" s="1" t="s">
        <v>823</v>
      </c>
      <c r="F812" s="67" t="s">
        <v>915</v>
      </c>
      <c r="G812" s="24" t="s">
        <v>1823</v>
      </c>
      <c r="H812" s="16">
        <v>55</v>
      </c>
      <c r="I812" s="25">
        <v>2</v>
      </c>
      <c r="J812" s="56">
        <v>3950</v>
      </c>
      <c r="K812" s="15">
        <v>1950</v>
      </c>
      <c r="L812" s="24" t="s">
        <v>2043</v>
      </c>
      <c r="M812" s="24" t="s">
        <v>2016</v>
      </c>
      <c r="N812" s="1" t="s">
        <v>2013</v>
      </c>
      <c r="O812" s="15" t="s">
        <v>2082</v>
      </c>
      <c r="P812" s="15" t="s">
        <v>2442</v>
      </c>
      <c r="Q812" s="25" t="s">
        <v>2088</v>
      </c>
      <c r="R812" s="25" t="s">
        <v>2435</v>
      </c>
      <c r="S812" s="73" t="s">
        <v>2398</v>
      </c>
    </row>
    <row r="813" spans="1:19" x14ac:dyDescent="0.2">
      <c r="A813" s="1">
        <v>797</v>
      </c>
      <c r="B813" s="1" t="s">
        <v>592</v>
      </c>
      <c r="C813" s="1" t="s">
        <v>2446</v>
      </c>
      <c r="D813" s="11" t="s">
        <v>2673</v>
      </c>
      <c r="E813" s="1" t="s">
        <v>828</v>
      </c>
      <c r="F813" s="66" t="s">
        <v>920</v>
      </c>
      <c r="G813" s="24" t="s">
        <v>1824</v>
      </c>
      <c r="H813" s="16">
        <v>36</v>
      </c>
      <c r="I813" s="25">
        <v>3</v>
      </c>
      <c r="J813" s="56">
        <f>5980+550</f>
        <v>6530</v>
      </c>
      <c r="K813" s="15">
        <f>2290+450</f>
        <v>2740</v>
      </c>
      <c r="L813" s="24" t="s">
        <v>2051</v>
      </c>
      <c r="M813" s="24" t="s">
        <v>2020</v>
      </c>
      <c r="N813" s="1" t="s">
        <v>2013</v>
      </c>
      <c r="O813" s="15" t="s">
        <v>2082</v>
      </c>
      <c r="P813" s="15" t="s">
        <v>2442</v>
      </c>
      <c r="Q813" s="25" t="s">
        <v>2089</v>
      </c>
      <c r="R813" s="25" t="s">
        <v>2436</v>
      </c>
      <c r="S813" s="73" t="s">
        <v>2214</v>
      </c>
    </row>
    <row r="814" spans="1:19" x14ac:dyDescent="0.2">
      <c r="A814" s="1">
        <v>798</v>
      </c>
      <c r="B814" s="15" t="s">
        <v>843</v>
      </c>
      <c r="C814" s="1" t="s">
        <v>2446</v>
      </c>
      <c r="D814" s="11" t="s">
        <v>2674</v>
      </c>
      <c r="E814" s="1" t="s">
        <v>822</v>
      </c>
      <c r="F814" s="67" t="s">
        <v>921</v>
      </c>
      <c r="G814" s="24" t="s">
        <v>1825</v>
      </c>
      <c r="H814" s="16">
        <v>28</v>
      </c>
      <c r="I814" s="25">
        <v>4</v>
      </c>
      <c r="J814" s="56">
        <f>3740+550</f>
        <v>4290</v>
      </c>
      <c r="K814" s="15">
        <f>1840+450</f>
        <v>2290</v>
      </c>
      <c r="L814" s="24" t="s">
        <v>2018</v>
      </c>
      <c r="M814" s="24" t="s">
        <v>2014</v>
      </c>
      <c r="N814" s="1" t="s">
        <v>2013</v>
      </c>
      <c r="O814" s="15" t="s">
        <v>2082</v>
      </c>
      <c r="P814" s="15" t="s">
        <v>2442</v>
      </c>
      <c r="Q814" s="25" t="s">
        <v>2085</v>
      </c>
      <c r="R814" s="25" t="s">
        <v>2434</v>
      </c>
      <c r="S814" s="73" t="s">
        <v>2171</v>
      </c>
    </row>
    <row r="815" spans="1:19" x14ac:dyDescent="0.2">
      <c r="A815" s="1">
        <v>799</v>
      </c>
      <c r="B815" s="1" t="s">
        <v>593</v>
      </c>
      <c r="C815" s="1" t="s">
        <v>2446</v>
      </c>
      <c r="D815" s="11" t="s">
        <v>2675</v>
      </c>
      <c r="E815" s="1" t="s">
        <v>817</v>
      </c>
      <c r="F815" s="67" t="s">
        <v>922</v>
      </c>
      <c r="G815" s="24" t="s">
        <v>1826</v>
      </c>
      <c r="H815" s="16">
        <v>50</v>
      </c>
      <c r="I815" s="25">
        <v>1</v>
      </c>
      <c r="J815" s="56">
        <f>2350+550</f>
        <v>2900</v>
      </c>
      <c r="K815" s="15">
        <f>1450+450</f>
        <v>1900</v>
      </c>
      <c r="L815" s="24" t="s">
        <v>2053</v>
      </c>
      <c r="M815" s="24" t="s">
        <v>2014</v>
      </c>
      <c r="N815" s="1" t="s">
        <v>2013</v>
      </c>
      <c r="O815" s="15" t="s">
        <v>2082</v>
      </c>
      <c r="P815" s="15" t="s">
        <v>2442</v>
      </c>
      <c r="Q815" s="25" t="s">
        <v>2084</v>
      </c>
      <c r="R815" s="25" t="s">
        <v>2437</v>
      </c>
      <c r="S815" s="73" t="s">
        <v>2387</v>
      </c>
    </row>
    <row r="816" spans="1:19" x14ac:dyDescent="0.2">
      <c r="A816" s="1">
        <v>800</v>
      </c>
      <c r="B816" s="1" t="s">
        <v>595</v>
      </c>
      <c r="C816" s="1" t="s">
        <v>2446</v>
      </c>
      <c r="D816" s="1" t="s">
        <v>594</v>
      </c>
      <c r="E816" s="1" t="s">
        <v>823</v>
      </c>
      <c r="F816" s="67" t="s">
        <v>923</v>
      </c>
      <c r="G816" s="24" t="s">
        <v>1827</v>
      </c>
      <c r="H816" s="16">
        <v>39</v>
      </c>
      <c r="I816" s="25">
        <v>5</v>
      </c>
      <c r="J816" s="56">
        <v>5050</v>
      </c>
      <c r="K816" s="15">
        <v>2740</v>
      </c>
      <c r="L816" s="24" t="s">
        <v>2019</v>
      </c>
      <c r="M816" s="24" t="s">
        <v>2014</v>
      </c>
      <c r="N816" s="1" t="s">
        <v>2013</v>
      </c>
      <c r="O816" s="15" t="s">
        <v>2082</v>
      </c>
      <c r="P816" s="15" t="s">
        <v>2442</v>
      </c>
      <c r="Q816" s="25" t="s">
        <v>2089</v>
      </c>
      <c r="R816" s="25" t="s">
        <v>2435</v>
      </c>
      <c r="S816" s="73" t="s">
        <v>2096</v>
      </c>
    </row>
    <row r="817" spans="1:19" x14ac:dyDescent="0.2">
      <c r="A817" s="1">
        <v>801</v>
      </c>
      <c r="B817" s="1" t="s">
        <v>596</v>
      </c>
      <c r="C817" s="1" t="s">
        <v>2446</v>
      </c>
      <c r="D817" s="1" t="s">
        <v>2676</v>
      </c>
      <c r="E817" s="1" t="s">
        <v>823</v>
      </c>
      <c r="F817" s="67" t="s">
        <v>924</v>
      </c>
      <c r="G817" s="24" t="s">
        <v>1828</v>
      </c>
      <c r="H817" s="16">
        <v>31</v>
      </c>
      <c r="I817" s="25">
        <v>3</v>
      </c>
      <c r="J817" s="56">
        <f>3940</f>
        <v>3940</v>
      </c>
      <c r="K817" s="15">
        <v>1470</v>
      </c>
      <c r="L817" s="24" t="s">
        <v>2028</v>
      </c>
      <c r="M817" s="24" t="s">
        <v>2020</v>
      </c>
      <c r="N817" s="1" t="s">
        <v>2013</v>
      </c>
      <c r="O817" s="15" t="s">
        <v>2082</v>
      </c>
      <c r="P817" s="15" t="s">
        <v>2442</v>
      </c>
      <c r="Q817" s="25" t="s">
        <v>2089</v>
      </c>
      <c r="R817" s="25" t="s">
        <v>2434</v>
      </c>
      <c r="S817" s="73" t="s">
        <v>2228</v>
      </c>
    </row>
    <row r="818" spans="1:19" x14ac:dyDescent="0.2">
      <c r="A818" s="1">
        <v>802</v>
      </c>
      <c r="B818" s="1" t="s">
        <v>555</v>
      </c>
      <c r="C818" s="1" t="s">
        <v>2446</v>
      </c>
      <c r="D818" s="1" t="s">
        <v>2677</v>
      </c>
      <c r="E818" s="1" t="s">
        <v>828</v>
      </c>
      <c r="F818" s="67" t="s">
        <v>925</v>
      </c>
      <c r="G818" s="24" t="s">
        <v>1829</v>
      </c>
      <c r="H818" s="16">
        <v>44</v>
      </c>
      <c r="I818" s="25">
        <v>2</v>
      </c>
      <c r="J818" s="56">
        <v>1280</v>
      </c>
      <c r="K818" s="15"/>
      <c r="L818" s="24" t="s">
        <v>2038</v>
      </c>
      <c r="M818" s="24" t="s">
        <v>2014</v>
      </c>
      <c r="N818" s="1" t="s">
        <v>2013</v>
      </c>
      <c r="O818" s="15" t="s">
        <v>2082</v>
      </c>
      <c r="P818" s="15" t="s">
        <v>2442</v>
      </c>
      <c r="Q818" s="25" t="s">
        <v>2088</v>
      </c>
      <c r="R818" s="25" t="s">
        <v>2436</v>
      </c>
      <c r="S818" s="73" t="s">
        <v>2097</v>
      </c>
    </row>
    <row r="819" spans="1:19" x14ac:dyDescent="0.2">
      <c r="A819" s="1">
        <v>803</v>
      </c>
      <c r="B819" s="1" t="s">
        <v>8</v>
      </c>
      <c r="C819" s="1" t="s">
        <v>2446</v>
      </c>
      <c r="D819" s="1" t="s">
        <v>2678</v>
      </c>
      <c r="E819" s="1" t="s">
        <v>822</v>
      </c>
      <c r="F819" s="69" t="s">
        <v>904</v>
      </c>
      <c r="G819" s="24" t="s">
        <v>1830</v>
      </c>
      <c r="H819" s="16">
        <v>26</v>
      </c>
      <c r="I819" s="25">
        <v>4</v>
      </c>
      <c r="J819" s="56">
        <v>300</v>
      </c>
      <c r="K819" s="15"/>
      <c r="L819" s="24" t="s">
        <v>2019</v>
      </c>
      <c r="M819" s="24" t="s">
        <v>2014</v>
      </c>
      <c r="N819" s="1" t="s">
        <v>2013</v>
      </c>
      <c r="O819" s="15" t="s">
        <v>2082</v>
      </c>
      <c r="P819" s="15" t="s">
        <v>2442</v>
      </c>
      <c r="Q819" s="25" t="s">
        <v>2083</v>
      </c>
      <c r="R819" s="25" t="s">
        <v>2437</v>
      </c>
      <c r="S819" s="73" t="s">
        <v>2168</v>
      </c>
    </row>
    <row r="820" spans="1:19" x14ac:dyDescent="0.2">
      <c r="A820" s="1">
        <v>804</v>
      </c>
      <c r="B820" s="1" t="s">
        <v>843</v>
      </c>
      <c r="C820" s="1" t="s">
        <v>2446</v>
      </c>
      <c r="D820" s="1" t="s">
        <v>2679</v>
      </c>
      <c r="E820" s="1" t="s">
        <v>822</v>
      </c>
      <c r="F820" s="66" t="s">
        <v>926</v>
      </c>
      <c r="G820" s="24" t="s">
        <v>1831</v>
      </c>
      <c r="H820" s="16">
        <v>48</v>
      </c>
      <c r="I820" s="25">
        <v>1</v>
      </c>
      <c r="J820" s="56">
        <v>400</v>
      </c>
      <c r="K820" s="15"/>
      <c r="L820" s="24" t="s">
        <v>2042</v>
      </c>
      <c r="M820" s="24" t="s">
        <v>2024</v>
      </c>
      <c r="N820" s="1" t="s">
        <v>2013</v>
      </c>
      <c r="O820" s="15" t="s">
        <v>2082</v>
      </c>
      <c r="P820" s="15" t="s">
        <v>2442</v>
      </c>
      <c r="Q820" s="25" t="s">
        <v>2088</v>
      </c>
      <c r="R820" s="25" t="s">
        <v>2435</v>
      </c>
      <c r="S820" s="73" t="s">
        <v>2355</v>
      </c>
    </row>
    <row r="821" spans="1:19" x14ac:dyDescent="0.2">
      <c r="A821" s="1">
        <v>805</v>
      </c>
      <c r="B821" s="1" t="s">
        <v>17</v>
      </c>
      <c r="C821" s="1" t="s">
        <v>2446</v>
      </c>
      <c r="D821" s="1" t="s">
        <v>597</v>
      </c>
      <c r="E821" s="1" t="s">
        <v>863</v>
      </c>
      <c r="F821" s="66" t="s">
        <v>927</v>
      </c>
      <c r="G821" s="24" t="s">
        <v>1832</v>
      </c>
      <c r="H821" s="16">
        <v>53</v>
      </c>
      <c r="I821" s="25">
        <v>5</v>
      </c>
      <c r="J821" s="56">
        <v>2500</v>
      </c>
      <c r="K821" s="15">
        <f>1230</f>
        <v>1230</v>
      </c>
      <c r="L821" s="24" t="s">
        <v>2025</v>
      </c>
      <c r="M821" s="24" t="s">
        <v>2024</v>
      </c>
      <c r="N821" s="1" t="s">
        <v>2013</v>
      </c>
      <c r="O821" s="15" t="s">
        <v>2082</v>
      </c>
      <c r="P821" s="15" t="s">
        <v>2442</v>
      </c>
      <c r="Q821" s="25" t="s">
        <v>2090</v>
      </c>
      <c r="R821" s="25" t="s">
        <v>2436</v>
      </c>
      <c r="S821" s="73" t="s">
        <v>2312</v>
      </c>
    </row>
    <row r="822" spans="1:19" x14ac:dyDescent="0.2">
      <c r="A822" s="1">
        <v>806</v>
      </c>
      <c r="B822" s="1" t="s">
        <v>200</v>
      </c>
      <c r="C822" s="1" t="s">
        <v>2446</v>
      </c>
      <c r="D822" s="11" t="s">
        <v>598</v>
      </c>
      <c r="E822" s="35" t="s">
        <v>864</v>
      </c>
      <c r="F822" s="67" t="s">
        <v>932</v>
      </c>
      <c r="G822" s="24" t="s">
        <v>1833</v>
      </c>
      <c r="H822" s="16">
        <v>30</v>
      </c>
      <c r="I822" s="25">
        <v>2</v>
      </c>
      <c r="J822" s="56">
        <v>2600</v>
      </c>
      <c r="K822" s="15">
        <v>1230</v>
      </c>
      <c r="L822" s="24" t="s">
        <v>2033</v>
      </c>
      <c r="M822" s="24" t="s">
        <v>2016</v>
      </c>
      <c r="N822" s="1" t="s">
        <v>2013</v>
      </c>
      <c r="O822" s="15" t="s">
        <v>2082</v>
      </c>
      <c r="P822" s="15" t="s">
        <v>2442</v>
      </c>
      <c r="Q822" s="25" t="s">
        <v>2085</v>
      </c>
      <c r="R822" s="25" t="s">
        <v>2434</v>
      </c>
      <c r="S822" s="73" t="s">
        <v>2250</v>
      </c>
    </row>
    <row r="823" spans="1:19" x14ac:dyDescent="0.2">
      <c r="A823" s="1">
        <v>807</v>
      </c>
      <c r="B823" s="1" t="s">
        <v>58</v>
      </c>
      <c r="C823" s="1" t="s">
        <v>2446</v>
      </c>
      <c r="D823" s="11" t="s">
        <v>599</v>
      </c>
      <c r="E823" s="35" t="s">
        <v>823</v>
      </c>
      <c r="F823" s="67" t="s">
        <v>922</v>
      </c>
      <c r="G823" s="24" t="s">
        <v>1834</v>
      </c>
      <c r="H823" s="16">
        <v>37</v>
      </c>
      <c r="I823" s="25">
        <v>3</v>
      </c>
      <c r="J823" s="56">
        <v>3730</v>
      </c>
      <c r="K823" s="15">
        <v>1730</v>
      </c>
      <c r="L823" s="24" t="s">
        <v>2040</v>
      </c>
      <c r="M823" s="24" t="s">
        <v>2014</v>
      </c>
      <c r="N823" s="1" t="s">
        <v>2013</v>
      </c>
      <c r="O823" s="15" t="s">
        <v>2082</v>
      </c>
      <c r="P823" s="15" t="s">
        <v>2442</v>
      </c>
      <c r="Q823" s="25" t="s">
        <v>2087</v>
      </c>
      <c r="R823" s="25" t="s">
        <v>2437</v>
      </c>
      <c r="S823" s="73" t="s">
        <v>2418</v>
      </c>
    </row>
    <row r="824" spans="1:19" x14ac:dyDescent="0.2">
      <c r="A824" s="1">
        <v>808</v>
      </c>
      <c r="B824" s="1" t="s">
        <v>601</v>
      </c>
      <c r="C824" s="1" t="s">
        <v>2446</v>
      </c>
      <c r="D824" s="11" t="s">
        <v>600</v>
      </c>
      <c r="E824" s="35" t="s">
        <v>823</v>
      </c>
      <c r="F824" s="67" t="s">
        <v>923</v>
      </c>
      <c r="G824" s="24" t="s">
        <v>1835</v>
      </c>
      <c r="H824" s="16">
        <v>42</v>
      </c>
      <c r="I824" s="25">
        <v>4</v>
      </c>
      <c r="J824" s="56">
        <v>4300</v>
      </c>
      <c r="K824" s="15">
        <v>2050</v>
      </c>
      <c r="L824" s="24" t="s">
        <v>2041</v>
      </c>
      <c r="M824" s="24" t="s">
        <v>2020</v>
      </c>
      <c r="N824" s="1" t="s">
        <v>2013</v>
      </c>
      <c r="O824" s="15" t="s">
        <v>2082</v>
      </c>
      <c r="P824" s="15" t="s">
        <v>2442</v>
      </c>
      <c r="Q824" s="25" t="s">
        <v>2085</v>
      </c>
      <c r="R824" s="25" t="s">
        <v>2435</v>
      </c>
      <c r="S824" s="73" t="s">
        <v>2198</v>
      </c>
    </row>
    <row r="825" spans="1:19" x14ac:dyDescent="0.2">
      <c r="A825" s="1">
        <v>809</v>
      </c>
      <c r="B825" s="1" t="s">
        <v>602</v>
      </c>
      <c r="C825" s="1" t="s">
        <v>2446</v>
      </c>
      <c r="D825" s="11" t="s">
        <v>2680</v>
      </c>
      <c r="E825" s="35" t="s">
        <v>863</v>
      </c>
      <c r="F825" s="67" t="s">
        <v>924</v>
      </c>
      <c r="G825" s="24" t="s">
        <v>1836</v>
      </c>
      <c r="H825" s="16">
        <v>24</v>
      </c>
      <c r="I825" s="25">
        <v>1</v>
      </c>
      <c r="J825" s="56">
        <v>6900</v>
      </c>
      <c r="K825" s="15">
        <v>4000</v>
      </c>
      <c r="L825" s="24" t="s">
        <v>2055</v>
      </c>
      <c r="M825" s="24" t="s">
        <v>2014</v>
      </c>
      <c r="N825" s="1" t="s">
        <v>2013</v>
      </c>
      <c r="O825" s="15" t="s">
        <v>2082</v>
      </c>
      <c r="P825" s="15" t="s">
        <v>2442</v>
      </c>
      <c r="Q825" s="25" t="s">
        <v>2084</v>
      </c>
      <c r="R825" s="25" t="s">
        <v>2434</v>
      </c>
      <c r="S825" s="73" t="s">
        <v>2111</v>
      </c>
    </row>
    <row r="826" spans="1:19" x14ac:dyDescent="0.2">
      <c r="A826" s="1">
        <v>810</v>
      </c>
      <c r="B826" s="1" t="s">
        <v>7</v>
      </c>
      <c r="C826" s="1" t="s">
        <v>2446</v>
      </c>
      <c r="D826" s="11" t="s">
        <v>258</v>
      </c>
      <c r="E826" s="35" t="s">
        <v>822</v>
      </c>
      <c r="F826" s="67" t="s">
        <v>925</v>
      </c>
      <c r="G826" s="24" t="s">
        <v>1837</v>
      </c>
      <c r="H826" s="16">
        <v>57</v>
      </c>
      <c r="I826" s="25">
        <v>5</v>
      </c>
      <c r="J826" s="56">
        <v>1200</v>
      </c>
      <c r="K826" s="15">
        <v>700</v>
      </c>
      <c r="L826" s="24" t="s">
        <v>2031</v>
      </c>
      <c r="M826" s="24" t="s">
        <v>2016</v>
      </c>
      <c r="N826" s="1" t="s">
        <v>2013</v>
      </c>
      <c r="O826" s="15" t="s">
        <v>2082</v>
      </c>
      <c r="P826" s="15" t="s">
        <v>2442</v>
      </c>
      <c r="Q826" s="25" t="s">
        <v>2087</v>
      </c>
      <c r="R826" s="25" t="s">
        <v>2436</v>
      </c>
      <c r="S826" s="73" t="s">
        <v>2096</v>
      </c>
    </row>
    <row r="827" spans="1:19" x14ac:dyDescent="0.2">
      <c r="A827" s="1">
        <v>811</v>
      </c>
      <c r="B827" s="1" t="s">
        <v>604</v>
      </c>
      <c r="C827" s="1" t="s">
        <v>2446</v>
      </c>
      <c r="D827" s="11" t="s">
        <v>603</v>
      </c>
      <c r="E827" s="35" t="s">
        <v>864</v>
      </c>
      <c r="F827" s="69" t="s">
        <v>904</v>
      </c>
      <c r="G827" s="24" t="s">
        <v>1838</v>
      </c>
      <c r="H827" s="16">
        <v>35</v>
      </c>
      <c r="I827" s="25">
        <v>3</v>
      </c>
      <c r="J827" s="56">
        <f>5880+550</f>
        <v>6430</v>
      </c>
      <c r="K827" s="15">
        <f>3680+450</f>
        <v>4130</v>
      </c>
      <c r="L827" s="24" t="s">
        <v>2056</v>
      </c>
      <c r="M827" s="24" t="s">
        <v>2024</v>
      </c>
      <c r="N827" s="1" t="s">
        <v>2013</v>
      </c>
      <c r="O827" s="15" t="s">
        <v>2082</v>
      </c>
      <c r="P827" s="15" t="s">
        <v>2442</v>
      </c>
      <c r="Q827" s="25" t="s">
        <v>2086</v>
      </c>
      <c r="R827" s="25" t="s">
        <v>2437</v>
      </c>
      <c r="S827" s="73" t="s">
        <v>2296</v>
      </c>
    </row>
    <row r="828" spans="1:19" x14ac:dyDescent="0.2">
      <c r="A828" s="1">
        <v>812</v>
      </c>
      <c r="B828" s="1" t="s">
        <v>555</v>
      </c>
      <c r="C828" s="1" t="s">
        <v>2446</v>
      </c>
      <c r="D828" s="11" t="s">
        <v>2681</v>
      </c>
      <c r="E828" s="1" t="s">
        <v>863</v>
      </c>
      <c r="F828" s="66" t="s">
        <v>926</v>
      </c>
      <c r="G828" s="24" t="s">
        <v>1839</v>
      </c>
      <c r="H828" s="16">
        <v>40</v>
      </c>
      <c r="I828" s="25">
        <v>2</v>
      </c>
      <c r="J828" s="56">
        <v>500</v>
      </c>
      <c r="K828" s="15"/>
      <c r="L828" s="24" t="s">
        <v>2028</v>
      </c>
      <c r="M828" s="24" t="s">
        <v>2014</v>
      </c>
      <c r="N828" s="1" t="s">
        <v>2013</v>
      </c>
      <c r="O828" s="15" t="s">
        <v>2082</v>
      </c>
      <c r="P828" s="15" t="s">
        <v>2442</v>
      </c>
      <c r="Q828" s="25" t="s">
        <v>2084</v>
      </c>
      <c r="R828" s="25" t="s">
        <v>2435</v>
      </c>
      <c r="S828" s="73" t="s">
        <v>2326</v>
      </c>
    </row>
    <row r="829" spans="1:19" x14ac:dyDescent="0.2">
      <c r="A829" s="1">
        <v>813</v>
      </c>
      <c r="B829" s="1" t="s">
        <v>861</v>
      </c>
      <c r="C829" s="1" t="s">
        <v>2446</v>
      </c>
      <c r="D829" s="11" t="s">
        <v>603</v>
      </c>
      <c r="E829" s="1" t="s">
        <v>864</v>
      </c>
      <c r="F829" s="66" t="s">
        <v>927</v>
      </c>
      <c r="G829" s="24" t="s">
        <v>1840</v>
      </c>
      <c r="H829" s="16">
        <v>21</v>
      </c>
      <c r="I829" s="25">
        <v>4</v>
      </c>
      <c r="J829" s="56">
        <f>5100+550</f>
        <v>5650</v>
      </c>
      <c r="K829" s="15">
        <f>2900+450</f>
        <v>3350</v>
      </c>
      <c r="L829" s="24" t="s">
        <v>2061</v>
      </c>
      <c r="M829" s="24" t="s">
        <v>2014</v>
      </c>
      <c r="N829" s="1" t="s">
        <v>2013</v>
      </c>
      <c r="O829" s="15" t="s">
        <v>2082</v>
      </c>
      <c r="P829" s="15" t="s">
        <v>2442</v>
      </c>
      <c r="Q829" s="25" t="s">
        <v>2089</v>
      </c>
      <c r="R829" s="25" t="s">
        <v>2436</v>
      </c>
      <c r="S829" s="73" t="s">
        <v>2419</v>
      </c>
    </row>
    <row r="830" spans="1:19" x14ac:dyDescent="0.2">
      <c r="A830" s="1">
        <v>814</v>
      </c>
      <c r="B830" s="1" t="s">
        <v>555</v>
      </c>
      <c r="C830" s="1" t="s">
        <v>2446</v>
      </c>
      <c r="D830" s="11" t="s">
        <v>2682</v>
      </c>
      <c r="E830" s="35" t="s">
        <v>822</v>
      </c>
      <c r="F830" s="67" t="s">
        <v>932</v>
      </c>
      <c r="G830" s="24" t="s">
        <v>1841</v>
      </c>
      <c r="H830" s="16">
        <v>59</v>
      </c>
      <c r="I830" s="25">
        <v>1</v>
      </c>
      <c r="J830" s="56">
        <v>900</v>
      </c>
      <c r="K830" s="15"/>
      <c r="L830" s="24" t="s">
        <v>2057</v>
      </c>
      <c r="M830" s="24" t="s">
        <v>2020</v>
      </c>
      <c r="N830" s="1" t="s">
        <v>2013</v>
      </c>
      <c r="O830" s="15" t="s">
        <v>2082</v>
      </c>
      <c r="P830" s="15" t="s">
        <v>2442</v>
      </c>
      <c r="Q830" s="25" t="s">
        <v>2086</v>
      </c>
      <c r="R830" s="25" t="s">
        <v>2434</v>
      </c>
      <c r="S830" s="73" t="s">
        <v>2361</v>
      </c>
    </row>
    <row r="831" spans="1:19" x14ac:dyDescent="0.2">
      <c r="A831" s="1">
        <v>814</v>
      </c>
      <c r="B831" s="1" t="s">
        <v>39</v>
      </c>
      <c r="C831" s="1" t="s">
        <v>2446</v>
      </c>
      <c r="D831" s="11" t="s">
        <v>605</v>
      </c>
      <c r="E831" s="1" t="s">
        <v>863</v>
      </c>
      <c r="F831" s="66" t="s">
        <v>933</v>
      </c>
      <c r="G831" s="24" t="s">
        <v>1842</v>
      </c>
      <c r="H831" s="16">
        <v>32</v>
      </c>
      <c r="I831" s="25">
        <v>5</v>
      </c>
      <c r="J831" s="56">
        <v>5880</v>
      </c>
      <c r="K831" s="15">
        <v>1820</v>
      </c>
      <c r="L831" s="24" t="s">
        <v>2043</v>
      </c>
      <c r="M831" s="24" t="s">
        <v>2016</v>
      </c>
      <c r="N831" s="1" t="s">
        <v>2013</v>
      </c>
      <c r="O831" s="15" t="s">
        <v>2082</v>
      </c>
      <c r="P831" s="15" t="s">
        <v>2442</v>
      </c>
      <c r="Q831" s="25" t="s">
        <v>2083</v>
      </c>
      <c r="R831" s="25" t="s">
        <v>2437</v>
      </c>
      <c r="S831" s="73" t="s">
        <v>2216</v>
      </c>
    </row>
    <row r="832" spans="1:19" x14ac:dyDescent="0.2">
      <c r="A832" s="1">
        <v>815</v>
      </c>
      <c r="B832" s="1" t="s">
        <v>606</v>
      </c>
      <c r="C832" s="1" t="s">
        <v>2446</v>
      </c>
      <c r="D832" s="11" t="s">
        <v>2556</v>
      </c>
      <c r="E832" s="1" t="s">
        <v>864</v>
      </c>
      <c r="F832" s="67" t="s">
        <v>934</v>
      </c>
      <c r="G832" s="24" t="s">
        <v>1843</v>
      </c>
      <c r="H832" s="16">
        <v>46</v>
      </c>
      <c r="I832" s="25">
        <v>2</v>
      </c>
      <c r="J832" s="56">
        <v>1350</v>
      </c>
      <c r="K832" s="15">
        <v>610</v>
      </c>
      <c r="L832" s="24" t="s">
        <v>2046</v>
      </c>
      <c r="M832" s="24" t="s">
        <v>2016</v>
      </c>
      <c r="N832" s="1" t="s">
        <v>2013</v>
      </c>
      <c r="O832" s="15" t="s">
        <v>2082</v>
      </c>
      <c r="P832" s="15" t="s">
        <v>2442</v>
      </c>
      <c r="Q832" s="25" t="s">
        <v>2089</v>
      </c>
      <c r="R832" s="25" t="s">
        <v>2435</v>
      </c>
      <c r="S832" s="73" t="s">
        <v>2254</v>
      </c>
    </row>
    <row r="833" spans="1:19" x14ac:dyDescent="0.2">
      <c r="A833" s="1">
        <v>816</v>
      </c>
      <c r="B833" s="1" t="s">
        <v>607</v>
      </c>
      <c r="C833" s="1" t="s">
        <v>2446</v>
      </c>
      <c r="D833" s="11" t="s">
        <v>2683</v>
      </c>
      <c r="E833" s="1" t="s">
        <v>822</v>
      </c>
      <c r="F833" s="67" t="s">
        <v>935</v>
      </c>
      <c r="G833" s="24" t="s">
        <v>1844</v>
      </c>
      <c r="H833" s="16">
        <v>54</v>
      </c>
      <c r="I833" s="25">
        <v>3</v>
      </c>
      <c r="J833" s="56">
        <v>5630</v>
      </c>
      <c r="K833" s="15">
        <v>2300</v>
      </c>
      <c r="L833" s="24" t="s">
        <v>2056</v>
      </c>
      <c r="M833" s="24" t="s">
        <v>2024</v>
      </c>
      <c r="N833" s="1" t="s">
        <v>2013</v>
      </c>
      <c r="O833" s="15" t="s">
        <v>2082</v>
      </c>
      <c r="P833" s="15" t="s">
        <v>2442</v>
      </c>
      <c r="Q833" s="25" t="s">
        <v>2084</v>
      </c>
      <c r="R833" s="25" t="s">
        <v>2434</v>
      </c>
      <c r="S833" s="73" t="s">
        <v>2300</v>
      </c>
    </row>
    <row r="834" spans="1:19" x14ac:dyDescent="0.2">
      <c r="A834" s="1">
        <v>817</v>
      </c>
      <c r="B834" s="1" t="s">
        <v>608</v>
      </c>
      <c r="C834" s="1" t="s">
        <v>2446</v>
      </c>
      <c r="D834" s="11" t="s">
        <v>869</v>
      </c>
      <c r="E834" s="1" t="s">
        <v>823</v>
      </c>
      <c r="F834" s="66" t="s">
        <v>881</v>
      </c>
      <c r="G834" s="24" t="s">
        <v>1845</v>
      </c>
      <c r="H834" s="16">
        <v>25</v>
      </c>
      <c r="I834" s="25">
        <v>4</v>
      </c>
      <c r="J834" s="56">
        <v>1190</v>
      </c>
      <c r="K834" s="15">
        <v>480</v>
      </c>
      <c r="L834" s="24" t="s">
        <v>2062</v>
      </c>
      <c r="M834" s="24" t="s">
        <v>2016</v>
      </c>
      <c r="N834" s="1" t="s">
        <v>2013</v>
      </c>
      <c r="O834" s="15" t="s">
        <v>2082</v>
      </c>
      <c r="P834" s="15" t="s">
        <v>2442</v>
      </c>
      <c r="Q834" s="25" t="s">
        <v>2090</v>
      </c>
      <c r="R834" s="25" t="s">
        <v>2436</v>
      </c>
      <c r="S834" s="73" t="s">
        <v>2386</v>
      </c>
    </row>
    <row r="835" spans="1:19" x14ac:dyDescent="0.2">
      <c r="A835" s="1">
        <v>818</v>
      </c>
      <c r="B835" s="1" t="s">
        <v>610</v>
      </c>
      <c r="C835" s="1" t="s">
        <v>2446</v>
      </c>
      <c r="D835" s="11" t="s">
        <v>609</v>
      </c>
      <c r="E835" s="35" t="s">
        <v>822</v>
      </c>
      <c r="F835" s="66" t="s">
        <v>882</v>
      </c>
      <c r="G835" s="24" t="s">
        <v>1846</v>
      </c>
      <c r="H835" s="16">
        <v>43</v>
      </c>
      <c r="I835" s="25">
        <v>3</v>
      </c>
      <c r="J835" s="56">
        <v>3890</v>
      </c>
      <c r="K835" s="15">
        <v>1480</v>
      </c>
      <c r="L835" s="24" t="s">
        <v>2053</v>
      </c>
      <c r="M835" s="24" t="s">
        <v>2014</v>
      </c>
      <c r="N835" s="1" t="s">
        <v>2013</v>
      </c>
      <c r="O835" s="15" t="s">
        <v>2082</v>
      </c>
      <c r="P835" s="15" t="s">
        <v>2442</v>
      </c>
      <c r="Q835" s="25" t="s">
        <v>2084</v>
      </c>
      <c r="R835" s="25" t="s">
        <v>2437</v>
      </c>
      <c r="S835" s="73" t="s">
        <v>2219</v>
      </c>
    </row>
    <row r="836" spans="1:19" x14ac:dyDescent="0.2">
      <c r="A836" s="1">
        <v>819</v>
      </c>
      <c r="B836" s="1" t="s">
        <v>620</v>
      </c>
      <c r="C836" s="1" t="s">
        <v>2446</v>
      </c>
      <c r="D836" s="11" t="s">
        <v>611</v>
      </c>
      <c r="E836" s="35" t="s">
        <v>817</v>
      </c>
      <c r="F836" s="66" t="s">
        <v>881</v>
      </c>
      <c r="G836" s="24" t="s">
        <v>1847</v>
      </c>
      <c r="H836" s="16">
        <v>58</v>
      </c>
      <c r="I836" s="25">
        <v>1</v>
      </c>
      <c r="J836" s="56">
        <v>5520</v>
      </c>
      <c r="K836" s="15">
        <v>3130</v>
      </c>
      <c r="L836" s="24" t="s">
        <v>2028</v>
      </c>
      <c r="M836" s="24" t="s">
        <v>2016</v>
      </c>
      <c r="N836" s="1" t="s">
        <v>2013</v>
      </c>
      <c r="O836" s="15" t="s">
        <v>2082</v>
      </c>
      <c r="P836" s="15" t="s">
        <v>2442</v>
      </c>
      <c r="Q836" s="25" t="s">
        <v>2087</v>
      </c>
      <c r="R836" s="25" t="s">
        <v>2436</v>
      </c>
      <c r="S836" s="73" t="s">
        <v>2420</v>
      </c>
    </row>
    <row r="837" spans="1:19" x14ac:dyDescent="0.2">
      <c r="A837" s="1">
        <v>820</v>
      </c>
      <c r="B837" s="1" t="s">
        <v>555</v>
      </c>
      <c r="C837" s="1" t="s">
        <v>2446</v>
      </c>
      <c r="D837" s="11" t="s">
        <v>2684</v>
      </c>
      <c r="E837" s="1" t="s">
        <v>863</v>
      </c>
      <c r="F837" s="66" t="s">
        <v>883</v>
      </c>
      <c r="G837" s="24" t="s">
        <v>1848</v>
      </c>
      <c r="H837" s="16">
        <v>20</v>
      </c>
      <c r="I837" s="25">
        <v>4</v>
      </c>
      <c r="J837" s="56">
        <v>2680</v>
      </c>
      <c r="K837" s="15">
        <v>1180</v>
      </c>
      <c r="L837" s="24" t="s">
        <v>2059</v>
      </c>
      <c r="M837" s="24" t="s">
        <v>2016</v>
      </c>
      <c r="N837" s="1" t="s">
        <v>2013</v>
      </c>
      <c r="O837" s="15" t="s">
        <v>2082</v>
      </c>
      <c r="P837" s="15" t="s">
        <v>2442</v>
      </c>
      <c r="Q837" s="25" t="s">
        <v>2083</v>
      </c>
      <c r="R837" s="25" t="s">
        <v>2434</v>
      </c>
      <c r="S837" s="73" t="s">
        <v>2126</v>
      </c>
    </row>
    <row r="838" spans="1:19" x14ac:dyDescent="0.2">
      <c r="A838" s="1">
        <v>821</v>
      </c>
      <c r="B838" s="1" t="s">
        <v>127</v>
      </c>
      <c r="C838" s="1" t="s">
        <v>2446</v>
      </c>
      <c r="D838" s="11" t="s">
        <v>284</v>
      </c>
      <c r="E838" s="1" t="s">
        <v>864</v>
      </c>
      <c r="F838" s="66" t="s">
        <v>884</v>
      </c>
      <c r="G838" s="24" t="s">
        <v>1849</v>
      </c>
      <c r="H838" s="16">
        <v>49</v>
      </c>
      <c r="I838" s="25">
        <v>5</v>
      </c>
      <c r="J838" s="56">
        <v>400</v>
      </c>
      <c r="K838" s="15"/>
      <c r="L838" s="24" t="s">
        <v>2044</v>
      </c>
      <c r="M838" s="24" t="s">
        <v>2020</v>
      </c>
      <c r="N838" s="1" t="s">
        <v>2013</v>
      </c>
      <c r="O838" s="15" t="s">
        <v>2082</v>
      </c>
      <c r="P838" s="15" t="s">
        <v>2442</v>
      </c>
      <c r="Q838" s="25" t="s">
        <v>2085</v>
      </c>
      <c r="R838" s="25" t="s">
        <v>2437</v>
      </c>
      <c r="S838" s="73" t="s">
        <v>2421</v>
      </c>
    </row>
    <row r="839" spans="1:19" x14ac:dyDescent="0.2">
      <c r="A839" s="1">
        <v>822</v>
      </c>
      <c r="B839" s="1" t="s">
        <v>570</v>
      </c>
      <c r="C839" s="1" t="s">
        <v>2446</v>
      </c>
      <c r="D839" s="11" t="s">
        <v>612</v>
      </c>
      <c r="E839" s="1" t="s">
        <v>822</v>
      </c>
      <c r="F839" s="66" t="s">
        <v>936</v>
      </c>
      <c r="G839" s="24" t="s">
        <v>1850</v>
      </c>
      <c r="H839" s="16">
        <v>34</v>
      </c>
      <c r="I839" s="25">
        <v>3</v>
      </c>
      <c r="J839" s="56">
        <v>3780</v>
      </c>
      <c r="K839" s="15">
        <v>1500</v>
      </c>
      <c r="L839" s="24" t="s">
        <v>2040</v>
      </c>
      <c r="M839" s="24" t="s">
        <v>2016</v>
      </c>
      <c r="N839" s="1" t="s">
        <v>2013</v>
      </c>
      <c r="O839" s="15" t="s">
        <v>2082</v>
      </c>
      <c r="P839" s="15" t="s">
        <v>2442</v>
      </c>
      <c r="Q839" s="25" t="s">
        <v>2087</v>
      </c>
      <c r="R839" s="25" t="s">
        <v>2435</v>
      </c>
      <c r="S839" s="73" t="s">
        <v>2242</v>
      </c>
    </row>
    <row r="840" spans="1:19" x14ac:dyDescent="0.2">
      <c r="A840" s="1">
        <v>823</v>
      </c>
      <c r="B840" s="1" t="s">
        <v>613</v>
      </c>
      <c r="C840" s="1" t="s">
        <v>2446</v>
      </c>
      <c r="D840" s="11" t="s">
        <v>2685</v>
      </c>
      <c r="E840" s="1" t="s">
        <v>823</v>
      </c>
      <c r="F840" s="66" t="s">
        <v>937</v>
      </c>
      <c r="G840" s="24" t="s">
        <v>1851</v>
      </c>
      <c r="H840" s="16">
        <v>27</v>
      </c>
      <c r="I840" s="25">
        <v>2</v>
      </c>
      <c r="J840" s="56">
        <v>4900</v>
      </c>
      <c r="K840" s="15">
        <v>3250</v>
      </c>
      <c r="L840" s="24" t="s">
        <v>2061</v>
      </c>
      <c r="M840" s="24" t="s">
        <v>2014</v>
      </c>
      <c r="N840" s="1" t="s">
        <v>2013</v>
      </c>
      <c r="O840" s="15" t="s">
        <v>2082</v>
      </c>
      <c r="P840" s="15" t="s">
        <v>2442</v>
      </c>
      <c r="Q840" s="25" t="s">
        <v>2089</v>
      </c>
      <c r="R840" s="25" t="s">
        <v>2434</v>
      </c>
      <c r="S840" s="73" t="s">
        <v>2244</v>
      </c>
    </row>
    <row r="841" spans="1:19" x14ac:dyDescent="0.2">
      <c r="A841" s="1">
        <v>824</v>
      </c>
      <c r="B841" s="1" t="s">
        <v>615</v>
      </c>
      <c r="C841" s="1" t="s">
        <v>2446</v>
      </c>
      <c r="D841" s="11" t="s">
        <v>614</v>
      </c>
      <c r="E841" s="1" t="s">
        <v>828</v>
      </c>
      <c r="F841" s="66" t="s">
        <v>938</v>
      </c>
      <c r="G841" s="24" t="s">
        <v>1852</v>
      </c>
      <c r="H841" s="16">
        <v>45</v>
      </c>
      <c r="I841" s="25">
        <v>4</v>
      </c>
      <c r="J841" s="56">
        <v>6200</v>
      </c>
      <c r="K841" s="15">
        <v>3400</v>
      </c>
      <c r="L841" s="24" t="s">
        <v>2055</v>
      </c>
      <c r="M841" s="24" t="s">
        <v>2014</v>
      </c>
      <c r="N841" s="1" t="s">
        <v>2013</v>
      </c>
      <c r="O841" s="15" t="s">
        <v>2082</v>
      </c>
      <c r="P841" s="15" t="s">
        <v>2442</v>
      </c>
      <c r="Q841" s="25" t="s">
        <v>2090</v>
      </c>
      <c r="R841" s="25" t="s">
        <v>2436</v>
      </c>
      <c r="S841" s="73" t="s">
        <v>2142</v>
      </c>
    </row>
    <row r="842" spans="1:19" x14ac:dyDescent="0.2">
      <c r="A842" s="1">
        <v>825</v>
      </c>
      <c r="B842" s="1" t="s">
        <v>617</v>
      </c>
      <c r="C842" s="1" t="s">
        <v>2446</v>
      </c>
      <c r="D842" s="11" t="s">
        <v>616</v>
      </c>
      <c r="E842" s="35" t="s">
        <v>822</v>
      </c>
      <c r="F842" s="66" t="s">
        <v>876</v>
      </c>
      <c r="G842" s="24" t="s">
        <v>1853</v>
      </c>
      <c r="H842" s="16">
        <v>52</v>
      </c>
      <c r="I842" s="25">
        <v>1</v>
      </c>
      <c r="J842" s="56">
        <v>3330</v>
      </c>
      <c r="K842" s="15">
        <v>2200</v>
      </c>
      <c r="L842" s="24" t="s">
        <v>2060</v>
      </c>
      <c r="M842" s="24" t="s">
        <v>2024</v>
      </c>
      <c r="N842" s="1" t="s">
        <v>2013</v>
      </c>
      <c r="O842" s="15" t="s">
        <v>2082</v>
      </c>
      <c r="P842" s="15" t="s">
        <v>2442</v>
      </c>
      <c r="Q842" s="25" t="s">
        <v>2090</v>
      </c>
      <c r="R842" s="25" t="s">
        <v>2437</v>
      </c>
      <c r="S842" s="73" t="s">
        <v>2180</v>
      </c>
    </row>
    <row r="843" spans="1:19" x14ac:dyDescent="0.2">
      <c r="A843" s="1">
        <v>826</v>
      </c>
      <c r="B843" s="1" t="s">
        <v>618</v>
      </c>
      <c r="C843" s="1" t="s">
        <v>2446</v>
      </c>
      <c r="D843" s="11" t="s">
        <v>2686</v>
      </c>
      <c r="E843" s="35" t="s">
        <v>817</v>
      </c>
      <c r="F843" s="66" t="s">
        <v>939</v>
      </c>
      <c r="G843" s="24" t="s">
        <v>1854</v>
      </c>
      <c r="H843" s="16">
        <v>23</v>
      </c>
      <c r="I843" s="25">
        <v>5</v>
      </c>
      <c r="J843" s="56">
        <v>5000</v>
      </c>
      <c r="K843" s="15">
        <v>2900</v>
      </c>
      <c r="L843" s="24" t="s">
        <v>2015</v>
      </c>
      <c r="M843" s="24" t="s">
        <v>2014</v>
      </c>
      <c r="N843" s="1" t="s">
        <v>2013</v>
      </c>
      <c r="O843" s="15" t="s">
        <v>2082</v>
      </c>
      <c r="P843" s="15" t="s">
        <v>2442</v>
      </c>
      <c r="Q843" s="25" t="s">
        <v>2088</v>
      </c>
      <c r="R843" s="25" t="s">
        <v>2435</v>
      </c>
      <c r="S843" s="73" t="s">
        <v>2218</v>
      </c>
    </row>
    <row r="844" spans="1:19" x14ac:dyDescent="0.2">
      <c r="A844" s="1">
        <v>827</v>
      </c>
      <c r="B844" s="1" t="s">
        <v>620</v>
      </c>
      <c r="C844" s="1" t="s">
        <v>2446</v>
      </c>
      <c r="D844" s="11" t="s">
        <v>619</v>
      </c>
      <c r="E844" s="35" t="s">
        <v>823</v>
      </c>
      <c r="F844" s="66" t="s">
        <v>940</v>
      </c>
      <c r="G844" s="24" t="s">
        <v>1855</v>
      </c>
      <c r="H844" s="16">
        <v>38</v>
      </c>
      <c r="I844" s="25">
        <v>2</v>
      </c>
      <c r="J844" s="56">
        <v>2150</v>
      </c>
      <c r="K844" s="15">
        <v>840</v>
      </c>
      <c r="L844" s="24" t="s">
        <v>2015</v>
      </c>
      <c r="M844" s="24" t="s">
        <v>2014</v>
      </c>
      <c r="N844" s="1" t="s">
        <v>2013</v>
      </c>
      <c r="O844" s="15" t="s">
        <v>2082</v>
      </c>
      <c r="P844" s="15" t="s">
        <v>2442</v>
      </c>
      <c r="Q844" s="25" t="s">
        <v>2084</v>
      </c>
      <c r="R844" s="25" t="s">
        <v>2436</v>
      </c>
      <c r="S844" s="73" t="s">
        <v>2352</v>
      </c>
    </row>
    <row r="845" spans="1:19" x14ac:dyDescent="0.2">
      <c r="A845" s="1">
        <v>828</v>
      </c>
      <c r="B845" s="1" t="s">
        <v>622</v>
      </c>
      <c r="C845" s="1" t="s">
        <v>2446</v>
      </c>
      <c r="D845" s="11" t="s">
        <v>621</v>
      </c>
      <c r="E845" s="35" t="s">
        <v>823</v>
      </c>
      <c r="F845" s="66" t="s">
        <v>25</v>
      </c>
      <c r="G845" s="24" t="s">
        <v>1856</v>
      </c>
      <c r="H845" s="16">
        <v>41</v>
      </c>
      <c r="I845" s="25">
        <v>3</v>
      </c>
      <c r="J845" s="56">
        <v>5150</v>
      </c>
      <c r="K845" s="15">
        <v>2350</v>
      </c>
      <c r="L845" s="24" t="s">
        <v>2028</v>
      </c>
      <c r="M845" s="24" t="s">
        <v>2020</v>
      </c>
      <c r="N845" s="1" t="s">
        <v>2013</v>
      </c>
      <c r="O845" s="15" t="s">
        <v>2082</v>
      </c>
      <c r="P845" s="15" t="s">
        <v>2442</v>
      </c>
      <c r="Q845" s="25" t="s">
        <v>2083</v>
      </c>
      <c r="R845" s="25" t="s">
        <v>2434</v>
      </c>
      <c r="S845" s="73" t="s">
        <v>2422</v>
      </c>
    </row>
    <row r="846" spans="1:19" x14ac:dyDescent="0.2">
      <c r="A846" s="1">
        <v>829</v>
      </c>
      <c r="B846" s="1" t="s">
        <v>234</v>
      </c>
      <c r="C846" s="1" t="s">
        <v>2446</v>
      </c>
      <c r="D846" s="11" t="s">
        <v>869</v>
      </c>
      <c r="E846" s="35" t="s">
        <v>828</v>
      </c>
      <c r="F846" s="66" t="s">
        <v>941</v>
      </c>
      <c r="G846" s="24" t="s">
        <v>1857</v>
      </c>
      <c r="H846" s="16">
        <v>29</v>
      </c>
      <c r="I846" s="25">
        <v>4</v>
      </c>
      <c r="J846" s="56"/>
      <c r="K846" s="15"/>
      <c r="L846" s="24" t="s">
        <v>2059</v>
      </c>
      <c r="M846" s="24" t="s">
        <v>2016</v>
      </c>
      <c r="N846" s="1" t="s">
        <v>2013</v>
      </c>
      <c r="O846" s="15" t="s">
        <v>2082</v>
      </c>
      <c r="P846" s="15" t="s">
        <v>2442</v>
      </c>
      <c r="Q846" s="25" t="s">
        <v>2090</v>
      </c>
      <c r="R846" s="25" t="s">
        <v>2437</v>
      </c>
      <c r="S846" s="73" t="s">
        <v>2416</v>
      </c>
    </row>
    <row r="847" spans="1:19" x14ac:dyDescent="0.2">
      <c r="A847" s="1">
        <v>830</v>
      </c>
      <c r="B847" s="1" t="s">
        <v>623</v>
      </c>
      <c r="C847" s="1" t="s">
        <v>2446</v>
      </c>
      <c r="D847" s="11" t="s">
        <v>2687</v>
      </c>
      <c r="E847" s="35" t="s">
        <v>822</v>
      </c>
      <c r="F847" s="66" t="s">
        <v>888</v>
      </c>
      <c r="G847" s="24" t="s">
        <v>1858</v>
      </c>
      <c r="H847" s="16">
        <v>60</v>
      </c>
      <c r="I847" s="25">
        <v>1</v>
      </c>
      <c r="J847" s="56">
        <f>9250+550</f>
        <v>9800</v>
      </c>
      <c r="K847" s="15">
        <f>5250+450</f>
        <v>5700</v>
      </c>
      <c r="L847" s="24" t="s">
        <v>2060</v>
      </c>
      <c r="M847" s="24" t="s">
        <v>2024</v>
      </c>
      <c r="N847" s="1" t="s">
        <v>2013</v>
      </c>
      <c r="O847" s="15" t="s">
        <v>2082</v>
      </c>
      <c r="P847" s="15" t="s">
        <v>2442</v>
      </c>
      <c r="Q847" s="25" t="s">
        <v>2088</v>
      </c>
      <c r="R847" s="25" t="s">
        <v>2435</v>
      </c>
      <c r="S847" s="73" t="s">
        <v>2192</v>
      </c>
    </row>
    <row r="848" spans="1:19" x14ac:dyDescent="0.2">
      <c r="A848" s="1">
        <v>831</v>
      </c>
      <c r="B848" s="1" t="s">
        <v>570</v>
      </c>
      <c r="C848" s="1" t="s">
        <v>2446</v>
      </c>
      <c r="D848" s="11" t="s">
        <v>2554</v>
      </c>
      <c r="E848" s="35" t="s">
        <v>822</v>
      </c>
      <c r="F848" s="66" t="s">
        <v>887</v>
      </c>
      <c r="G848" s="24" t="s">
        <v>1859</v>
      </c>
      <c r="H848" s="16">
        <v>33</v>
      </c>
      <c r="I848" s="25">
        <v>5</v>
      </c>
      <c r="J848" s="56">
        <v>4000</v>
      </c>
      <c r="K848" s="15">
        <v>2000</v>
      </c>
      <c r="L848" s="24" t="s">
        <v>2056</v>
      </c>
      <c r="M848" s="24" t="s">
        <v>2024</v>
      </c>
      <c r="N848" s="1" t="s">
        <v>2013</v>
      </c>
      <c r="O848" s="15" t="s">
        <v>2082</v>
      </c>
      <c r="P848" s="15" t="s">
        <v>2442</v>
      </c>
      <c r="Q848" s="25" t="s">
        <v>2083</v>
      </c>
      <c r="R848" s="25" t="s">
        <v>2434</v>
      </c>
      <c r="S848" s="73" t="s">
        <v>2391</v>
      </c>
    </row>
    <row r="849" spans="1:19" x14ac:dyDescent="0.2">
      <c r="A849" s="1">
        <v>832</v>
      </c>
      <c r="B849" s="1" t="s">
        <v>555</v>
      </c>
      <c r="C849" s="1" t="s">
        <v>2446</v>
      </c>
      <c r="D849" s="11" t="s">
        <v>2590</v>
      </c>
      <c r="E849" s="35" t="s">
        <v>863</v>
      </c>
      <c r="F849" s="66" t="s">
        <v>901</v>
      </c>
      <c r="G849" s="24" t="s">
        <v>1860</v>
      </c>
      <c r="H849" s="16">
        <v>22</v>
      </c>
      <c r="I849" s="25">
        <v>3</v>
      </c>
      <c r="J849" s="56">
        <v>4200</v>
      </c>
      <c r="K849" s="15">
        <v>2200</v>
      </c>
      <c r="L849" s="24" t="s">
        <v>2027</v>
      </c>
      <c r="M849" s="24" t="s">
        <v>2014</v>
      </c>
      <c r="N849" s="1" t="s">
        <v>2013</v>
      </c>
      <c r="O849" s="15" t="s">
        <v>2082</v>
      </c>
      <c r="P849" s="15" t="s">
        <v>2442</v>
      </c>
      <c r="Q849" s="25" t="s">
        <v>2083</v>
      </c>
      <c r="R849" s="25" t="s">
        <v>2436</v>
      </c>
      <c r="S849" s="73" t="s">
        <v>2178</v>
      </c>
    </row>
    <row r="850" spans="1:19" x14ac:dyDescent="0.2">
      <c r="A850" s="1">
        <v>833</v>
      </c>
      <c r="B850" s="1" t="s">
        <v>570</v>
      </c>
      <c r="C850" s="1" t="s">
        <v>2446</v>
      </c>
      <c r="D850" s="11" t="s">
        <v>624</v>
      </c>
      <c r="E850" s="35" t="s">
        <v>864</v>
      </c>
      <c r="F850" s="66" t="s">
        <v>885</v>
      </c>
      <c r="G850" s="24" t="s">
        <v>1861</v>
      </c>
      <c r="H850" s="16">
        <v>47</v>
      </c>
      <c r="I850" s="25">
        <v>2</v>
      </c>
      <c r="J850" s="56">
        <v>2450</v>
      </c>
      <c r="K850" s="15">
        <v>1150</v>
      </c>
      <c r="L850" s="24" t="s">
        <v>2038</v>
      </c>
      <c r="M850" s="24" t="s">
        <v>2014</v>
      </c>
      <c r="N850" s="1" t="s">
        <v>2013</v>
      </c>
      <c r="O850" s="15" t="s">
        <v>2082</v>
      </c>
      <c r="P850" s="15" t="s">
        <v>2442</v>
      </c>
      <c r="Q850" s="25" t="s">
        <v>2085</v>
      </c>
      <c r="R850" s="25" t="s">
        <v>2437</v>
      </c>
      <c r="S850" s="73" t="s">
        <v>2423</v>
      </c>
    </row>
    <row r="851" spans="1:19" x14ac:dyDescent="0.2">
      <c r="A851" s="1">
        <v>834</v>
      </c>
      <c r="B851" s="1" t="s">
        <v>625</v>
      </c>
      <c r="C851" s="1" t="s">
        <v>2446</v>
      </c>
      <c r="D851" s="11" t="s">
        <v>2688</v>
      </c>
      <c r="E851" s="35" t="s">
        <v>823</v>
      </c>
      <c r="F851" s="66" t="s">
        <v>882</v>
      </c>
      <c r="G851" s="24" t="s">
        <v>1862</v>
      </c>
      <c r="H851" s="16">
        <v>55</v>
      </c>
      <c r="I851" s="25">
        <v>4</v>
      </c>
      <c r="J851" s="56">
        <v>3550</v>
      </c>
      <c r="K851" s="15">
        <v>2050</v>
      </c>
      <c r="L851" s="24" t="s">
        <v>2043</v>
      </c>
      <c r="M851" s="24" t="s">
        <v>2016</v>
      </c>
      <c r="N851" s="1" t="s">
        <v>2013</v>
      </c>
      <c r="O851" s="15" t="s">
        <v>2082</v>
      </c>
      <c r="P851" s="15" t="s">
        <v>2442</v>
      </c>
      <c r="Q851" s="25" t="s">
        <v>2089</v>
      </c>
      <c r="R851" s="25" t="s">
        <v>2435</v>
      </c>
      <c r="S851" s="73" t="s">
        <v>2146</v>
      </c>
    </row>
    <row r="852" spans="1:19" x14ac:dyDescent="0.2">
      <c r="A852" s="1">
        <v>835</v>
      </c>
      <c r="B852" s="1" t="s">
        <v>64</v>
      </c>
      <c r="C852" s="1" t="s">
        <v>2446</v>
      </c>
      <c r="D852" s="11" t="s">
        <v>626</v>
      </c>
      <c r="E852" s="35" t="s">
        <v>823</v>
      </c>
      <c r="F852" s="66" t="s">
        <v>942</v>
      </c>
      <c r="G852" s="24" t="s">
        <v>1863</v>
      </c>
      <c r="H852" s="16">
        <v>36</v>
      </c>
      <c r="I852" s="25">
        <v>5</v>
      </c>
      <c r="J852" s="56">
        <f>3690+350</f>
        <v>4040</v>
      </c>
      <c r="K852" s="15">
        <f>1620+200</f>
        <v>1820</v>
      </c>
      <c r="L852" s="24" t="s">
        <v>2060</v>
      </c>
      <c r="M852" s="24" t="s">
        <v>2024</v>
      </c>
      <c r="N852" s="1" t="s">
        <v>2013</v>
      </c>
      <c r="O852" s="15" t="s">
        <v>2082</v>
      </c>
      <c r="P852" s="15" t="s">
        <v>2442</v>
      </c>
      <c r="Q852" s="25" t="s">
        <v>2083</v>
      </c>
      <c r="R852" s="25" t="s">
        <v>2436</v>
      </c>
      <c r="S852" s="73" t="s">
        <v>2343</v>
      </c>
    </row>
    <row r="853" spans="1:19" x14ac:dyDescent="0.2">
      <c r="A853" s="1">
        <v>836</v>
      </c>
      <c r="B853" s="1" t="s">
        <v>627</v>
      </c>
      <c r="C853" s="1" t="s">
        <v>2446</v>
      </c>
      <c r="D853" s="11" t="s">
        <v>384</v>
      </c>
      <c r="E853" s="35" t="s">
        <v>863</v>
      </c>
      <c r="F853" s="66" t="s">
        <v>943</v>
      </c>
      <c r="G853" s="24" t="s">
        <v>1864</v>
      </c>
      <c r="H853" s="16">
        <v>28</v>
      </c>
      <c r="I853" s="25">
        <v>3</v>
      </c>
      <c r="J853" s="56">
        <v>3890</v>
      </c>
      <c r="K853" s="15">
        <v>1890</v>
      </c>
      <c r="L853" s="24" t="s">
        <v>2046</v>
      </c>
      <c r="M853" s="24" t="s">
        <v>2016</v>
      </c>
      <c r="N853" s="1" t="s">
        <v>2013</v>
      </c>
      <c r="O853" s="15" t="s">
        <v>2082</v>
      </c>
      <c r="P853" s="15" t="s">
        <v>2442</v>
      </c>
      <c r="Q853" s="25" t="s">
        <v>2088</v>
      </c>
      <c r="R853" s="25" t="s">
        <v>2434</v>
      </c>
      <c r="S853" s="73" t="s">
        <v>2400</v>
      </c>
    </row>
    <row r="854" spans="1:19" x14ac:dyDescent="0.2">
      <c r="A854" s="1">
        <v>837</v>
      </c>
      <c r="B854" s="1" t="s">
        <v>629</v>
      </c>
      <c r="C854" s="1" t="s">
        <v>2446</v>
      </c>
      <c r="D854" s="11" t="s">
        <v>628</v>
      </c>
      <c r="E854" s="35" t="s">
        <v>822</v>
      </c>
      <c r="F854" s="66" t="s">
        <v>907</v>
      </c>
      <c r="G854" s="24" t="s">
        <v>1865</v>
      </c>
      <c r="H854" s="16">
        <v>50</v>
      </c>
      <c r="I854" s="25">
        <v>2</v>
      </c>
      <c r="J854" s="56">
        <v>9200</v>
      </c>
      <c r="K854" s="15">
        <v>5200</v>
      </c>
      <c r="L854" s="24" t="s">
        <v>2062</v>
      </c>
      <c r="M854" s="24" t="s">
        <v>2024</v>
      </c>
      <c r="N854" s="1" t="s">
        <v>2013</v>
      </c>
      <c r="O854" s="15" t="s">
        <v>2082</v>
      </c>
      <c r="P854" s="15" t="s">
        <v>2442</v>
      </c>
      <c r="Q854" s="25" t="s">
        <v>2084</v>
      </c>
      <c r="R854" s="25" t="s">
        <v>2437</v>
      </c>
      <c r="S854" s="73" t="s">
        <v>2196</v>
      </c>
    </row>
    <row r="855" spans="1:19" x14ac:dyDescent="0.2">
      <c r="A855" s="1">
        <v>838</v>
      </c>
      <c r="B855" s="1" t="s">
        <v>6</v>
      </c>
      <c r="C855" s="1" t="s">
        <v>2446</v>
      </c>
      <c r="D855" s="11" t="s">
        <v>2689</v>
      </c>
      <c r="E855" s="35" t="s">
        <v>864</v>
      </c>
      <c r="F855" s="66" t="s">
        <v>870</v>
      </c>
      <c r="G855" s="24" t="s">
        <v>1866</v>
      </c>
      <c r="H855" s="16">
        <v>39</v>
      </c>
      <c r="I855" s="25">
        <v>4</v>
      </c>
      <c r="J855" s="56">
        <f>2150+250</f>
        <v>2400</v>
      </c>
      <c r="K855" s="15">
        <f>950+150</f>
        <v>1100</v>
      </c>
      <c r="L855" s="24" t="s">
        <v>2057</v>
      </c>
      <c r="M855" s="24" t="s">
        <v>2020</v>
      </c>
      <c r="N855" s="1" t="s">
        <v>2013</v>
      </c>
      <c r="O855" s="15" t="s">
        <v>2082</v>
      </c>
      <c r="P855" s="15" t="s">
        <v>2442</v>
      </c>
      <c r="Q855" s="25" t="s">
        <v>2086</v>
      </c>
      <c r="R855" s="25" t="s">
        <v>2435</v>
      </c>
      <c r="S855" s="73" t="s">
        <v>2334</v>
      </c>
    </row>
    <row r="856" spans="1:19" x14ac:dyDescent="0.2">
      <c r="A856" s="1">
        <v>839</v>
      </c>
      <c r="B856" s="1" t="s">
        <v>630</v>
      </c>
      <c r="C856" s="1" t="s">
        <v>2446</v>
      </c>
      <c r="D856" s="11" t="s">
        <v>2690</v>
      </c>
      <c r="E856" s="35" t="s">
        <v>863</v>
      </c>
      <c r="F856" s="66" t="s">
        <v>944</v>
      </c>
      <c r="G856" s="24" t="s">
        <v>1867</v>
      </c>
      <c r="H856" s="16">
        <v>31</v>
      </c>
      <c r="I856" s="25">
        <v>1</v>
      </c>
      <c r="J856" s="56">
        <v>4850</v>
      </c>
      <c r="K856" s="15">
        <v>2630</v>
      </c>
      <c r="L856" s="24" t="s">
        <v>2043</v>
      </c>
      <c r="M856" s="24" t="s">
        <v>2016</v>
      </c>
      <c r="N856" s="1" t="s">
        <v>2013</v>
      </c>
      <c r="O856" s="15" t="s">
        <v>2082</v>
      </c>
      <c r="P856" s="15" t="s">
        <v>2442</v>
      </c>
      <c r="Q856" s="25" t="s">
        <v>2088</v>
      </c>
      <c r="R856" s="25" t="s">
        <v>2434</v>
      </c>
      <c r="S856" s="73" t="s">
        <v>2247</v>
      </c>
    </row>
    <row r="857" spans="1:19" x14ac:dyDescent="0.2">
      <c r="A857" s="1">
        <v>840</v>
      </c>
      <c r="B857" s="1" t="s">
        <v>631</v>
      </c>
      <c r="C857" s="1" t="s">
        <v>2446</v>
      </c>
      <c r="D857" s="11" t="s">
        <v>811</v>
      </c>
      <c r="E857" s="35" t="s">
        <v>864</v>
      </c>
      <c r="F857" s="66" t="s">
        <v>945</v>
      </c>
      <c r="G857" s="24" t="s">
        <v>1868</v>
      </c>
      <c r="H857" s="16">
        <v>44</v>
      </c>
      <c r="I857" s="25">
        <v>5</v>
      </c>
      <c r="J857" s="56">
        <f>6400+550</f>
        <v>6950</v>
      </c>
      <c r="K857" s="15">
        <f>3880+450</f>
        <v>4330</v>
      </c>
      <c r="L857" s="24" t="s">
        <v>2061</v>
      </c>
      <c r="M857" s="24" t="s">
        <v>2014</v>
      </c>
      <c r="N857" s="1" t="s">
        <v>2013</v>
      </c>
      <c r="O857" s="15" t="s">
        <v>2082</v>
      </c>
      <c r="P857" s="15" t="s">
        <v>2442</v>
      </c>
      <c r="Q857" s="25" t="s">
        <v>2085</v>
      </c>
      <c r="R857" s="25" t="s">
        <v>2436</v>
      </c>
      <c r="S857" s="73" t="s">
        <v>2105</v>
      </c>
    </row>
    <row r="858" spans="1:19" x14ac:dyDescent="0.2">
      <c r="A858" s="1">
        <v>841</v>
      </c>
      <c r="B858" s="1" t="s">
        <v>633</v>
      </c>
      <c r="C858" s="1" t="s">
        <v>2446</v>
      </c>
      <c r="D858" s="11" t="s">
        <v>632</v>
      </c>
      <c r="E858" s="35" t="s">
        <v>822</v>
      </c>
      <c r="F858" s="66" t="s">
        <v>946</v>
      </c>
      <c r="G858" s="24" t="s">
        <v>1869</v>
      </c>
      <c r="H858" s="16">
        <v>26</v>
      </c>
      <c r="I858" s="25">
        <v>2</v>
      </c>
      <c r="J858" s="56">
        <v>1670</v>
      </c>
      <c r="K858" s="15">
        <v>670</v>
      </c>
      <c r="L858" s="24" t="s">
        <v>2041</v>
      </c>
      <c r="M858" s="24" t="s">
        <v>2014</v>
      </c>
      <c r="N858" s="1" t="s">
        <v>2013</v>
      </c>
      <c r="O858" s="15" t="s">
        <v>2082</v>
      </c>
      <c r="P858" s="15" t="s">
        <v>2442</v>
      </c>
      <c r="Q858" s="25" t="s">
        <v>2089</v>
      </c>
      <c r="R858" s="25" t="s">
        <v>2437</v>
      </c>
      <c r="S858" s="73" t="s">
        <v>2160</v>
      </c>
    </row>
    <row r="859" spans="1:19" x14ac:dyDescent="0.2">
      <c r="A859" s="1">
        <v>842</v>
      </c>
      <c r="B859" s="1" t="s">
        <v>635</v>
      </c>
      <c r="C859" s="1" t="s">
        <v>2446</v>
      </c>
      <c r="D859" s="11" t="s">
        <v>634</v>
      </c>
      <c r="E859" s="35" t="s">
        <v>863</v>
      </c>
      <c r="F859" s="66" t="s">
        <v>947</v>
      </c>
      <c r="G859" s="24" t="s">
        <v>1870</v>
      </c>
      <c r="H859" s="16">
        <v>48</v>
      </c>
      <c r="I859" s="25">
        <v>3</v>
      </c>
      <c r="J859" s="56">
        <f>4200+220</f>
        <v>4420</v>
      </c>
      <c r="K859" s="15">
        <f>1750+90</f>
        <v>1840</v>
      </c>
      <c r="L859" s="24" t="s">
        <v>2029</v>
      </c>
      <c r="M859" s="24" t="s">
        <v>2016</v>
      </c>
      <c r="N859" s="1" t="s">
        <v>2013</v>
      </c>
      <c r="O859" s="15" t="s">
        <v>2082</v>
      </c>
      <c r="P859" s="15" t="s">
        <v>2442</v>
      </c>
      <c r="Q859" s="25" t="s">
        <v>2088</v>
      </c>
      <c r="R859" s="25" t="s">
        <v>2435</v>
      </c>
      <c r="S859" s="73" t="s">
        <v>2178</v>
      </c>
    </row>
    <row r="860" spans="1:19" x14ac:dyDescent="0.2">
      <c r="A860" s="1">
        <v>843</v>
      </c>
      <c r="B860" s="1" t="s">
        <v>127</v>
      </c>
      <c r="C860" s="1" t="s">
        <v>2446</v>
      </c>
      <c r="D860" s="11" t="s">
        <v>636</v>
      </c>
      <c r="E860" s="35" t="s">
        <v>864</v>
      </c>
      <c r="F860" s="66" t="s">
        <v>948</v>
      </c>
      <c r="G860" s="24" t="s">
        <v>1871</v>
      </c>
      <c r="H860" s="16">
        <v>53</v>
      </c>
      <c r="I860" s="25">
        <v>4</v>
      </c>
      <c r="J860" s="56">
        <v>3800</v>
      </c>
      <c r="K860" s="15">
        <v>1790</v>
      </c>
      <c r="L860" s="24" t="s">
        <v>2029</v>
      </c>
      <c r="M860" s="24" t="s">
        <v>2016</v>
      </c>
      <c r="N860" s="1" t="s">
        <v>2013</v>
      </c>
      <c r="O860" s="15" t="s">
        <v>2082</v>
      </c>
      <c r="P860" s="15" t="s">
        <v>2442</v>
      </c>
      <c r="Q860" s="25" t="s">
        <v>2085</v>
      </c>
      <c r="R860" s="25" t="s">
        <v>2436</v>
      </c>
      <c r="S860" s="73" t="s">
        <v>2318</v>
      </c>
    </row>
    <row r="861" spans="1:19" x14ac:dyDescent="0.2">
      <c r="A861" s="1">
        <v>844</v>
      </c>
      <c r="B861" s="1" t="s">
        <v>637</v>
      </c>
      <c r="C861" s="1" t="s">
        <v>2446</v>
      </c>
      <c r="D861" s="11" t="s">
        <v>2691</v>
      </c>
      <c r="E861" s="35" t="s">
        <v>822</v>
      </c>
      <c r="F861" s="66" t="s">
        <v>949</v>
      </c>
      <c r="G861" s="24" t="s">
        <v>1872</v>
      </c>
      <c r="H861" s="16">
        <v>30</v>
      </c>
      <c r="I861" s="25">
        <v>1</v>
      </c>
      <c r="J861" s="56">
        <v>7950</v>
      </c>
      <c r="K861" s="15">
        <v>3770</v>
      </c>
      <c r="L861" s="24" t="s">
        <v>2060</v>
      </c>
      <c r="M861" s="24" t="s">
        <v>2024</v>
      </c>
      <c r="N861" s="1" t="s">
        <v>2013</v>
      </c>
      <c r="O861" s="15" t="s">
        <v>2082</v>
      </c>
      <c r="P861" s="15" t="s">
        <v>2442</v>
      </c>
      <c r="Q861" s="25" t="s">
        <v>2088</v>
      </c>
      <c r="R861" s="25" t="s">
        <v>2434</v>
      </c>
      <c r="S861" s="73" t="s">
        <v>2216</v>
      </c>
    </row>
    <row r="862" spans="1:19" x14ac:dyDescent="0.2">
      <c r="A862" s="1">
        <v>845</v>
      </c>
      <c r="B862" s="1" t="s">
        <v>38</v>
      </c>
      <c r="C862" s="1" t="s">
        <v>2446</v>
      </c>
      <c r="D862" s="11" t="s">
        <v>2539</v>
      </c>
      <c r="E862" s="35" t="s">
        <v>823</v>
      </c>
      <c r="F862" s="66" t="s">
        <v>874</v>
      </c>
      <c r="G862" s="24" t="s">
        <v>1873</v>
      </c>
      <c r="H862" s="16">
        <v>37</v>
      </c>
      <c r="I862" s="25">
        <v>5</v>
      </c>
      <c r="J862" s="56">
        <v>3480</v>
      </c>
      <c r="K862" s="15">
        <v>1240</v>
      </c>
      <c r="L862" s="24" t="s">
        <v>2053</v>
      </c>
      <c r="M862" s="24" t="s">
        <v>2014</v>
      </c>
      <c r="N862" s="1" t="s">
        <v>2013</v>
      </c>
      <c r="O862" s="15" t="s">
        <v>2082</v>
      </c>
      <c r="P862" s="15" t="s">
        <v>2442</v>
      </c>
      <c r="Q862" s="25" t="s">
        <v>2084</v>
      </c>
      <c r="R862" s="25" t="s">
        <v>2437</v>
      </c>
      <c r="S862" s="73" t="s">
        <v>2258</v>
      </c>
    </row>
    <row r="863" spans="1:19" x14ac:dyDescent="0.2">
      <c r="A863" s="1">
        <v>846</v>
      </c>
      <c r="B863" s="1" t="s">
        <v>638</v>
      </c>
      <c r="C863" s="1" t="s">
        <v>2446</v>
      </c>
      <c r="D863" s="11" t="s">
        <v>2692</v>
      </c>
      <c r="E863" s="35" t="s">
        <v>822</v>
      </c>
      <c r="F863" s="66" t="s">
        <v>950</v>
      </c>
      <c r="G863" s="24" t="s">
        <v>1874</v>
      </c>
      <c r="H863" s="16">
        <v>42</v>
      </c>
      <c r="I863" s="25">
        <v>3</v>
      </c>
      <c r="J863" s="56">
        <v>4200</v>
      </c>
      <c r="K863" s="15">
        <v>1450</v>
      </c>
      <c r="L863" s="24" t="s">
        <v>2039</v>
      </c>
      <c r="M863" s="24" t="s">
        <v>2014</v>
      </c>
      <c r="N863" s="1" t="s">
        <v>2013</v>
      </c>
      <c r="O863" s="15" t="s">
        <v>2082</v>
      </c>
      <c r="P863" s="15" t="s">
        <v>2442</v>
      </c>
      <c r="Q863" s="25" t="s">
        <v>2085</v>
      </c>
      <c r="R863" s="25" t="s">
        <v>2437</v>
      </c>
      <c r="S863" s="73" t="s">
        <v>2109</v>
      </c>
    </row>
    <row r="864" spans="1:19" x14ac:dyDescent="0.2">
      <c r="A864" s="1">
        <v>847</v>
      </c>
      <c r="B864" s="1" t="s">
        <v>121</v>
      </c>
      <c r="C864" s="1" t="s">
        <v>2446</v>
      </c>
      <c r="D864" s="11" t="s">
        <v>639</v>
      </c>
      <c r="E864" s="35" t="s">
        <v>828</v>
      </c>
      <c r="F864" s="66" t="s">
        <v>951</v>
      </c>
      <c r="G864" s="24" t="s">
        <v>1875</v>
      </c>
      <c r="H864" s="16">
        <v>24</v>
      </c>
      <c r="I864" s="25">
        <v>5</v>
      </c>
      <c r="J864" s="56">
        <v>4000</v>
      </c>
      <c r="K864" s="15">
        <f>1750+200</f>
        <v>1950</v>
      </c>
      <c r="L864" s="24" t="s">
        <v>2018</v>
      </c>
      <c r="M864" s="24" t="s">
        <v>2020</v>
      </c>
      <c r="N864" s="1" t="s">
        <v>2013</v>
      </c>
      <c r="O864" s="15" t="s">
        <v>2082</v>
      </c>
      <c r="P864" s="15" t="s">
        <v>2442</v>
      </c>
      <c r="Q864" s="25" t="s">
        <v>2089</v>
      </c>
      <c r="R864" s="25" t="s">
        <v>2436</v>
      </c>
      <c r="S864" s="73" t="s">
        <v>2115</v>
      </c>
    </row>
    <row r="865" spans="1:19" x14ac:dyDescent="0.2">
      <c r="A865" s="1">
        <v>848</v>
      </c>
      <c r="B865" s="1" t="s">
        <v>575</v>
      </c>
      <c r="C865" s="1" t="s">
        <v>2446</v>
      </c>
      <c r="D865" s="11" t="s">
        <v>2693</v>
      </c>
      <c r="E865" s="35" t="s">
        <v>863</v>
      </c>
      <c r="F865" s="66" t="s">
        <v>894</v>
      </c>
      <c r="G865" s="24" t="s">
        <v>1876</v>
      </c>
      <c r="H865" s="16">
        <v>57</v>
      </c>
      <c r="I865" s="25">
        <v>2</v>
      </c>
      <c r="J865" s="56">
        <v>2990</v>
      </c>
      <c r="K865" s="15">
        <v>1470</v>
      </c>
      <c r="L865" s="24" t="s">
        <v>2042</v>
      </c>
      <c r="M865" s="24" t="s">
        <v>2024</v>
      </c>
      <c r="N865" s="1" t="s">
        <v>2013</v>
      </c>
      <c r="O865" s="15" t="s">
        <v>2082</v>
      </c>
      <c r="P865" s="15" t="s">
        <v>2442</v>
      </c>
      <c r="Q865" s="25" t="s">
        <v>2087</v>
      </c>
      <c r="R865" s="25" t="s">
        <v>2434</v>
      </c>
      <c r="S865" s="73" t="s">
        <v>2283</v>
      </c>
    </row>
    <row r="866" spans="1:19" x14ac:dyDescent="0.2">
      <c r="A866" s="1">
        <v>849</v>
      </c>
      <c r="B866" s="1" t="s">
        <v>99</v>
      </c>
      <c r="C866" s="1" t="s">
        <v>2446</v>
      </c>
      <c r="D866" s="11" t="s">
        <v>640</v>
      </c>
      <c r="E866" s="35" t="s">
        <v>828</v>
      </c>
      <c r="F866" s="66" t="s">
        <v>888</v>
      </c>
      <c r="G866" s="24" t="s">
        <v>1877</v>
      </c>
      <c r="H866" s="16">
        <v>35</v>
      </c>
      <c r="I866" s="25">
        <v>1</v>
      </c>
      <c r="J866" s="56">
        <v>4790</v>
      </c>
      <c r="K866" s="15">
        <f>2270+450+100</f>
        <v>2820</v>
      </c>
      <c r="L866" s="24" t="s">
        <v>2017</v>
      </c>
      <c r="M866" s="24" t="s">
        <v>2016</v>
      </c>
      <c r="N866" s="1" t="s">
        <v>2013</v>
      </c>
      <c r="O866" s="15" t="s">
        <v>2082</v>
      </c>
      <c r="P866" s="15" t="s">
        <v>2442</v>
      </c>
      <c r="Q866" s="25" t="s">
        <v>2088</v>
      </c>
      <c r="R866" s="25" t="s">
        <v>2437</v>
      </c>
      <c r="S866" s="73" t="s">
        <v>2400</v>
      </c>
    </row>
    <row r="867" spans="1:19" x14ac:dyDescent="0.2">
      <c r="A867" s="1">
        <v>850</v>
      </c>
      <c r="B867" s="1" t="s">
        <v>642</v>
      </c>
      <c r="C867" s="1" t="s">
        <v>2446</v>
      </c>
      <c r="D867" s="11" t="s">
        <v>641</v>
      </c>
      <c r="E867" s="35" t="s">
        <v>822</v>
      </c>
      <c r="F867" s="67" t="s">
        <v>889</v>
      </c>
      <c r="G867" s="24" t="s">
        <v>1878</v>
      </c>
      <c r="H867" s="16">
        <v>40</v>
      </c>
      <c r="I867" s="25">
        <v>3</v>
      </c>
      <c r="J867" s="56">
        <v>4765</v>
      </c>
      <c r="K867" s="15">
        <f>1930</f>
        <v>1930</v>
      </c>
      <c r="L867" s="24" t="s">
        <v>2030</v>
      </c>
      <c r="M867" s="24" t="s">
        <v>2024</v>
      </c>
      <c r="N867" s="1" t="s">
        <v>2013</v>
      </c>
      <c r="O867" s="15" t="s">
        <v>2082</v>
      </c>
      <c r="P867" s="15" t="s">
        <v>2442</v>
      </c>
      <c r="Q867" s="25" t="s">
        <v>2089</v>
      </c>
      <c r="R867" s="25" t="s">
        <v>2435</v>
      </c>
      <c r="S867" s="73" t="s">
        <v>2342</v>
      </c>
    </row>
    <row r="868" spans="1:19" x14ac:dyDescent="0.2">
      <c r="A868" s="1">
        <v>851</v>
      </c>
      <c r="B868" s="1" t="s">
        <v>186</v>
      </c>
      <c r="C868" s="1" t="s">
        <v>2446</v>
      </c>
      <c r="D868" s="11" t="s">
        <v>643</v>
      </c>
      <c r="E868" s="35" t="s">
        <v>822</v>
      </c>
      <c r="F868" s="67" t="s">
        <v>890</v>
      </c>
      <c r="G868" s="24" t="s">
        <v>1879</v>
      </c>
      <c r="H868" s="16">
        <v>21</v>
      </c>
      <c r="I868" s="25">
        <v>4</v>
      </c>
      <c r="J868" s="56">
        <v>3210</v>
      </c>
      <c r="K868" s="15">
        <f>1150-90</f>
        <v>1060</v>
      </c>
      <c r="L868" s="24" t="s">
        <v>2054</v>
      </c>
      <c r="M868" s="24" t="s">
        <v>2016</v>
      </c>
      <c r="N868" s="1" t="s">
        <v>2013</v>
      </c>
      <c r="O868" s="15" t="s">
        <v>2082</v>
      </c>
      <c r="P868" s="15" t="s">
        <v>2442</v>
      </c>
      <c r="Q868" s="25" t="s">
        <v>2088</v>
      </c>
      <c r="R868" s="25" t="s">
        <v>2434</v>
      </c>
      <c r="S868" s="73" t="s">
        <v>2133</v>
      </c>
    </row>
    <row r="869" spans="1:19" x14ac:dyDescent="0.2">
      <c r="A869" s="1">
        <v>852</v>
      </c>
      <c r="B869" s="1" t="s">
        <v>8</v>
      </c>
      <c r="C869" s="1" t="s">
        <v>2446</v>
      </c>
      <c r="D869" s="11" t="s">
        <v>4</v>
      </c>
      <c r="E869" s="35" t="s">
        <v>863</v>
      </c>
      <c r="F869" s="66" t="s">
        <v>891</v>
      </c>
      <c r="G869" s="24" t="s">
        <v>1880</v>
      </c>
      <c r="H869" s="16">
        <v>59</v>
      </c>
      <c r="I869" s="25">
        <v>5</v>
      </c>
      <c r="J869" s="56">
        <v>1090</v>
      </c>
      <c r="K869" s="15">
        <v>550</v>
      </c>
      <c r="L869" s="24" t="s">
        <v>2018</v>
      </c>
      <c r="M869" s="24" t="s">
        <v>2024</v>
      </c>
      <c r="N869" s="1" t="s">
        <v>2013</v>
      </c>
      <c r="O869" s="15" t="s">
        <v>2082</v>
      </c>
      <c r="P869" s="15" t="s">
        <v>2442</v>
      </c>
      <c r="Q869" s="25" t="s">
        <v>2087</v>
      </c>
      <c r="R869" s="25" t="s">
        <v>2436</v>
      </c>
      <c r="S869" s="73" t="s">
        <v>2171</v>
      </c>
    </row>
    <row r="870" spans="1:19" x14ac:dyDescent="0.2">
      <c r="A870" s="1">
        <v>853</v>
      </c>
      <c r="B870" s="1" t="s">
        <v>478</v>
      </c>
      <c r="C870" s="1" t="s">
        <v>2446</v>
      </c>
      <c r="D870" s="11" t="s">
        <v>644</v>
      </c>
      <c r="E870" s="35" t="s">
        <v>864</v>
      </c>
      <c r="F870" s="67" t="s">
        <v>892</v>
      </c>
      <c r="G870" s="24" t="s">
        <v>1881</v>
      </c>
      <c r="H870" s="16">
        <v>32</v>
      </c>
      <c r="I870" s="25">
        <v>2</v>
      </c>
      <c r="J870" s="56">
        <v>2770</v>
      </c>
      <c r="K870" s="15">
        <v>1490</v>
      </c>
      <c r="L870" s="24" t="s">
        <v>2033</v>
      </c>
      <c r="M870" s="24" t="s">
        <v>2016</v>
      </c>
      <c r="N870" s="1" t="s">
        <v>2013</v>
      </c>
      <c r="O870" s="15" t="s">
        <v>2082</v>
      </c>
      <c r="P870" s="15" t="s">
        <v>2442</v>
      </c>
      <c r="Q870" s="25" t="s">
        <v>2090</v>
      </c>
      <c r="R870" s="25" t="s">
        <v>2437</v>
      </c>
      <c r="S870" s="73" t="s">
        <v>2177</v>
      </c>
    </row>
    <row r="871" spans="1:19" x14ac:dyDescent="0.2">
      <c r="A871" s="1">
        <v>854</v>
      </c>
      <c r="B871" s="1" t="s">
        <v>646</v>
      </c>
      <c r="C871" s="1" t="s">
        <v>2446</v>
      </c>
      <c r="D871" s="11" t="s">
        <v>645</v>
      </c>
      <c r="E871" s="35" t="s">
        <v>823</v>
      </c>
      <c r="F871" s="67" t="s">
        <v>876</v>
      </c>
      <c r="G871" s="24" t="s">
        <v>1882</v>
      </c>
      <c r="H871" s="16">
        <v>46</v>
      </c>
      <c r="I871" s="25">
        <v>3</v>
      </c>
      <c r="J871" s="56">
        <v>3000</v>
      </c>
      <c r="K871" s="15">
        <f>100+200+350+200</f>
        <v>850</v>
      </c>
      <c r="L871" s="24" t="s">
        <v>2022</v>
      </c>
      <c r="M871" s="24" t="s">
        <v>2016</v>
      </c>
      <c r="N871" s="1" t="s">
        <v>2013</v>
      </c>
      <c r="O871" s="15" t="s">
        <v>2082</v>
      </c>
      <c r="P871" s="15" t="s">
        <v>2442</v>
      </c>
      <c r="Q871" s="25" t="s">
        <v>2088</v>
      </c>
      <c r="R871" s="25" t="s">
        <v>2435</v>
      </c>
      <c r="S871" s="73" t="s">
        <v>2391</v>
      </c>
    </row>
    <row r="872" spans="1:19" x14ac:dyDescent="0.2">
      <c r="A872" s="1">
        <v>855</v>
      </c>
      <c r="B872" s="1" t="s">
        <v>127</v>
      </c>
      <c r="C872" s="1" t="s">
        <v>2446</v>
      </c>
      <c r="D872" s="11" t="s">
        <v>647</v>
      </c>
      <c r="E872" s="35" t="s">
        <v>823</v>
      </c>
      <c r="F872" s="67" t="s">
        <v>885</v>
      </c>
      <c r="G872" s="24" t="s">
        <v>1883</v>
      </c>
      <c r="H872" s="16">
        <v>54</v>
      </c>
      <c r="I872" s="25">
        <v>1</v>
      </c>
      <c r="J872" s="56">
        <v>3380</v>
      </c>
      <c r="K872" s="15">
        <v>1480</v>
      </c>
      <c r="L872" s="24" t="s">
        <v>2041</v>
      </c>
      <c r="M872" s="24" t="s">
        <v>2014</v>
      </c>
      <c r="N872" s="1" t="s">
        <v>2013</v>
      </c>
      <c r="O872" s="15" t="s">
        <v>2082</v>
      </c>
      <c r="P872" s="15" t="s">
        <v>2442</v>
      </c>
      <c r="Q872" s="25" t="s">
        <v>2085</v>
      </c>
      <c r="R872" s="25" t="s">
        <v>2436</v>
      </c>
      <c r="S872" s="73" t="s">
        <v>2369</v>
      </c>
    </row>
    <row r="873" spans="1:19" x14ac:dyDescent="0.2">
      <c r="A873" s="1">
        <v>856</v>
      </c>
      <c r="B873" s="1" t="s">
        <v>648</v>
      </c>
      <c r="C873" s="1" t="s">
        <v>2446</v>
      </c>
      <c r="D873" s="11" t="s">
        <v>413</v>
      </c>
      <c r="E873" s="35" t="s">
        <v>863</v>
      </c>
      <c r="F873" s="67" t="s">
        <v>893</v>
      </c>
      <c r="G873" s="24" t="s">
        <v>1884</v>
      </c>
      <c r="H873" s="16">
        <v>25</v>
      </c>
      <c r="I873" s="25">
        <v>2</v>
      </c>
      <c r="J873" s="56">
        <v>8180</v>
      </c>
      <c r="K873" s="15">
        <f>4630+450</f>
        <v>5080</v>
      </c>
      <c r="L873" s="24" t="s">
        <v>2015</v>
      </c>
      <c r="M873" s="24" t="s">
        <v>2014</v>
      </c>
      <c r="N873" s="1" t="s">
        <v>2013</v>
      </c>
      <c r="O873" s="15" t="s">
        <v>2082</v>
      </c>
      <c r="P873" s="15" t="s">
        <v>2442</v>
      </c>
      <c r="Q873" s="25" t="s">
        <v>2087</v>
      </c>
      <c r="R873" s="25" t="s">
        <v>2434</v>
      </c>
      <c r="S873" s="73" t="s">
        <v>2424</v>
      </c>
    </row>
    <row r="874" spans="1:19" x14ac:dyDescent="0.2">
      <c r="A874" s="1">
        <v>857</v>
      </c>
      <c r="B874" s="1" t="s">
        <v>555</v>
      </c>
      <c r="C874" s="1" t="s">
        <v>2446</v>
      </c>
      <c r="D874" s="11" t="s">
        <v>863</v>
      </c>
      <c r="E874" s="35" t="s">
        <v>822</v>
      </c>
      <c r="F874" s="67" t="s">
        <v>894</v>
      </c>
      <c r="G874" s="24" t="s">
        <v>1885</v>
      </c>
      <c r="H874" s="16">
        <v>43</v>
      </c>
      <c r="I874" s="25">
        <v>4</v>
      </c>
      <c r="J874" s="56">
        <v>1000</v>
      </c>
      <c r="K874" s="15"/>
      <c r="L874" s="24" t="s">
        <v>2015</v>
      </c>
      <c r="M874" s="24" t="s">
        <v>2014</v>
      </c>
      <c r="N874" s="1" t="s">
        <v>2013</v>
      </c>
      <c r="O874" s="15" t="s">
        <v>2082</v>
      </c>
      <c r="P874" s="15" t="s">
        <v>2442</v>
      </c>
      <c r="Q874" s="25" t="s">
        <v>2087</v>
      </c>
      <c r="R874" s="25" t="s">
        <v>2437</v>
      </c>
      <c r="S874" s="73" t="s">
        <v>2256</v>
      </c>
    </row>
    <row r="875" spans="1:19" x14ac:dyDescent="0.2">
      <c r="A875" s="1">
        <v>858</v>
      </c>
      <c r="B875" s="1" t="s">
        <v>649</v>
      </c>
      <c r="C875" s="1" t="s">
        <v>2446</v>
      </c>
      <c r="D875" s="11" t="s">
        <v>2694</v>
      </c>
      <c r="E875" s="35" t="s">
        <v>864</v>
      </c>
      <c r="F875" s="67" t="s">
        <v>882</v>
      </c>
      <c r="G875" s="24" t="s">
        <v>1886</v>
      </c>
      <c r="H875" s="16">
        <v>58</v>
      </c>
      <c r="I875" s="25">
        <v>5</v>
      </c>
      <c r="J875" s="56">
        <f>3300+550</f>
        <v>3850</v>
      </c>
      <c r="K875" s="15">
        <f>1800+450</f>
        <v>2250</v>
      </c>
      <c r="L875" s="24" t="s">
        <v>2028</v>
      </c>
      <c r="M875" s="24" t="s">
        <v>2020</v>
      </c>
      <c r="N875" s="1" t="s">
        <v>2013</v>
      </c>
      <c r="O875" s="15" t="s">
        <v>2082</v>
      </c>
      <c r="P875" s="15" t="s">
        <v>2442</v>
      </c>
      <c r="Q875" s="25" t="s">
        <v>2088</v>
      </c>
      <c r="R875" s="25" t="s">
        <v>2435</v>
      </c>
      <c r="S875" s="73" t="s">
        <v>2209</v>
      </c>
    </row>
    <row r="876" spans="1:19" x14ac:dyDescent="0.2">
      <c r="A876" s="1">
        <v>859</v>
      </c>
      <c r="B876" s="1" t="s">
        <v>651</v>
      </c>
      <c r="C876" s="1" t="s">
        <v>2446</v>
      </c>
      <c r="D876" s="11" t="s">
        <v>650</v>
      </c>
      <c r="E876" s="35" t="s">
        <v>863</v>
      </c>
      <c r="F876" s="67" t="s">
        <v>895</v>
      </c>
      <c r="G876" s="24" t="s">
        <v>1887</v>
      </c>
      <c r="H876" s="16">
        <v>20</v>
      </c>
      <c r="I876" s="25">
        <v>2</v>
      </c>
      <c r="J876" s="56">
        <v>2780</v>
      </c>
      <c r="K876" s="15">
        <v>1180</v>
      </c>
      <c r="L876" s="24" t="s">
        <v>2037</v>
      </c>
      <c r="M876" s="24" t="s">
        <v>2014</v>
      </c>
      <c r="N876" s="1" t="s">
        <v>2013</v>
      </c>
      <c r="O876" s="15" t="s">
        <v>2082</v>
      </c>
      <c r="P876" s="15" t="s">
        <v>2442</v>
      </c>
      <c r="Q876" s="25" t="s">
        <v>2090</v>
      </c>
      <c r="R876" s="25" t="s">
        <v>2434</v>
      </c>
      <c r="S876" s="73" t="s">
        <v>2425</v>
      </c>
    </row>
    <row r="877" spans="1:19" x14ac:dyDescent="0.2">
      <c r="A877" s="1">
        <v>860</v>
      </c>
      <c r="B877" s="1" t="s">
        <v>652</v>
      </c>
      <c r="C877" s="1" t="s">
        <v>2446</v>
      </c>
      <c r="D877" s="11" t="s">
        <v>2695</v>
      </c>
      <c r="E877" s="35" t="s">
        <v>864</v>
      </c>
      <c r="F877" s="67" t="s">
        <v>896</v>
      </c>
      <c r="G877" s="24" t="s">
        <v>1888</v>
      </c>
      <c r="H877" s="16">
        <v>49</v>
      </c>
      <c r="I877" s="25">
        <v>3</v>
      </c>
      <c r="J877" s="56">
        <v>6090</v>
      </c>
      <c r="K877" s="15">
        <v>2790</v>
      </c>
      <c r="L877" s="24" t="s">
        <v>2034</v>
      </c>
      <c r="M877" s="24" t="s">
        <v>2016</v>
      </c>
      <c r="N877" s="1" t="s">
        <v>2013</v>
      </c>
      <c r="O877" s="15" t="s">
        <v>2082</v>
      </c>
      <c r="P877" s="15" t="s">
        <v>2442</v>
      </c>
      <c r="Q877" s="25" t="s">
        <v>2087</v>
      </c>
      <c r="R877" s="25" t="s">
        <v>2436</v>
      </c>
      <c r="S877" s="73" t="s">
        <v>2398</v>
      </c>
    </row>
    <row r="878" spans="1:19" x14ac:dyDescent="0.2">
      <c r="A878" s="1">
        <v>865</v>
      </c>
      <c r="B878" s="1" t="s">
        <v>601</v>
      </c>
      <c r="C878" s="1" t="s">
        <v>2446</v>
      </c>
      <c r="D878" s="11" t="s">
        <v>653</v>
      </c>
      <c r="E878" s="35" t="s">
        <v>822</v>
      </c>
      <c r="F878" s="67" t="s">
        <v>897</v>
      </c>
      <c r="G878" s="24" t="s">
        <v>1889</v>
      </c>
      <c r="H878" s="24">
        <v>25</v>
      </c>
      <c r="I878" s="25">
        <v>1</v>
      </c>
      <c r="J878" s="56">
        <v>6220</v>
      </c>
      <c r="K878" s="15">
        <v>2890</v>
      </c>
      <c r="L878" s="24" t="s">
        <v>2041</v>
      </c>
      <c r="M878" s="24" t="s">
        <v>2024</v>
      </c>
      <c r="N878" s="1" t="s">
        <v>2013</v>
      </c>
      <c r="O878" s="15" t="s">
        <v>2082</v>
      </c>
      <c r="P878" s="15" t="s">
        <v>2442</v>
      </c>
      <c r="Q878" s="25" t="s">
        <v>2088</v>
      </c>
      <c r="R878" s="25" t="s">
        <v>2437</v>
      </c>
      <c r="S878" s="73" t="s">
        <v>2181</v>
      </c>
    </row>
    <row r="879" spans="1:19" x14ac:dyDescent="0.2">
      <c r="A879" s="14">
        <v>861</v>
      </c>
      <c r="B879" s="1" t="s">
        <v>654</v>
      </c>
      <c r="C879" s="1" t="s">
        <v>2446</v>
      </c>
      <c r="D879" s="11" t="s">
        <v>2696</v>
      </c>
      <c r="E879" s="35" t="s">
        <v>863</v>
      </c>
      <c r="F879" s="66" t="s">
        <v>898</v>
      </c>
      <c r="G879" s="24" t="s">
        <v>1890</v>
      </c>
      <c r="H879" s="24">
        <v>31</v>
      </c>
      <c r="I879" s="25">
        <v>4</v>
      </c>
      <c r="J879" s="56">
        <v>3060</v>
      </c>
      <c r="K879" s="15">
        <v>1080</v>
      </c>
      <c r="L879" s="24" t="s">
        <v>2057</v>
      </c>
      <c r="M879" s="24" t="s">
        <v>2020</v>
      </c>
      <c r="N879" s="1" t="s">
        <v>2013</v>
      </c>
      <c r="O879" s="15" t="s">
        <v>2082</v>
      </c>
      <c r="P879" s="15" t="s">
        <v>2442</v>
      </c>
      <c r="Q879" s="25" t="s">
        <v>2083</v>
      </c>
      <c r="R879" s="25" t="s">
        <v>2435</v>
      </c>
      <c r="S879" s="73" t="s">
        <v>2264</v>
      </c>
    </row>
    <row r="880" spans="1:19" x14ac:dyDescent="0.2">
      <c r="A880" s="14">
        <v>862</v>
      </c>
      <c r="B880" s="1" t="s">
        <v>656</v>
      </c>
      <c r="C880" s="1" t="s">
        <v>2446</v>
      </c>
      <c r="D880" s="11" t="s">
        <v>655</v>
      </c>
      <c r="E880" s="35" t="s">
        <v>864</v>
      </c>
      <c r="F880" s="66" t="s">
        <v>895</v>
      </c>
      <c r="G880" s="24" t="s">
        <v>1891</v>
      </c>
      <c r="H880" s="24">
        <v>56</v>
      </c>
      <c r="I880" s="25">
        <v>5</v>
      </c>
      <c r="J880" s="56">
        <v>2960</v>
      </c>
      <c r="K880" s="15">
        <v>1100</v>
      </c>
      <c r="L880" s="24" t="s">
        <v>2031</v>
      </c>
      <c r="M880" s="24" t="s">
        <v>2016</v>
      </c>
      <c r="N880" s="1" t="s">
        <v>2013</v>
      </c>
      <c r="O880" s="15" t="s">
        <v>2082</v>
      </c>
      <c r="P880" s="15" t="s">
        <v>2442</v>
      </c>
      <c r="Q880" s="25" t="s">
        <v>2086</v>
      </c>
      <c r="R880" s="25" t="s">
        <v>2436</v>
      </c>
      <c r="S880" s="73" t="s">
        <v>2254</v>
      </c>
    </row>
    <row r="881" spans="1:19" x14ac:dyDescent="0.2">
      <c r="A881" s="14">
        <v>863</v>
      </c>
      <c r="B881" s="1" t="s">
        <v>657</v>
      </c>
      <c r="C881" s="1" t="s">
        <v>2446</v>
      </c>
      <c r="D881" s="11" t="s">
        <v>2697</v>
      </c>
      <c r="E881" s="35" t="s">
        <v>822</v>
      </c>
      <c r="F881" s="66" t="s">
        <v>899</v>
      </c>
      <c r="G881" s="24" t="s">
        <v>1892</v>
      </c>
      <c r="H881" s="24">
        <v>42</v>
      </c>
      <c r="I881" s="25">
        <v>3</v>
      </c>
      <c r="J881" s="56">
        <v>3780</v>
      </c>
      <c r="K881" s="15">
        <v>1980</v>
      </c>
      <c r="L881" s="24" t="s">
        <v>2051</v>
      </c>
      <c r="M881" s="24" t="s">
        <v>2020</v>
      </c>
      <c r="N881" s="1" t="s">
        <v>2013</v>
      </c>
      <c r="O881" s="15" t="s">
        <v>2082</v>
      </c>
      <c r="P881" s="15" t="s">
        <v>2442</v>
      </c>
      <c r="Q881" s="25" t="s">
        <v>2090</v>
      </c>
      <c r="R881" s="25" t="s">
        <v>2437</v>
      </c>
      <c r="S881" s="73" t="s">
        <v>2354</v>
      </c>
    </row>
    <row r="882" spans="1:19" x14ac:dyDescent="0.2">
      <c r="A882" s="14">
        <v>864</v>
      </c>
      <c r="B882" s="1" t="s">
        <v>658</v>
      </c>
      <c r="C882" s="1" t="s">
        <v>2446</v>
      </c>
      <c r="D882" s="11" t="s">
        <v>2698</v>
      </c>
      <c r="E882" s="35" t="s">
        <v>863</v>
      </c>
      <c r="F882" s="66" t="s">
        <v>900</v>
      </c>
      <c r="G882" s="24" t="s">
        <v>1893</v>
      </c>
      <c r="H882" s="24">
        <v>34</v>
      </c>
      <c r="I882" s="25">
        <v>2</v>
      </c>
      <c r="J882" s="56">
        <v>3080</v>
      </c>
      <c r="K882" s="15">
        <v>1480</v>
      </c>
      <c r="L882" s="24" t="s">
        <v>2027</v>
      </c>
      <c r="M882" s="24" t="s">
        <v>2014</v>
      </c>
      <c r="N882" s="1" t="s">
        <v>2013</v>
      </c>
      <c r="O882" s="15" t="s">
        <v>2082</v>
      </c>
      <c r="P882" s="15" t="s">
        <v>2442</v>
      </c>
      <c r="Q882" s="25" t="s">
        <v>2088</v>
      </c>
      <c r="R882" s="25" t="s">
        <v>2435</v>
      </c>
      <c r="S882" s="73" t="s">
        <v>2139</v>
      </c>
    </row>
    <row r="883" spans="1:19" x14ac:dyDescent="0.2">
      <c r="A883" s="1">
        <v>867</v>
      </c>
      <c r="B883" s="1" t="s">
        <v>659</v>
      </c>
      <c r="C883" s="1" t="s">
        <v>2446</v>
      </c>
      <c r="D883" s="11" t="s">
        <v>2699</v>
      </c>
      <c r="E883" s="35" t="s">
        <v>864</v>
      </c>
      <c r="F883" s="66" t="s">
        <v>900</v>
      </c>
      <c r="G883" s="24" t="s">
        <v>1894</v>
      </c>
      <c r="H883" s="24">
        <v>23</v>
      </c>
      <c r="I883" s="25">
        <v>4</v>
      </c>
      <c r="J883" s="56">
        <v>12250</v>
      </c>
      <c r="K883" s="15">
        <v>6650</v>
      </c>
      <c r="L883" s="24" t="s">
        <v>2027</v>
      </c>
      <c r="M883" s="24" t="s">
        <v>2014</v>
      </c>
      <c r="N883" s="1" t="s">
        <v>2013</v>
      </c>
      <c r="O883" s="15" t="s">
        <v>2082</v>
      </c>
      <c r="P883" s="15" t="s">
        <v>2442</v>
      </c>
      <c r="Q883" s="25" t="s">
        <v>2087</v>
      </c>
      <c r="R883" s="25" t="s">
        <v>2436</v>
      </c>
      <c r="S883" s="73" t="s">
        <v>2225</v>
      </c>
    </row>
    <row r="884" spans="1:19" x14ac:dyDescent="0.2">
      <c r="A884" s="1">
        <v>868</v>
      </c>
      <c r="B884" s="1" t="s">
        <v>660</v>
      </c>
      <c r="C884" s="1" t="s">
        <v>2446</v>
      </c>
      <c r="D884" s="11" t="s">
        <v>2700</v>
      </c>
      <c r="E884" s="35" t="s">
        <v>822</v>
      </c>
      <c r="F884" s="66" t="s">
        <v>887</v>
      </c>
      <c r="G884" s="24" t="s">
        <v>1895</v>
      </c>
      <c r="H884" s="24">
        <v>56</v>
      </c>
      <c r="I884" s="25">
        <v>1</v>
      </c>
      <c r="J884" s="56">
        <v>7600</v>
      </c>
      <c r="K884" s="15">
        <f>4250-700</f>
        <v>3550</v>
      </c>
      <c r="L884" s="24" t="s">
        <v>2034</v>
      </c>
      <c r="M884" s="24" t="s">
        <v>2016</v>
      </c>
      <c r="N884" s="1" t="s">
        <v>2013</v>
      </c>
      <c r="O884" s="15" t="s">
        <v>2082</v>
      </c>
      <c r="P884" s="15" t="s">
        <v>2442</v>
      </c>
      <c r="Q884" s="25" t="s">
        <v>2083</v>
      </c>
      <c r="R884" s="25" t="s">
        <v>2434</v>
      </c>
      <c r="S884" s="73" t="s">
        <v>2132</v>
      </c>
    </row>
    <row r="885" spans="1:19" x14ac:dyDescent="0.2">
      <c r="A885" s="1">
        <v>869</v>
      </c>
      <c r="B885" s="1" t="s">
        <v>661</v>
      </c>
      <c r="C885" s="1" t="s">
        <v>2446</v>
      </c>
      <c r="D885" s="11" t="s">
        <v>2701</v>
      </c>
      <c r="E885" s="35" t="s">
        <v>863</v>
      </c>
      <c r="F885" s="66" t="s">
        <v>900</v>
      </c>
      <c r="G885" s="24" t="s">
        <v>1896</v>
      </c>
      <c r="H885" s="24">
        <v>24</v>
      </c>
      <c r="I885" s="25">
        <v>5</v>
      </c>
      <c r="J885" s="56">
        <v>3460</v>
      </c>
      <c r="K885" s="15">
        <v>2120</v>
      </c>
      <c r="L885" s="24" t="s">
        <v>2055</v>
      </c>
      <c r="M885" s="24" t="s">
        <v>2014</v>
      </c>
      <c r="N885" s="1" t="s">
        <v>2013</v>
      </c>
      <c r="O885" s="15" t="s">
        <v>2082</v>
      </c>
      <c r="P885" s="15" t="s">
        <v>2442</v>
      </c>
      <c r="Q885" s="25" t="s">
        <v>2083</v>
      </c>
      <c r="R885" s="25" t="s">
        <v>2437</v>
      </c>
      <c r="S885" s="73" t="s">
        <v>2317</v>
      </c>
    </row>
    <row r="886" spans="1:19" x14ac:dyDescent="0.2">
      <c r="A886" s="14">
        <v>870</v>
      </c>
      <c r="B886" s="1" t="s">
        <v>662</v>
      </c>
      <c r="C886" s="1" t="s">
        <v>2446</v>
      </c>
      <c r="D886" s="11" t="s">
        <v>287</v>
      </c>
      <c r="E886" s="35" t="s">
        <v>822</v>
      </c>
      <c r="F886" s="66" t="s">
        <v>885</v>
      </c>
      <c r="G886" s="24" t="s">
        <v>1897</v>
      </c>
      <c r="H886" s="24">
        <v>64</v>
      </c>
      <c r="I886" s="25">
        <v>2</v>
      </c>
      <c r="J886" s="56">
        <v>6500</v>
      </c>
      <c r="K886" s="15">
        <f>2980+450</f>
        <v>3430</v>
      </c>
      <c r="L886" s="24" t="s">
        <v>2027</v>
      </c>
      <c r="M886" s="24" t="s">
        <v>2014</v>
      </c>
      <c r="N886" s="1" t="s">
        <v>2013</v>
      </c>
      <c r="O886" s="15" t="s">
        <v>2082</v>
      </c>
      <c r="P886" s="15" t="s">
        <v>2442</v>
      </c>
      <c r="Q886" s="25" t="s">
        <v>2086</v>
      </c>
      <c r="R886" s="25" t="s">
        <v>2435</v>
      </c>
      <c r="S886" s="73" t="s">
        <v>2426</v>
      </c>
    </row>
    <row r="887" spans="1:19" x14ac:dyDescent="0.2">
      <c r="A887" s="1">
        <v>871</v>
      </c>
      <c r="B887" s="1" t="s">
        <v>555</v>
      </c>
      <c r="C887" s="1" t="s">
        <v>2446</v>
      </c>
      <c r="D887" s="11" t="s">
        <v>2702</v>
      </c>
      <c r="E887" s="35" t="s">
        <v>863</v>
      </c>
      <c r="F887" s="66" t="s">
        <v>901</v>
      </c>
      <c r="G887" s="24" t="s">
        <v>1898</v>
      </c>
      <c r="H887" s="24">
        <v>64</v>
      </c>
      <c r="I887" s="25">
        <v>3</v>
      </c>
      <c r="J887" s="56">
        <v>500</v>
      </c>
      <c r="K887" s="15"/>
      <c r="L887" s="24" t="s">
        <v>2035</v>
      </c>
      <c r="M887" s="24" t="s">
        <v>2014</v>
      </c>
      <c r="N887" s="1" t="s">
        <v>2013</v>
      </c>
      <c r="O887" s="15" t="s">
        <v>2082</v>
      </c>
      <c r="P887" s="15" t="s">
        <v>2442</v>
      </c>
      <c r="Q887" s="25" t="s">
        <v>2090</v>
      </c>
      <c r="R887" s="25" t="s">
        <v>2434</v>
      </c>
      <c r="S887" s="73" t="s">
        <v>2389</v>
      </c>
    </row>
    <row r="888" spans="1:19" x14ac:dyDescent="0.2">
      <c r="A888" s="1">
        <v>872</v>
      </c>
      <c r="B888" s="1" t="s">
        <v>843</v>
      </c>
      <c r="C888" s="1" t="s">
        <v>2446</v>
      </c>
      <c r="D888" s="11" t="s">
        <v>2703</v>
      </c>
      <c r="E888" s="35" t="s">
        <v>864</v>
      </c>
      <c r="F888" s="66" t="s">
        <v>902</v>
      </c>
      <c r="G888" s="24" t="s">
        <v>1899</v>
      </c>
      <c r="H888" s="24">
        <v>23</v>
      </c>
      <c r="I888" s="25">
        <v>4</v>
      </c>
      <c r="J888" s="56">
        <v>6360</v>
      </c>
      <c r="K888" s="15">
        <v>3280</v>
      </c>
      <c r="L888" s="24" t="s">
        <v>2029</v>
      </c>
      <c r="M888" s="24" t="s">
        <v>2016</v>
      </c>
      <c r="N888" s="1" t="s">
        <v>2013</v>
      </c>
      <c r="O888" s="15" t="s">
        <v>2082</v>
      </c>
      <c r="P888" s="15" t="s">
        <v>2442</v>
      </c>
      <c r="Q888" s="25" t="s">
        <v>2090</v>
      </c>
      <c r="R888" s="25" t="s">
        <v>2436</v>
      </c>
      <c r="S888" s="73" t="s">
        <v>2387</v>
      </c>
    </row>
    <row r="889" spans="1:19" x14ac:dyDescent="0.2">
      <c r="A889" s="1">
        <v>873</v>
      </c>
      <c r="B889" s="1" t="s">
        <v>663</v>
      </c>
      <c r="C889" s="1" t="s">
        <v>2446</v>
      </c>
      <c r="D889" s="11" t="s">
        <v>549</v>
      </c>
      <c r="E889" s="35" t="s">
        <v>823</v>
      </c>
      <c r="F889" s="66" t="s">
        <v>903</v>
      </c>
      <c r="G889" s="24" t="s">
        <v>1900</v>
      </c>
      <c r="H889" s="24">
        <v>19</v>
      </c>
      <c r="I889" s="25">
        <v>1</v>
      </c>
      <c r="J889" s="56">
        <v>3730</v>
      </c>
      <c r="K889" s="15">
        <v>2170</v>
      </c>
      <c r="L889" s="24" t="s">
        <v>2047</v>
      </c>
      <c r="M889" s="24" t="s">
        <v>2024</v>
      </c>
      <c r="N889" s="1" t="s">
        <v>2013</v>
      </c>
      <c r="O889" s="15" t="s">
        <v>2082</v>
      </c>
      <c r="P889" s="15" t="s">
        <v>2442</v>
      </c>
      <c r="Q889" s="25" t="s">
        <v>2090</v>
      </c>
      <c r="R889" s="25" t="s">
        <v>2437</v>
      </c>
      <c r="S889" s="73" t="s">
        <v>2113</v>
      </c>
    </row>
    <row r="890" spans="1:19" x14ac:dyDescent="0.2">
      <c r="A890" s="1">
        <v>874</v>
      </c>
      <c r="B890" s="1" t="s">
        <v>663</v>
      </c>
      <c r="C890" s="1" t="s">
        <v>2446</v>
      </c>
      <c r="D890" s="11" t="s">
        <v>2590</v>
      </c>
      <c r="E890" s="35" t="s">
        <v>823</v>
      </c>
      <c r="F890" s="66" t="s">
        <v>882</v>
      </c>
      <c r="G890" s="24" t="s">
        <v>1901</v>
      </c>
      <c r="H890" s="24">
        <v>21</v>
      </c>
      <c r="I890" s="25">
        <v>5</v>
      </c>
      <c r="J890" s="56">
        <v>3730</v>
      </c>
      <c r="K890" s="15">
        <v>2170</v>
      </c>
      <c r="L890" s="24" t="s">
        <v>2059</v>
      </c>
      <c r="M890" s="24" t="s">
        <v>2016</v>
      </c>
      <c r="N890" s="1" t="s">
        <v>2013</v>
      </c>
      <c r="O890" s="15" t="s">
        <v>2082</v>
      </c>
      <c r="P890" s="15" t="s">
        <v>2442</v>
      </c>
      <c r="Q890" s="25" t="s">
        <v>2089</v>
      </c>
      <c r="R890" s="25" t="s">
        <v>2435</v>
      </c>
      <c r="S890" s="73" t="s">
        <v>2165</v>
      </c>
    </row>
    <row r="891" spans="1:19" x14ac:dyDescent="0.2">
      <c r="A891" s="1">
        <v>875</v>
      </c>
      <c r="B891" s="1" t="s">
        <v>526</v>
      </c>
      <c r="C891" s="1" t="s">
        <v>2446</v>
      </c>
      <c r="D891" s="11" t="s">
        <v>2704</v>
      </c>
      <c r="E891" s="35" t="s">
        <v>823</v>
      </c>
      <c r="F891" s="66" t="s">
        <v>904</v>
      </c>
      <c r="G891" s="24" t="s">
        <v>1902</v>
      </c>
      <c r="H891" s="24">
        <v>56</v>
      </c>
      <c r="I891" s="25">
        <v>3</v>
      </c>
      <c r="J891" s="56">
        <v>5950</v>
      </c>
      <c r="K891" s="15">
        <v>3150</v>
      </c>
      <c r="L891" s="24" t="s">
        <v>2030</v>
      </c>
      <c r="M891" s="24" t="s">
        <v>2024</v>
      </c>
      <c r="N891" s="1" t="s">
        <v>2013</v>
      </c>
      <c r="O891" s="15" t="s">
        <v>2082</v>
      </c>
      <c r="P891" s="15" t="s">
        <v>2442</v>
      </c>
      <c r="Q891" s="25" t="s">
        <v>2090</v>
      </c>
      <c r="R891" s="25" t="s">
        <v>2436</v>
      </c>
      <c r="S891" s="73" t="s">
        <v>2325</v>
      </c>
    </row>
    <row r="892" spans="1:19" x14ac:dyDescent="0.2">
      <c r="A892" s="1">
        <v>876</v>
      </c>
      <c r="B892" s="1" t="s">
        <v>7</v>
      </c>
      <c r="C892" s="1" t="s">
        <v>2445</v>
      </c>
      <c r="D892" s="11" t="s">
        <v>869</v>
      </c>
      <c r="E892" s="35" t="s">
        <v>818</v>
      </c>
      <c r="F892" s="66" t="s">
        <v>905</v>
      </c>
      <c r="G892" s="24" t="s">
        <v>1903</v>
      </c>
      <c r="H892" s="24">
        <v>34</v>
      </c>
      <c r="I892" s="25">
        <v>2</v>
      </c>
      <c r="J892" s="56">
        <v>2450</v>
      </c>
      <c r="K892" s="15">
        <v>1600</v>
      </c>
      <c r="L892" s="24" t="s">
        <v>2058</v>
      </c>
      <c r="M892" s="24" t="s">
        <v>2020</v>
      </c>
      <c r="N892" s="1" t="s">
        <v>2013</v>
      </c>
      <c r="O892" s="15" t="s">
        <v>2082</v>
      </c>
      <c r="P892" s="15" t="s">
        <v>2442</v>
      </c>
      <c r="Q892" s="25" t="s">
        <v>2083</v>
      </c>
      <c r="R892" s="25" t="s">
        <v>2434</v>
      </c>
      <c r="S892" s="73" t="s">
        <v>2292</v>
      </c>
    </row>
    <row r="893" spans="1:19" x14ac:dyDescent="0.2">
      <c r="A893" s="1">
        <v>877</v>
      </c>
      <c r="B893" s="1" t="s">
        <v>601</v>
      </c>
      <c r="C893" s="1" t="s">
        <v>2446</v>
      </c>
      <c r="D893" s="11" t="s">
        <v>664</v>
      </c>
      <c r="E893" s="35" t="s">
        <v>863</v>
      </c>
      <c r="F893" s="66" t="s">
        <v>870</v>
      </c>
      <c r="G893" s="24" t="s">
        <v>1904</v>
      </c>
      <c r="H893" s="24">
        <v>64</v>
      </c>
      <c r="I893" s="25">
        <v>4</v>
      </c>
      <c r="J893" s="56">
        <v>3900</v>
      </c>
      <c r="K893" s="15">
        <v>2000</v>
      </c>
      <c r="L893" s="24" t="s">
        <v>2039</v>
      </c>
      <c r="M893" s="24" t="s">
        <v>2014</v>
      </c>
      <c r="N893" s="1" t="s">
        <v>2013</v>
      </c>
      <c r="O893" s="15" t="s">
        <v>2082</v>
      </c>
      <c r="P893" s="15" t="s">
        <v>2442</v>
      </c>
      <c r="Q893" s="25" t="s">
        <v>2085</v>
      </c>
      <c r="R893" s="25" t="s">
        <v>2437</v>
      </c>
      <c r="S893" s="73" t="s">
        <v>2255</v>
      </c>
    </row>
    <row r="894" spans="1:19" x14ac:dyDescent="0.2">
      <c r="A894" s="1">
        <v>878</v>
      </c>
      <c r="B894" s="1" t="s">
        <v>666</v>
      </c>
      <c r="C894" s="1" t="s">
        <v>2446</v>
      </c>
      <c r="D894" s="11" t="s">
        <v>665</v>
      </c>
      <c r="E894" s="35" t="s">
        <v>864</v>
      </c>
      <c r="F894" s="66" t="s">
        <v>952</v>
      </c>
      <c r="G894" s="24" t="s">
        <v>1905</v>
      </c>
      <c r="H894" s="24">
        <v>78</v>
      </c>
      <c r="I894" s="25">
        <v>1</v>
      </c>
      <c r="J894" s="56">
        <v>3640</v>
      </c>
      <c r="K894" s="15">
        <v>1570</v>
      </c>
      <c r="L894" s="24" t="s">
        <v>2017</v>
      </c>
      <c r="M894" s="24" t="s">
        <v>2016</v>
      </c>
      <c r="N894" s="1" t="s">
        <v>2013</v>
      </c>
      <c r="O894" s="15" t="s">
        <v>2082</v>
      </c>
      <c r="P894" s="15" t="s">
        <v>2442</v>
      </c>
      <c r="Q894" s="25" t="s">
        <v>2087</v>
      </c>
      <c r="R894" s="25" t="s">
        <v>2435</v>
      </c>
      <c r="S894" s="73" t="s">
        <v>2234</v>
      </c>
    </row>
    <row r="895" spans="1:19" x14ac:dyDescent="0.2">
      <c r="A895" s="1">
        <v>879</v>
      </c>
      <c r="B895" s="1" t="s">
        <v>668</v>
      </c>
      <c r="C895" s="1" t="s">
        <v>2446</v>
      </c>
      <c r="D895" s="11" t="s">
        <v>667</v>
      </c>
      <c r="E895" s="35" t="s">
        <v>822</v>
      </c>
      <c r="F895" s="66" t="s">
        <v>945</v>
      </c>
      <c r="G895" s="24" t="s">
        <v>1906</v>
      </c>
      <c r="H895" s="24">
        <v>54</v>
      </c>
      <c r="I895" s="25">
        <v>5</v>
      </c>
      <c r="J895" s="56">
        <v>2980</v>
      </c>
      <c r="K895" s="15">
        <v>1680</v>
      </c>
      <c r="L895" s="24" t="s">
        <v>2028</v>
      </c>
      <c r="M895" s="24" t="s">
        <v>2020</v>
      </c>
      <c r="N895" s="1" t="s">
        <v>2013</v>
      </c>
      <c r="O895" s="15" t="s">
        <v>2082</v>
      </c>
      <c r="P895" s="15" t="s">
        <v>2442</v>
      </c>
      <c r="Q895" s="25" t="s">
        <v>2084</v>
      </c>
      <c r="R895" s="25" t="s">
        <v>2434</v>
      </c>
      <c r="S895" s="73" t="s">
        <v>2424</v>
      </c>
    </row>
    <row r="896" spans="1:19" x14ac:dyDescent="0.2">
      <c r="A896" s="14">
        <v>880</v>
      </c>
      <c r="B896" s="1" t="s">
        <v>131</v>
      </c>
      <c r="C896" s="1" t="s">
        <v>2446</v>
      </c>
      <c r="D896" s="11" t="s">
        <v>669</v>
      </c>
      <c r="E896" s="35" t="s">
        <v>823</v>
      </c>
      <c r="F896" s="66" t="s">
        <v>946</v>
      </c>
      <c r="G896" s="24" t="s">
        <v>1907</v>
      </c>
      <c r="H896" s="24">
        <v>32</v>
      </c>
      <c r="I896" s="25">
        <v>2</v>
      </c>
      <c r="J896" s="56">
        <v>3650</v>
      </c>
      <c r="K896" s="15">
        <v>1650</v>
      </c>
      <c r="L896" s="24" t="s">
        <v>2056</v>
      </c>
      <c r="M896" s="24" t="s">
        <v>2024</v>
      </c>
      <c r="N896" s="1" t="s">
        <v>2013</v>
      </c>
      <c r="O896" s="15" t="s">
        <v>2082</v>
      </c>
      <c r="P896" s="15" t="s">
        <v>2442</v>
      </c>
      <c r="Q896" s="25" t="s">
        <v>2086</v>
      </c>
      <c r="R896" s="25" t="s">
        <v>2436</v>
      </c>
      <c r="S896" s="73" t="s">
        <v>2121</v>
      </c>
    </row>
    <row r="897" spans="1:19" x14ac:dyDescent="0.2">
      <c r="A897" s="14">
        <v>881</v>
      </c>
      <c r="B897" s="1" t="s">
        <v>642</v>
      </c>
      <c r="C897" s="1" t="s">
        <v>2446</v>
      </c>
      <c r="D897" s="11" t="s">
        <v>670</v>
      </c>
      <c r="E897" s="35" t="s">
        <v>822</v>
      </c>
      <c r="F897" s="66" t="s">
        <v>947</v>
      </c>
      <c r="G897" s="24" t="s">
        <v>1908</v>
      </c>
      <c r="H897" s="16">
        <v>24</v>
      </c>
      <c r="I897" s="25">
        <v>3</v>
      </c>
      <c r="J897" s="56">
        <v>3450</v>
      </c>
      <c r="K897" s="15">
        <v>1790</v>
      </c>
      <c r="L897" s="24" t="s">
        <v>2051</v>
      </c>
      <c r="M897" s="24" t="s">
        <v>2020</v>
      </c>
      <c r="N897" s="1" t="s">
        <v>2013</v>
      </c>
      <c r="O897" s="15" t="s">
        <v>2082</v>
      </c>
      <c r="P897" s="15" t="s">
        <v>2442</v>
      </c>
      <c r="Q897" s="25" t="s">
        <v>2090</v>
      </c>
      <c r="R897" s="25" t="s">
        <v>2437</v>
      </c>
      <c r="S897" s="73" t="s">
        <v>2257</v>
      </c>
    </row>
    <row r="898" spans="1:19" x14ac:dyDescent="0.2">
      <c r="A898" s="14">
        <v>882</v>
      </c>
      <c r="B898" s="1" t="s">
        <v>672</v>
      </c>
      <c r="C898" s="1" t="s">
        <v>2446</v>
      </c>
      <c r="D898" s="11" t="s">
        <v>671</v>
      </c>
      <c r="E898" s="35" t="s">
        <v>828</v>
      </c>
      <c r="F898" s="66" t="s">
        <v>948</v>
      </c>
      <c r="G898" s="24" t="s">
        <v>1909</v>
      </c>
      <c r="H898" s="16">
        <v>57</v>
      </c>
      <c r="I898" s="25">
        <v>4</v>
      </c>
      <c r="J898" s="56">
        <v>5700</v>
      </c>
      <c r="K898" s="15">
        <v>2700</v>
      </c>
      <c r="L898" s="24" t="s">
        <v>2043</v>
      </c>
      <c r="M898" s="24" t="s">
        <v>2016</v>
      </c>
      <c r="N898" s="1" t="s">
        <v>2013</v>
      </c>
      <c r="O898" s="15" t="s">
        <v>2082</v>
      </c>
      <c r="P898" s="15" t="s">
        <v>2442</v>
      </c>
      <c r="Q898" s="25" t="s">
        <v>2088</v>
      </c>
      <c r="R898" s="25" t="s">
        <v>2435</v>
      </c>
      <c r="S898" s="73" t="s">
        <v>2234</v>
      </c>
    </row>
    <row r="899" spans="1:19" x14ac:dyDescent="0.2">
      <c r="A899" s="14">
        <v>883</v>
      </c>
      <c r="B899" s="1" t="s">
        <v>674</v>
      </c>
      <c r="C899" s="1" t="s">
        <v>2446</v>
      </c>
      <c r="D899" s="11" t="s">
        <v>673</v>
      </c>
      <c r="E899" s="35" t="s">
        <v>863</v>
      </c>
      <c r="F899" s="66" t="s">
        <v>949</v>
      </c>
      <c r="G899" s="24" t="s">
        <v>1910</v>
      </c>
      <c r="H899" s="16">
        <v>35</v>
      </c>
      <c r="I899" s="25">
        <v>1</v>
      </c>
      <c r="J899" s="56">
        <v>2850</v>
      </c>
      <c r="K899" s="15">
        <v>1150</v>
      </c>
      <c r="L899" s="24" t="s">
        <v>2028</v>
      </c>
      <c r="M899" s="24" t="s">
        <v>2024</v>
      </c>
      <c r="N899" s="1" t="s">
        <v>2013</v>
      </c>
      <c r="O899" s="15" t="s">
        <v>2082</v>
      </c>
      <c r="P899" s="15" t="s">
        <v>2442</v>
      </c>
      <c r="Q899" s="25" t="s">
        <v>2088</v>
      </c>
      <c r="R899" s="25" t="s">
        <v>2436</v>
      </c>
      <c r="S899" s="73" t="s">
        <v>2162</v>
      </c>
    </row>
    <row r="900" spans="1:19" x14ac:dyDescent="0.2">
      <c r="A900" s="1">
        <v>884</v>
      </c>
      <c r="B900" s="1" t="s">
        <v>157</v>
      </c>
      <c r="C900" s="1" t="s">
        <v>2446</v>
      </c>
      <c r="D900" s="11" t="s">
        <v>2705</v>
      </c>
      <c r="E900" s="35" t="s">
        <v>828</v>
      </c>
      <c r="F900" s="66" t="s">
        <v>874</v>
      </c>
      <c r="G900" s="24" t="s">
        <v>1911</v>
      </c>
      <c r="H900" s="16">
        <v>40</v>
      </c>
      <c r="I900" s="25">
        <v>5</v>
      </c>
      <c r="J900" s="56">
        <v>1500</v>
      </c>
      <c r="K900" s="15"/>
      <c r="L900" s="24" t="s">
        <v>2031</v>
      </c>
      <c r="M900" s="24" t="s">
        <v>2016</v>
      </c>
      <c r="N900" s="1" t="s">
        <v>2013</v>
      </c>
      <c r="O900" s="15" t="s">
        <v>2082</v>
      </c>
      <c r="P900" s="15" t="s">
        <v>2442</v>
      </c>
      <c r="Q900" s="25" t="s">
        <v>2086</v>
      </c>
      <c r="R900" s="25" t="s">
        <v>2434</v>
      </c>
      <c r="S900" s="73" t="s">
        <v>2427</v>
      </c>
    </row>
    <row r="901" spans="1:19" x14ac:dyDescent="0.2">
      <c r="A901" s="14">
        <v>885</v>
      </c>
      <c r="B901" s="1" t="s">
        <v>285</v>
      </c>
      <c r="C901" s="1" t="s">
        <v>2446</v>
      </c>
      <c r="D901" s="11" t="s">
        <v>675</v>
      </c>
      <c r="E901" s="35" t="s">
        <v>822</v>
      </c>
      <c r="F901" s="66" t="s">
        <v>950</v>
      </c>
      <c r="G901" s="24" t="s">
        <v>1912</v>
      </c>
      <c r="H901" s="16">
        <v>21</v>
      </c>
      <c r="I901" s="25">
        <v>3</v>
      </c>
      <c r="J901" s="56">
        <v>2140</v>
      </c>
      <c r="K901" s="15">
        <f>920-90+90</f>
        <v>920</v>
      </c>
      <c r="L901" s="24" t="s">
        <v>2023</v>
      </c>
      <c r="M901" s="24" t="s">
        <v>2014</v>
      </c>
      <c r="N901" s="1" t="s">
        <v>2013</v>
      </c>
      <c r="O901" s="15" t="s">
        <v>2082</v>
      </c>
      <c r="P901" s="15" t="s">
        <v>2442</v>
      </c>
      <c r="Q901" s="25" t="s">
        <v>2089</v>
      </c>
      <c r="R901" s="25" t="s">
        <v>2437</v>
      </c>
      <c r="S901" s="73" t="s">
        <v>2280</v>
      </c>
    </row>
    <row r="902" spans="1:19" x14ac:dyDescent="0.2">
      <c r="A902" s="14">
        <v>886</v>
      </c>
      <c r="B902" s="1" t="s">
        <v>677</v>
      </c>
      <c r="C902" s="1" t="s">
        <v>2446</v>
      </c>
      <c r="D902" s="11" t="s">
        <v>676</v>
      </c>
      <c r="E902" s="35" t="s">
        <v>822</v>
      </c>
      <c r="F902" s="66" t="s">
        <v>951</v>
      </c>
      <c r="G902" s="24" t="s">
        <v>1913</v>
      </c>
      <c r="H902" s="16">
        <v>59</v>
      </c>
      <c r="I902" s="25">
        <v>2</v>
      </c>
      <c r="J902" s="56">
        <f>11150+550</f>
        <v>11700</v>
      </c>
      <c r="K902" s="15">
        <f>5950+450</f>
        <v>6400</v>
      </c>
      <c r="L902" s="24" t="s">
        <v>2028</v>
      </c>
      <c r="M902" s="24" t="s">
        <v>2024</v>
      </c>
      <c r="N902" s="1" t="s">
        <v>2013</v>
      </c>
      <c r="O902" s="15" t="s">
        <v>2082</v>
      </c>
      <c r="P902" s="15" t="s">
        <v>2442</v>
      </c>
      <c r="Q902" s="25" t="s">
        <v>2086</v>
      </c>
      <c r="R902" s="25" t="s">
        <v>2435</v>
      </c>
      <c r="S902" s="73" t="s">
        <v>2406</v>
      </c>
    </row>
    <row r="903" spans="1:19" x14ac:dyDescent="0.2">
      <c r="A903" s="14">
        <v>887</v>
      </c>
      <c r="B903" s="1" t="s">
        <v>678</v>
      </c>
      <c r="C903" s="1" t="s">
        <v>2446</v>
      </c>
      <c r="D903" s="11" t="s">
        <v>2706</v>
      </c>
      <c r="E903" s="35" t="s">
        <v>863</v>
      </c>
      <c r="F903" s="66" t="s">
        <v>952</v>
      </c>
      <c r="G903" s="24" t="s">
        <v>1914</v>
      </c>
      <c r="H903" s="16">
        <v>32</v>
      </c>
      <c r="I903" s="25">
        <v>4</v>
      </c>
      <c r="J903" s="63">
        <v>3370</v>
      </c>
      <c r="K903" s="15">
        <v>1270</v>
      </c>
      <c r="L903" s="24" t="s">
        <v>2040</v>
      </c>
      <c r="M903" s="24" t="s">
        <v>2014</v>
      </c>
      <c r="N903" s="1" t="s">
        <v>2013</v>
      </c>
      <c r="O903" s="15" t="s">
        <v>2082</v>
      </c>
      <c r="P903" s="15" t="s">
        <v>2442</v>
      </c>
      <c r="Q903" s="25" t="s">
        <v>2090</v>
      </c>
      <c r="R903" s="25" t="s">
        <v>2434</v>
      </c>
      <c r="S903" s="73" t="s">
        <v>2428</v>
      </c>
    </row>
    <row r="904" spans="1:19" x14ac:dyDescent="0.2">
      <c r="A904" s="14">
        <v>888</v>
      </c>
      <c r="B904" s="1" t="s">
        <v>680</v>
      </c>
      <c r="C904" s="1" t="s">
        <v>2446</v>
      </c>
      <c r="D904" s="11" t="s">
        <v>2707</v>
      </c>
      <c r="E904" s="35" t="s">
        <v>864</v>
      </c>
      <c r="F904" s="66" t="s">
        <v>888</v>
      </c>
      <c r="G904" s="24" t="s">
        <v>1915</v>
      </c>
      <c r="H904" s="16">
        <v>46</v>
      </c>
      <c r="I904" s="25">
        <v>1</v>
      </c>
      <c r="J904" s="56">
        <v>3520</v>
      </c>
      <c r="K904" s="15">
        <v>1320</v>
      </c>
      <c r="L904" s="24" t="s">
        <v>2057</v>
      </c>
      <c r="M904" s="24" t="s">
        <v>2020</v>
      </c>
      <c r="N904" s="1" t="s">
        <v>2013</v>
      </c>
      <c r="O904" s="15" t="s">
        <v>2082</v>
      </c>
      <c r="P904" s="15" t="s">
        <v>2442</v>
      </c>
      <c r="Q904" s="25" t="s">
        <v>2087</v>
      </c>
      <c r="R904" s="25" t="s">
        <v>2436</v>
      </c>
      <c r="S904" s="73" t="s">
        <v>2205</v>
      </c>
    </row>
    <row r="905" spans="1:19" x14ac:dyDescent="0.2">
      <c r="A905" s="14">
        <v>889</v>
      </c>
      <c r="B905" s="1" t="s">
        <v>681</v>
      </c>
      <c r="C905" s="1" t="s">
        <v>2446</v>
      </c>
      <c r="D905" s="11" t="s">
        <v>679</v>
      </c>
      <c r="E905" s="35" t="s">
        <v>823</v>
      </c>
      <c r="F905" s="67" t="s">
        <v>889</v>
      </c>
      <c r="G905" s="24" t="s">
        <v>1916</v>
      </c>
      <c r="H905" s="16">
        <v>54</v>
      </c>
      <c r="I905" s="25">
        <v>5</v>
      </c>
      <c r="J905" s="56">
        <v>2830</v>
      </c>
      <c r="K905" s="15">
        <v>1230</v>
      </c>
      <c r="L905" s="24" t="s">
        <v>2037</v>
      </c>
      <c r="M905" s="24" t="s">
        <v>2014</v>
      </c>
      <c r="N905" s="1" t="s">
        <v>2013</v>
      </c>
      <c r="O905" s="15" t="s">
        <v>2082</v>
      </c>
      <c r="P905" s="15" t="s">
        <v>2442</v>
      </c>
      <c r="Q905" s="25" t="s">
        <v>2087</v>
      </c>
      <c r="R905" s="25" t="s">
        <v>2437</v>
      </c>
      <c r="S905" s="73" t="s">
        <v>2408</v>
      </c>
    </row>
    <row r="906" spans="1:19" x14ac:dyDescent="0.2">
      <c r="A906" s="14">
        <v>890</v>
      </c>
      <c r="B906" s="1" t="s">
        <v>360</v>
      </c>
      <c r="C906" s="1" t="s">
        <v>2446</v>
      </c>
      <c r="D906" s="11" t="s">
        <v>682</v>
      </c>
      <c r="E906" s="35" t="s">
        <v>823</v>
      </c>
      <c r="F906" s="67" t="s">
        <v>890</v>
      </c>
      <c r="G906" s="24" t="s">
        <v>1917</v>
      </c>
      <c r="H906" s="16">
        <v>25</v>
      </c>
      <c r="I906" s="25">
        <v>2</v>
      </c>
      <c r="J906" s="56">
        <f>2150</f>
        <v>2150</v>
      </c>
      <c r="K906" s="15">
        <f>1050-90</f>
        <v>960</v>
      </c>
      <c r="L906" s="24" t="s">
        <v>2030</v>
      </c>
      <c r="M906" s="24" t="s">
        <v>2024</v>
      </c>
      <c r="N906" s="1" t="s">
        <v>2013</v>
      </c>
      <c r="O906" s="15" t="s">
        <v>2082</v>
      </c>
      <c r="P906" s="15" t="s">
        <v>2442</v>
      </c>
      <c r="Q906" s="25" t="s">
        <v>2089</v>
      </c>
      <c r="R906" s="25" t="s">
        <v>2435</v>
      </c>
      <c r="S906" s="73" t="s">
        <v>2429</v>
      </c>
    </row>
    <row r="907" spans="1:19" x14ac:dyDescent="0.2">
      <c r="A907" s="14">
        <v>891</v>
      </c>
      <c r="B907" s="1" t="s">
        <v>550</v>
      </c>
      <c r="C907" s="1" t="s">
        <v>2446</v>
      </c>
      <c r="D907" s="11" t="s">
        <v>683</v>
      </c>
      <c r="E907" s="35" t="s">
        <v>863</v>
      </c>
      <c r="F907" s="66" t="s">
        <v>891</v>
      </c>
      <c r="G907" s="24" t="s">
        <v>1918</v>
      </c>
      <c r="H907" s="16">
        <v>43</v>
      </c>
      <c r="I907" s="25">
        <v>3</v>
      </c>
      <c r="J907" s="56">
        <v>3500</v>
      </c>
      <c r="K907" s="15">
        <v>1900</v>
      </c>
      <c r="L907" s="24" t="s">
        <v>2038</v>
      </c>
      <c r="M907" s="24" t="s">
        <v>2020</v>
      </c>
      <c r="N907" s="1" t="s">
        <v>2013</v>
      </c>
      <c r="O907" s="15" t="s">
        <v>2082</v>
      </c>
      <c r="P907" s="15" t="s">
        <v>2442</v>
      </c>
      <c r="Q907" s="25" t="s">
        <v>2089</v>
      </c>
      <c r="R907" s="25" t="s">
        <v>2436</v>
      </c>
      <c r="S907" s="73" t="s">
        <v>2365</v>
      </c>
    </row>
    <row r="908" spans="1:19" x14ac:dyDescent="0.2">
      <c r="A908" s="1">
        <v>892</v>
      </c>
      <c r="B908" s="1" t="s">
        <v>684</v>
      </c>
      <c r="C908" s="1" t="s">
        <v>2446</v>
      </c>
      <c r="D908" s="11" t="s">
        <v>2708</v>
      </c>
      <c r="E908" s="35" t="s">
        <v>822</v>
      </c>
      <c r="F908" s="67" t="s">
        <v>892</v>
      </c>
      <c r="G908" s="24" t="s">
        <v>1919</v>
      </c>
      <c r="H908" s="16">
        <v>58</v>
      </c>
      <c r="I908" s="25">
        <v>4</v>
      </c>
      <c r="J908" s="56">
        <v>6400</v>
      </c>
      <c r="K908" s="15">
        <v>3600</v>
      </c>
      <c r="L908" s="24" t="s">
        <v>2047</v>
      </c>
      <c r="M908" s="24" t="s">
        <v>2024</v>
      </c>
      <c r="N908" s="1" t="s">
        <v>2013</v>
      </c>
      <c r="O908" s="15" t="s">
        <v>2082</v>
      </c>
      <c r="P908" s="15" t="s">
        <v>2442</v>
      </c>
      <c r="Q908" s="25" t="s">
        <v>2085</v>
      </c>
      <c r="R908" s="25" t="s">
        <v>2434</v>
      </c>
      <c r="S908" s="73" t="s">
        <v>2108</v>
      </c>
    </row>
    <row r="909" spans="1:19" x14ac:dyDescent="0.2">
      <c r="A909" s="1">
        <v>893</v>
      </c>
      <c r="B909" s="1" t="s">
        <v>157</v>
      </c>
      <c r="C909" s="1" t="s">
        <v>2446</v>
      </c>
      <c r="D909" s="11" t="s">
        <v>2709</v>
      </c>
      <c r="E909" s="35" t="s">
        <v>864</v>
      </c>
      <c r="F909" s="67" t="s">
        <v>876</v>
      </c>
      <c r="G909" s="24" t="s">
        <v>1920</v>
      </c>
      <c r="H909" s="16">
        <v>20</v>
      </c>
      <c r="I909" s="25">
        <v>1</v>
      </c>
      <c r="J909" s="56">
        <v>750</v>
      </c>
      <c r="K909" s="15"/>
      <c r="L909" s="24" t="s">
        <v>2044</v>
      </c>
      <c r="M909" s="24" t="s">
        <v>2020</v>
      </c>
      <c r="N909" s="1" t="s">
        <v>2013</v>
      </c>
      <c r="O909" s="15" t="s">
        <v>2082</v>
      </c>
      <c r="P909" s="15" t="s">
        <v>2442</v>
      </c>
      <c r="Q909" s="25" t="s">
        <v>2083</v>
      </c>
      <c r="R909" s="25" t="s">
        <v>2437</v>
      </c>
      <c r="S909" s="73" t="s">
        <v>2213</v>
      </c>
    </row>
    <row r="910" spans="1:19" x14ac:dyDescent="0.2">
      <c r="A910" s="1">
        <v>894</v>
      </c>
      <c r="B910" s="1" t="s">
        <v>62</v>
      </c>
      <c r="C910" s="1" t="s">
        <v>2446</v>
      </c>
      <c r="D910" s="11" t="s">
        <v>2710</v>
      </c>
      <c r="E910" s="35" t="s">
        <v>863</v>
      </c>
      <c r="F910" s="66" t="s">
        <v>984</v>
      </c>
      <c r="G910" s="24" t="s">
        <v>1921</v>
      </c>
      <c r="H910" s="16">
        <v>49</v>
      </c>
      <c r="I910" s="25">
        <v>5</v>
      </c>
      <c r="J910" s="56">
        <v>2880</v>
      </c>
      <c r="K910" s="15">
        <v>1260</v>
      </c>
      <c r="L910" s="24" t="s">
        <v>2029</v>
      </c>
      <c r="M910" s="24" t="s">
        <v>2016</v>
      </c>
      <c r="N910" s="1" t="s">
        <v>2013</v>
      </c>
      <c r="O910" s="15" t="s">
        <v>2082</v>
      </c>
      <c r="P910" s="15" t="s">
        <v>2442</v>
      </c>
      <c r="Q910" s="25" t="s">
        <v>2088</v>
      </c>
      <c r="R910" s="25" t="s">
        <v>2435</v>
      </c>
      <c r="S910" s="73" t="s">
        <v>2117</v>
      </c>
    </row>
    <row r="911" spans="1:19" x14ac:dyDescent="0.2">
      <c r="A911" s="1">
        <v>895</v>
      </c>
      <c r="B911" s="1" t="s">
        <v>686</v>
      </c>
      <c r="C911" s="1" t="s">
        <v>2446</v>
      </c>
      <c r="D911" s="11" t="s">
        <v>685</v>
      </c>
      <c r="E911" s="35" t="s">
        <v>864</v>
      </c>
      <c r="F911" s="66" t="s">
        <v>927</v>
      </c>
      <c r="G911" s="24" t="s">
        <v>1922</v>
      </c>
      <c r="H911" s="24">
        <v>25</v>
      </c>
      <c r="I911" s="25">
        <v>3</v>
      </c>
      <c r="J911" s="56">
        <v>5990</v>
      </c>
      <c r="K911" s="15">
        <v>2900</v>
      </c>
      <c r="L911" s="24" t="s">
        <v>2025</v>
      </c>
      <c r="M911" s="24" t="s">
        <v>2024</v>
      </c>
      <c r="N911" s="1" t="s">
        <v>2013</v>
      </c>
      <c r="O911" s="15" t="s">
        <v>2082</v>
      </c>
      <c r="P911" s="15" t="s">
        <v>2442</v>
      </c>
      <c r="Q911" s="25" t="s">
        <v>2086</v>
      </c>
      <c r="R911" s="25" t="s">
        <v>2434</v>
      </c>
      <c r="S911" s="73" t="s">
        <v>2092</v>
      </c>
    </row>
    <row r="912" spans="1:19" x14ac:dyDescent="0.2">
      <c r="A912" s="1">
        <v>896</v>
      </c>
      <c r="B912" s="1" t="s">
        <v>687</v>
      </c>
      <c r="C912" s="1" t="s">
        <v>2446</v>
      </c>
      <c r="D912" s="11" t="s">
        <v>21</v>
      </c>
      <c r="E912" s="35" t="s">
        <v>822</v>
      </c>
      <c r="F912" s="67" t="s">
        <v>932</v>
      </c>
      <c r="G912" s="24" t="s">
        <v>1923</v>
      </c>
      <c r="H912" s="24">
        <v>31</v>
      </c>
      <c r="I912" s="25">
        <v>2</v>
      </c>
      <c r="J912" s="56">
        <v>1880</v>
      </c>
      <c r="K912" s="15">
        <v>880</v>
      </c>
      <c r="L912" s="24" t="s">
        <v>2052</v>
      </c>
      <c r="M912" s="24" t="s">
        <v>2024</v>
      </c>
      <c r="N912" s="1" t="s">
        <v>2013</v>
      </c>
      <c r="O912" s="15" t="s">
        <v>2082</v>
      </c>
      <c r="P912" s="15" t="s">
        <v>2442</v>
      </c>
      <c r="Q912" s="25" t="s">
        <v>2090</v>
      </c>
      <c r="R912" s="25" t="s">
        <v>2436</v>
      </c>
      <c r="S912" s="73" t="s">
        <v>2136</v>
      </c>
    </row>
    <row r="913" spans="1:19" x14ac:dyDescent="0.2">
      <c r="A913" s="1">
        <v>897</v>
      </c>
      <c r="B913" s="1" t="s">
        <v>85</v>
      </c>
      <c r="C913" s="1" t="s">
        <v>2446</v>
      </c>
      <c r="D913" s="11" t="s">
        <v>688</v>
      </c>
      <c r="E913" s="35" t="s">
        <v>863</v>
      </c>
      <c r="F913" s="66" t="s">
        <v>881</v>
      </c>
      <c r="G913" s="24" t="s">
        <v>1924</v>
      </c>
      <c r="H913" s="24">
        <v>56</v>
      </c>
      <c r="I913" s="25">
        <v>4</v>
      </c>
      <c r="J913" s="56">
        <v>3630</v>
      </c>
      <c r="K913" s="15">
        <v>1230</v>
      </c>
      <c r="L913" s="24" t="s">
        <v>2052</v>
      </c>
      <c r="M913" s="24" t="s">
        <v>2016</v>
      </c>
      <c r="N913" s="1" t="s">
        <v>2013</v>
      </c>
      <c r="O913" s="15" t="s">
        <v>2082</v>
      </c>
      <c r="P913" s="15" t="s">
        <v>2442</v>
      </c>
      <c r="Q913" s="25" t="s">
        <v>2084</v>
      </c>
      <c r="R913" s="25" t="s">
        <v>2437</v>
      </c>
      <c r="S913" s="73" t="s">
        <v>2158</v>
      </c>
    </row>
    <row r="914" spans="1:19" x14ac:dyDescent="0.2">
      <c r="A914" s="1">
        <v>898</v>
      </c>
      <c r="B914" s="1" t="s">
        <v>690</v>
      </c>
      <c r="C914" s="1" t="s">
        <v>2446</v>
      </c>
      <c r="D914" s="11" t="s">
        <v>689</v>
      </c>
      <c r="E914" s="35" t="s">
        <v>864</v>
      </c>
      <c r="F914" s="66" t="s">
        <v>883</v>
      </c>
      <c r="G914" s="24" t="s">
        <v>1925</v>
      </c>
      <c r="H914" s="24">
        <v>42</v>
      </c>
      <c r="I914" s="25">
        <v>4</v>
      </c>
      <c r="J914" s="56">
        <v>3860</v>
      </c>
      <c r="K914" s="15">
        <v>2350</v>
      </c>
      <c r="L914" s="24" t="s">
        <v>2039</v>
      </c>
      <c r="M914" s="24" t="s">
        <v>2014</v>
      </c>
      <c r="N914" s="1" t="s">
        <v>2013</v>
      </c>
      <c r="O914" s="15" t="s">
        <v>2082</v>
      </c>
      <c r="P914" s="15" t="s">
        <v>2442</v>
      </c>
      <c r="Q914" s="25" t="s">
        <v>2083</v>
      </c>
      <c r="R914" s="25" t="s">
        <v>2434</v>
      </c>
      <c r="S914" s="73" t="s">
        <v>2114</v>
      </c>
    </row>
    <row r="915" spans="1:19" x14ac:dyDescent="0.2">
      <c r="A915" s="1">
        <v>899</v>
      </c>
      <c r="B915" s="1" t="s">
        <v>285</v>
      </c>
      <c r="C915" s="1" t="s">
        <v>2446</v>
      </c>
      <c r="D915" s="11" t="s">
        <v>2711</v>
      </c>
      <c r="E915" s="35" t="s">
        <v>822</v>
      </c>
      <c r="F915" s="66" t="s">
        <v>884</v>
      </c>
      <c r="G915" s="24" t="s">
        <v>1926</v>
      </c>
      <c r="H915" s="24">
        <v>34</v>
      </c>
      <c r="I915" s="25">
        <v>5</v>
      </c>
      <c r="J915" s="56">
        <v>2920</v>
      </c>
      <c r="K915" s="15">
        <v>1220</v>
      </c>
      <c r="L915" s="24" t="s">
        <v>2023</v>
      </c>
      <c r="M915" s="24" t="s">
        <v>2014</v>
      </c>
      <c r="N915" s="1" t="s">
        <v>2013</v>
      </c>
      <c r="O915" s="15" t="s">
        <v>2082</v>
      </c>
      <c r="P915" s="15" t="s">
        <v>2442</v>
      </c>
      <c r="Q915" s="25" t="s">
        <v>2086</v>
      </c>
      <c r="R915" s="25" t="s">
        <v>2436</v>
      </c>
      <c r="S915" s="73" t="s">
        <v>2092</v>
      </c>
    </row>
    <row r="916" spans="1:19" x14ac:dyDescent="0.2">
      <c r="A916" s="1">
        <v>900</v>
      </c>
      <c r="B916" s="1" t="s">
        <v>241</v>
      </c>
      <c r="C916" s="1" t="s">
        <v>2446</v>
      </c>
      <c r="D916" s="11" t="s">
        <v>2712</v>
      </c>
      <c r="E916" s="35" t="s">
        <v>863</v>
      </c>
      <c r="F916" s="67" t="s">
        <v>931</v>
      </c>
      <c r="G916" s="24" t="s">
        <v>1927</v>
      </c>
      <c r="H916" s="24">
        <v>23</v>
      </c>
      <c r="I916" s="25">
        <v>3</v>
      </c>
      <c r="J916" s="56">
        <v>3290</v>
      </c>
      <c r="K916" s="15">
        <v>1250</v>
      </c>
      <c r="L916" s="24" t="s">
        <v>2026</v>
      </c>
      <c r="M916" s="24" t="s">
        <v>2016</v>
      </c>
      <c r="N916" s="1" t="s">
        <v>2013</v>
      </c>
      <c r="O916" s="15" t="s">
        <v>2082</v>
      </c>
      <c r="P916" s="15" t="s">
        <v>2442</v>
      </c>
      <c r="Q916" s="25" t="s">
        <v>2085</v>
      </c>
      <c r="R916" s="25" t="s">
        <v>2437</v>
      </c>
      <c r="S916" s="73" t="s">
        <v>2399</v>
      </c>
    </row>
    <row r="917" spans="1:19" x14ac:dyDescent="0.2">
      <c r="A917" s="1">
        <v>901</v>
      </c>
      <c r="B917" s="1" t="s">
        <v>29</v>
      </c>
      <c r="C917" s="1" t="s">
        <v>2446</v>
      </c>
      <c r="D917" s="11" t="s">
        <v>691</v>
      </c>
      <c r="E917" s="35" t="s">
        <v>864</v>
      </c>
      <c r="F917" s="66" t="s">
        <v>929</v>
      </c>
      <c r="G917" s="24" t="s">
        <v>1928</v>
      </c>
      <c r="H917" s="24">
        <v>56</v>
      </c>
      <c r="I917" s="25">
        <v>2</v>
      </c>
      <c r="J917" s="56">
        <v>2300</v>
      </c>
      <c r="K917" s="15">
        <v>900</v>
      </c>
      <c r="L917" s="24" t="s">
        <v>2026</v>
      </c>
      <c r="M917" s="24" t="s">
        <v>2016</v>
      </c>
      <c r="N917" s="1" t="s">
        <v>2013</v>
      </c>
      <c r="O917" s="15" t="s">
        <v>2082</v>
      </c>
      <c r="P917" s="15" t="s">
        <v>2442</v>
      </c>
      <c r="Q917" s="25" t="s">
        <v>2087</v>
      </c>
      <c r="R917" s="25" t="s">
        <v>2435</v>
      </c>
      <c r="S917" s="73" t="s">
        <v>2218</v>
      </c>
    </row>
    <row r="918" spans="1:19" x14ac:dyDescent="0.2">
      <c r="A918" s="1">
        <v>902</v>
      </c>
      <c r="B918" s="1" t="s">
        <v>693</v>
      </c>
      <c r="C918" s="1" t="s">
        <v>2446</v>
      </c>
      <c r="D918" s="11" t="s">
        <v>692</v>
      </c>
      <c r="E918" s="35" t="s">
        <v>822</v>
      </c>
      <c r="F918" s="66" t="s">
        <v>882</v>
      </c>
      <c r="G918" s="24" t="s">
        <v>1929</v>
      </c>
      <c r="H918" s="24">
        <v>24</v>
      </c>
      <c r="I918" s="25">
        <v>4</v>
      </c>
      <c r="J918" s="56">
        <f>1900+150</f>
        <v>2050</v>
      </c>
      <c r="K918" s="15">
        <f>800+50</f>
        <v>850</v>
      </c>
      <c r="L918" s="24" t="s">
        <v>2050</v>
      </c>
      <c r="M918" s="24" t="s">
        <v>2024</v>
      </c>
      <c r="N918" s="1" t="s">
        <v>2013</v>
      </c>
      <c r="O918" s="15" t="s">
        <v>2082</v>
      </c>
      <c r="P918" s="15" t="s">
        <v>2442</v>
      </c>
      <c r="Q918" s="25" t="s">
        <v>2086</v>
      </c>
      <c r="R918" s="25" t="s">
        <v>2434</v>
      </c>
      <c r="S918" s="73" t="s">
        <v>2224</v>
      </c>
    </row>
    <row r="919" spans="1:19" x14ac:dyDescent="0.2">
      <c r="A919" s="1">
        <v>903</v>
      </c>
      <c r="B919" s="1" t="s">
        <v>694</v>
      </c>
      <c r="C919" s="1" t="s">
        <v>2446</v>
      </c>
      <c r="D919" s="11" t="s">
        <v>2713</v>
      </c>
      <c r="E919" s="35" t="s">
        <v>863</v>
      </c>
      <c r="F919" s="66" t="s">
        <v>880</v>
      </c>
      <c r="G919" s="24" t="s">
        <v>1930</v>
      </c>
      <c r="H919" s="24">
        <v>64</v>
      </c>
      <c r="I919" s="25">
        <v>1</v>
      </c>
      <c r="J919" s="56">
        <v>6070</v>
      </c>
      <c r="K919" s="15">
        <v>3570</v>
      </c>
      <c r="L919" s="24" t="s">
        <v>2041</v>
      </c>
      <c r="M919" s="24" t="s">
        <v>2016</v>
      </c>
      <c r="N919" s="1" t="s">
        <v>2013</v>
      </c>
      <c r="O919" s="15" t="s">
        <v>2082</v>
      </c>
      <c r="P919" s="15" t="s">
        <v>2442</v>
      </c>
      <c r="Q919" s="25" t="s">
        <v>2085</v>
      </c>
      <c r="R919" s="25" t="s">
        <v>2436</v>
      </c>
      <c r="S919" s="73" t="s">
        <v>2097</v>
      </c>
    </row>
    <row r="920" spans="1:19" x14ac:dyDescent="0.2">
      <c r="A920" s="1">
        <v>904</v>
      </c>
      <c r="B920" s="1" t="s">
        <v>150</v>
      </c>
      <c r="C920" s="1" t="s">
        <v>2446</v>
      </c>
      <c r="D920" s="11" t="s">
        <v>695</v>
      </c>
      <c r="E920" s="35" t="s">
        <v>822</v>
      </c>
      <c r="F920" s="66" t="s">
        <v>878</v>
      </c>
      <c r="G920" s="24" t="s">
        <v>1931</v>
      </c>
      <c r="H920" s="24">
        <v>64</v>
      </c>
      <c r="I920" s="25">
        <v>5</v>
      </c>
      <c r="J920" s="56">
        <v>5860</v>
      </c>
      <c r="K920" s="15">
        <v>3000</v>
      </c>
      <c r="L920" s="24" t="s">
        <v>2038</v>
      </c>
      <c r="M920" s="24" t="s">
        <v>2020</v>
      </c>
      <c r="N920" s="1" t="s">
        <v>2013</v>
      </c>
      <c r="O920" s="15" t="s">
        <v>2082</v>
      </c>
      <c r="P920" s="15" t="s">
        <v>2442</v>
      </c>
      <c r="Q920" s="25" t="s">
        <v>2085</v>
      </c>
      <c r="R920" s="25" t="s">
        <v>2437</v>
      </c>
      <c r="S920" s="73" t="s">
        <v>2211</v>
      </c>
    </row>
    <row r="921" spans="1:19" x14ac:dyDescent="0.2">
      <c r="A921" s="1">
        <v>905</v>
      </c>
      <c r="B921" s="1" t="s">
        <v>697</v>
      </c>
      <c r="C921" s="1" t="s">
        <v>2446</v>
      </c>
      <c r="D921" s="11" t="s">
        <v>696</v>
      </c>
      <c r="E921" s="35" t="s">
        <v>863</v>
      </c>
      <c r="F921" s="66" t="s">
        <v>879</v>
      </c>
      <c r="G921" s="24" t="s">
        <v>1932</v>
      </c>
      <c r="H921" s="24">
        <v>23</v>
      </c>
      <c r="I921" s="25">
        <v>2</v>
      </c>
      <c r="J921" s="56">
        <f>3200+550</f>
        <v>3750</v>
      </c>
      <c r="K921" s="15">
        <f>1600+450</f>
        <v>2050</v>
      </c>
      <c r="L921" s="24" t="s">
        <v>2056</v>
      </c>
      <c r="M921" s="24" t="s">
        <v>2024</v>
      </c>
      <c r="N921" s="1" t="s">
        <v>2013</v>
      </c>
      <c r="O921" s="15" t="s">
        <v>2082</v>
      </c>
      <c r="P921" s="15" t="s">
        <v>2442</v>
      </c>
      <c r="Q921" s="25" t="s">
        <v>2086</v>
      </c>
      <c r="R921" s="25" t="s">
        <v>2435</v>
      </c>
      <c r="S921" s="73" t="s">
        <v>2319</v>
      </c>
    </row>
    <row r="922" spans="1:19" x14ac:dyDescent="0.2">
      <c r="A922" s="1">
        <v>906</v>
      </c>
      <c r="B922" s="1" t="s">
        <v>698</v>
      </c>
      <c r="C922" s="1" t="s">
        <v>2446</v>
      </c>
      <c r="D922" s="11" t="s">
        <v>2714</v>
      </c>
      <c r="E922" s="35" t="s">
        <v>864</v>
      </c>
      <c r="F922" s="66" t="s">
        <v>880</v>
      </c>
      <c r="G922" s="24" t="s">
        <v>1933</v>
      </c>
      <c r="H922" s="24">
        <v>19</v>
      </c>
      <c r="I922" s="25">
        <v>3</v>
      </c>
      <c r="J922" s="56">
        <v>1790</v>
      </c>
      <c r="K922" s="15">
        <v>700</v>
      </c>
      <c r="L922" s="24" t="s">
        <v>2055</v>
      </c>
      <c r="M922" s="24" t="s">
        <v>2014</v>
      </c>
      <c r="N922" s="1" t="s">
        <v>2013</v>
      </c>
      <c r="O922" s="15" t="s">
        <v>2082</v>
      </c>
      <c r="P922" s="15" t="s">
        <v>2442</v>
      </c>
      <c r="Q922" s="25" t="s">
        <v>2089</v>
      </c>
      <c r="R922" s="25" t="s">
        <v>2436</v>
      </c>
      <c r="S922" s="73" t="s">
        <v>2109</v>
      </c>
    </row>
    <row r="923" spans="1:19" x14ac:dyDescent="0.2">
      <c r="A923" s="1">
        <v>907</v>
      </c>
      <c r="B923" s="1" t="s">
        <v>699</v>
      </c>
      <c r="C923" s="1" t="s">
        <v>2446</v>
      </c>
      <c r="D923" s="11" t="s">
        <v>554</v>
      </c>
      <c r="E923" s="35" t="s">
        <v>823</v>
      </c>
      <c r="F923" s="66" t="s">
        <v>881</v>
      </c>
      <c r="G923" s="24" t="s">
        <v>1934</v>
      </c>
      <c r="H923" s="24">
        <v>21</v>
      </c>
      <c r="I923" s="25">
        <v>4</v>
      </c>
      <c r="J923" s="56">
        <v>3330</v>
      </c>
      <c r="K923" s="15">
        <v>1830</v>
      </c>
      <c r="L923" s="24" t="s">
        <v>2051</v>
      </c>
      <c r="M923" s="24" t="s">
        <v>2020</v>
      </c>
      <c r="N923" s="1" t="s">
        <v>2013</v>
      </c>
      <c r="O923" s="15" t="s">
        <v>2082</v>
      </c>
      <c r="P923" s="15" t="s">
        <v>2442</v>
      </c>
      <c r="Q923" s="25" t="s">
        <v>2085</v>
      </c>
      <c r="R923" s="25" t="s">
        <v>2434</v>
      </c>
      <c r="S923" s="73" t="s">
        <v>2430</v>
      </c>
    </row>
    <row r="924" spans="1:19" x14ac:dyDescent="0.2">
      <c r="A924" s="1">
        <v>908</v>
      </c>
      <c r="B924" s="1" t="s">
        <v>701</v>
      </c>
      <c r="C924" s="1" t="s">
        <v>2446</v>
      </c>
      <c r="D924" s="11" t="s">
        <v>700</v>
      </c>
      <c r="E924" s="35" t="s">
        <v>864</v>
      </c>
      <c r="F924" s="66" t="s">
        <v>882</v>
      </c>
      <c r="G924" s="24" t="s">
        <v>1935</v>
      </c>
      <c r="H924" s="24">
        <v>56</v>
      </c>
      <c r="I924" s="25">
        <v>1</v>
      </c>
      <c r="J924" s="56">
        <v>3780</v>
      </c>
      <c r="K924" s="15">
        <v>1880</v>
      </c>
      <c r="L924" s="24" t="s">
        <v>2053</v>
      </c>
      <c r="M924" s="24" t="s">
        <v>2014</v>
      </c>
      <c r="N924" s="1" t="s">
        <v>2013</v>
      </c>
      <c r="O924" s="15" t="s">
        <v>2082</v>
      </c>
      <c r="P924" s="15" t="s">
        <v>2442</v>
      </c>
      <c r="Q924" s="25" t="s">
        <v>2087</v>
      </c>
      <c r="R924" s="25" t="s">
        <v>2437</v>
      </c>
      <c r="S924" s="73" t="s">
        <v>2349</v>
      </c>
    </row>
    <row r="925" spans="1:19" x14ac:dyDescent="0.2">
      <c r="A925" s="1">
        <v>910</v>
      </c>
      <c r="B925" s="1" t="s">
        <v>8</v>
      </c>
      <c r="C925" s="1" t="s">
        <v>2446</v>
      </c>
      <c r="D925" s="11" t="s">
        <v>4</v>
      </c>
      <c r="E925" s="35" t="s">
        <v>822</v>
      </c>
      <c r="F925" s="66" t="s">
        <v>881</v>
      </c>
      <c r="G925" s="24" t="s">
        <v>1936</v>
      </c>
      <c r="H925" s="24">
        <v>34</v>
      </c>
      <c r="I925" s="25">
        <v>5</v>
      </c>
      <c r="J925" s="56">
        <v>890</v>
      </c>
      <c r="K925" s="15">
        <v>500</v>
      </c>
      <c r="L925" s="24" t="s">
        <v>2019</v>
      </c>
      <c r="M925" s="24" t="s">
        <v>2014</v>
      </c>
      <c r="N925" s="1" t="s">
        <v>2013</v>
      </c>
      <c r="O925" s="15" t="s">
        <v>2082</v>
      </c>
      <c r="P925" s="15" t="s">
        <v>2442</v>
      </c>
      <c r="Q925" s="25" t="s">
        <v>2090</v>
      </c>
      <c r="R925" s="25" t="s">
        <v>2435</v>
      </c>
      <c r="S925" s="73" t="s">
        <v>2205</v>
      </c>
    </row>
    <row r="926" spans="1:19" x14ac:dyDescent="0.2">
      <c r="A926" s="1">
        <v>911</v>
      </c>
      <c r="B926" s="1" t="s">
        <v>8</v>
      </c>
      <c r="C926" s="1" t="s">
        <v>2446</v>
      </c>
      <c r="D926" s="11" t="s">
        <v>2715</v>
      </c>
      <c r="E926" s="35" t="s">
        <v>863</v>
      </c>
      <c r="F926" s="66" t="s">
        <v>883</v>
      </c>
      <c r="G926" s="24" t="s">
        <v>1937</v>
      </c>
      <c r="H926" s="16">
        <v>52</v>
      </c>
      <c r="I926" s="25">
        <v>3</v>
      </c>
      <c r="J926" s="56">
        <f>260+70</f>
        <v>330</v>
      </c>
      <c r="K926" s="15">
        <v>170</v>
      </c>
      <c r="L926" s="24" t="s">
        <v>2021</v>
      </c>
      <c r="M926" s="24" t="s">
        <v>2020</v>
      </c>
      <c r="N926" s="1" t="s">
        <v>2013</v>
      </c>
      <c r="O926" s="15" t="s">
        <v>2082</v>
      </c>
      <c r="P926" s="15" t="s">
        <v>2442</v>
      </c>
      <c r="Q926" s="25" t="s">
        <v>2086</v>
      </c>
      <c r="R926" s="25" t="s">
        <v>2434</v>
      </c>
      <c r="S926" s="73" t="s">
        <v>2100</v>
      </c>
    </row>
    <row r="927" spans="1:19" x14ac:dyDescent="0.2">
      <c r="A927" s="1">
        <v>912</v>
      </c>
      <c r="B927" s="1" t="s">
        <v>13</v>
      </c>
      <c r="C927" s="1" t="s">
        <v>2445</v>
      </c>
      <c r="D927" s="11" t="s">
        <v>869</v>
      </c>
      <c r="E927" s="35" t="s">
        <v>821</v>
      </c>
      <c r="F927" s="66" t="s">
        <v>884</v>
      </c>
      <c r="G927" s="24" t="s">
        <v>1938</v>
      </c>
      <c r="H927" s="16">
        <v>23</v>
      </c>
      <c r="I927" s="25">
        <v>2</v>
      </c>
      <c r="J927" s="56">
        <v>1190</v>
      </c>
      <c r="K927" s="15">
        <v>650</v>
      </c>
      <c r="L927" s="24" t="s">
        <v>2054</v>
      </c>
      <c r="M927" s="24" t="s">
        <v>2016</v>
      </c>
      <c r="N927" s="1" t="s">
        <v>2013</v>
      </c>
      <c r="O927" s="15" t="s">
        <v>2082</v>
      </c>
      <c r="P927" s="15" t="s">
        <v>2442</v>
      </c>
      <c r="Q927" s="25" t="s">
        <v>2089</v>
      </c>
      <c r="R927" s="25" t="s">
        <v>2436</v>
      </c>
      <c r="S927" s="73" t="s">
        <v>2170</v>
      </c>
    </row>
    <row r="928" spans="1:19" x14ac:dyDescent="0.2">
      <c r="A928" s="14">
        <v>913</v>
      </c>
      <c r="B928" s="1" t="s">
        <v>703</v>
      </c>
      <c r="C928" s="1" t="s">
        <v>2446</v>
      </c>
      <c r="D928" s="11" t="s">
        <v>702</v>
      </c>
      <c r="E928" s="35" t="s">
        <v>822</v>
      </c>
      <c r="F928" s="67" t="s">
        <v>931</v>
      </c>
      <c r="G928" s="24" t="s">
        <v>1939</v>
      </c>
      <c r="H928" s="16">
        <v>38</v>
      </c>
      <c r="I928" s="25">
        <v>4</v>
      </c>
      <c r="J928" s="56">
        <v>8180</v>
      </c>
      <c r="K928" s="15">
        <v>3330</v>
      </c>
      <c r="L928" s="24" t="s">
        <v>2053</v>
      </c>
      <c r="M928" s="24" t="s">
        <v>2014</v>
      </c>
      <c r="N928" s="1" t="s">
        <v>2013</v>
      </c>
      <c r="O928" s="15" t="s">
        <v>2082</v>
      </c>
      <c r="P928" s="15" t="s">
        <v>2442</v>
      </c>
      <c r="Q928" s="25" t="s">
        <v>2090</v>
      </c>
      <c r="R928" s="25" t="s">
        <v>2437</v>
      </c>
      <c r="S928" s="73" t="s">
        <v>2374</v>
      </c>
    </row>
    <row r="929" spans="1:19" x14ac:dyDescent="0.2">
      <c r="A929" s="14">
        <v>914</v>
      </c>
      <c r="B929" s="1" t="s">
        <v>705</v>
      </c>
      <c r="C929" s="1" t="s">
        <v>2446</v>
      </c>
      <c r="D929" s="11" t="s">
        <v>704</v>
      </c>
      <c r="E929" s="35" t="s">
        <v>863</v>
      </c>
      <c r="F929" s="66" t="s">
        <v>929</v>
      </c>
      <c r="G929" s="24" t="s">
        <v>1940</v>
      </c>
      <c r="H929" s="16">
        <v>41</v>
      </c>
      <c r="I929" s="25">
        <v>1</v>
      </c>
      <c r="J929" s="56">
        <v>3280</v>
      </c>
      <c r="K929" s="15">
        <v>1780</v>
      </c>
      <c r="L929" s="24" t="s">
        <v>2051</v>
      </c>
      <c r="M929" s="24" t="s">
        <v>2020</v>
      </c>
      <c r="N929" s="1" t="s">
        <v>2013</v>
      </c>
      <c r="O929" s="15" t="s">
        <v>2082</v>
      </c>
      <c r="P929" s="15" t="s">
        <v>2442</v>
      </c>
      <c r="Q929" s="25" t="s">
        <v>2087</v>
      </c>
      <c r="R929" s="25" t="s">
        <v>2435</v>
      </c>
      <c r="S929" s="73" t="s">
        <v>2182</v>
      </c>
    </row>
    <row r="930" spans="1:19" x14ac:dyDescent="0.2">
      <c r="A930" s="14">
        <v>915</v>
      </c>
      <c r="B930" s="1" t="s">
        <v>707</v>
      </c>
      <c r="C930" s="1" t="s">
        <v>2446</v>
      </c>
      <c r="D930" s="11" t="s">
        <v>706</v>
      </c>
      <c r="E930" s="35" t="s">
        <v>864</v>
      </c>
      <c r="F930" s="66" t="s">
        <v>882</v>
      </c>
      <c r="G930" s="24" t="s">
        <v>1941</v>
      </c>
      <c r="H930" s="16">
        <v>29</v>
      </c>
      <c r="I930" s="25">
        <v>5</v>
      </c>
      <c r="J930" s="56">
        <f>5360+550</f>
        <v>5910</v>
      </c>
      <c r="K930" s="15">
        <f>2800+450</f>
        <v>3250</v>
      </c>
      <c r="L930" s="24" t="s">
        <v>2030</v>
      </c>
      <c r="M930" s="24" t="s">
        <v>2024</v>
      </c>
      <c r="N930" s="1" t="s">
        <v>2013</v>
      </c>
      <c r="O930" s="15" t="s">
        <v>2082</v>
      </c>
      <c r="P930" s="15" t="s">
        <v>2442</v>
      </c>
      <c r="Q930" s="25" t="s">
        <v>2087</v>
      </c>
      <c r="R930" s="25" t="s">
        <v>2435</v>
      </c>
      <c r="S930" s="73" t="s">
        <v>2285</v>
      </c>
    </row>
    <row r="931" spans="1:19" x14ac:dyDescent="0.2">
      <c r="A931" s="14">
        <v>916</v>
      </c>
      <c r="B931" s="1" t="s">
        <v>708</v>
      </c>
      <c r="C931" s="1" t="s">
        <v>2446</v>
      </c>
      <c r="D931" s="11" t="s">
        <v>2716</v>
      </c>
      <c r="E931" s="35" t="s">
        <v>822</v>
      </c>
      <c r="F931" s="66" t="s">
        <v>930</v>
      </c>
      <c r="G931" s="24" t="s">
        <v>1942</v>
      </c>
      <c r="H931" s="16">
        <v>60</v>
      </c>
      <c r="I931" s="25">
        <v>2</v>
      </c>
      <c r="J931" s="56">
        <v>3770</v>
      </c>
      <c r="K931" s="15">
        <v>1700</v>
      </c>
      <c r="L931" s="24" t="s">
        <v>2039</v>
      </c>
      <c r="M931" s="24" t="s">
        <v>2014</v>
      </c>
      <c r="N931" s="1" t="s">
        <v>2013</v>
      </c>
      <c r="O931" s="15" t="s">
        <v>2082</v>
      </c>
      <c r="P931" s="15" t="s">
        <v>2442</v>
      </c>
      <c r="Q931" s="25" t="s">
        <v>2086</v>
      </c>
      <c r="R931" s="25" t="s">
        <v>2436</v>
      </c>
      <c r="S931" s="73" t="s">
        <v>2161</v>
      </c>
    </row>
    <row r="932" spans="1:19" x14ac:dyDescent="0.2">
      <c r="A932" s="14">
        <v>917</v>
      </c>
      <c r="B932" s="1" t="s">
        <v>709</v>
      </c>
      <c r="C932" s="1" t="s">
        <v>2446</v>
      </c>
      <c r="D932" s="11" t="s">
        <v>812</v>
      </c>
      <c r="E932" s="35" t="s">
        <v>863</v>
      </c>
      <c r="F932" s="67" t="s">
        <v>915</v>
      </c>
      <c r="G932" s="24" t="s">
        <v>1943</v>
      </c>
      <c r="H932" s="16">
        <v>33</v>
      </c>
      <c r="I932" s="25">
        <v>3</v>
      </c>
      <c r="J932" s="56">
        <f>2850+250</f>
        <v>3100</v>
      </c>
      <c r="K932" s="15">
        <f>1350+200</f>
        <v>1550</v>
      </c>
      <c r="L932" s="24" t="s">
        <v>2040</v>
      </c>
      <c r="M932" s="24" t="s">
        <v>2014</v>
      </c>
      <c r="N932" s="1" t="s">
        <v>2013</v>
      </c>
      <c r="O932" s="15" t="s">
        <v>2082</v>
      </c>
      <c r="P932" s="15" t="s">
        <v>2442</v>
      </c>
      <c r="Q932" s="25" t="s">
        <v>2088</v>
      </c>
      <c r="R932" s="25" t="s">
        <v>2434</v>
      </c>
      <c r="S932" s="73" t="s">
        <v>2164</v>
      </c>
    </row>
    <row r="933" spans="1:19" x14ac:dyDescent="0.2">
      <c r="A933" s="14">
        <v>918</v>
      </c>
      <c r="B933" s="1" t="s">
        <v>710</v>
      </c>
      <c r="C933" s="1" t="s">
        <v>2446</v>
      </c>
      <c r="D933" s="11" t="s">
        <v>2717</v>
      </c>
      <c r="E933" s="35" t="s">
        <v>822</v>
      </c>
      <c r="F933" s="66" t="s">
        <v>920</v>
      </c>
      <c r="G933" s="24" t="s">
        <v>1944</v>
      </c>
      <c r="H933" s="16">
        <v>22</v>
      </c>
      <c r="I933" s="25">
        <v>4</v>
      </c>
      <c r="J933" s="56">
        <v>8150</v>
      </c>
      <c r="K933" s="15">
        <v>4300</v>
      </c>
      <c r="L933" s="24" t="s">
        <v>2042</v>
      </c>
      <c r="M933" s="24" t="s">
        <v>2016</v>
      </c>
      <c r="N933" s="1" t="s">
        <v>2013</v>
      </c>
      <c r="O933" s="15" t="s">
        <v>2082</v>
      </c>
      <c r="P933" s="15" t="s">
        <v>2442</v>
      </c>
      <c r="Q933" s="25" t="s">
        <v>2083</v>
      </c>
      <c r="R933" s="25" t="s">
        <v>2437</v>
      </c>
      <c r="S933" s="73" t="s">
        <v>2245</v>
      </c>
    </row>
    <row r="934" spans="1:19" x14ac:dyDescent="0.2">
      <c r="A934" s="1">
        <v>919</v>
      </c>
      <c r="B934" s="1" t="s">
        <v>450</v>
      </c>
      <c r="C934" s="1" t="s">
        <v>2446</v>
      </c>
      <c r="D934" s="11" t="s">
        <v>711</v>
      </c>
      <c r="E934" s="35" t="s">
        <v>863</v>
      </c>
      <c r="F934" s="67" t="s">
        <v>921</v>
      </c>
      <c r="G934" s="24" t="s">
        <v>1945</v>
      </c>
      <c r="H934" s="16">
        <v>47</v>
      </c>
      <c r="I934" s="25">
        <v>1</v>
      </c>
      <c r="J934" s="56">
        <v>3000</v>
      </c>
      <c r="K934" s="15">
        <v>1500</v>
      </c>
      <c r="L934" s="24" t="s">
        <v>2052</v>
      </c>
      <c r="M934" s="24" t="s">
        <v>2014</v>
      </c>
      <c r="N934" s="1" t="s">
        <v>2013</v>
      </c>
      <c r="O934" s="15" t="s">
        <v>2082</v>
      </c>
      <c r="P934" s="15" t="s">
        <v>2442</v>
      </c>
      <c r="Q934" s="25" t="s">
        <v>2088</v>
      </c>
      <c r="R934" s="25" t="s">
        <v>2435</v>
      </c>
      <c r="S934" s="73" t="s">
        <v>2385</v>
      </c>
    </row>
    <row r="935" spans="1:19" x14ac:dyDescent="0.2">
      <c r="A935" s="1">
        <v>920</v>
      </c>
      <c r="B935" s="1" t="s">
        <v>712</v>
      </c>
      <c r="C935" s="1" t="s">
        <v>2446</v>
      </c>
      <c r="D935" s="11" t="s">
        <v>2718</v>
      </c>
      <c r="E935" s="35" t="s">
        <v>864</v>
      </c>
      <c r="F935" s="66" t="s">
        <v>930</v>
      </c>
      <c r="G935" s="24" t="s">
        <v>1946</v>
      </c>
      <c r="H935" s="16">
        <v>55</v>
      </c>
      <c r="I935" s="25">
        <v>5</v>
      </c>
      <c r="J935" s="56">
        <v>3400</v>
      </c>
      <c r="K935" s="15">
        <v>1100</v>
      </c>
      <c r="L935" s="24" t="s">
        <v>2023</v>
      </c>
      <c r="M935" s="24" t="s">
        <v>2020</v>
      </c>
      <c r="N935" s="1" t="s">
        <v>2013</v>
      </c>
      <c r="O935" s="15" t="s">
        <v>2082</v>
      </c>
      <c r="P935" s="15" t="s">
        <v>2442</v>
      </c>
      <c r="Q935" s="25" t="s">
        <v>2083</v>
      </c>
      <c r="R935" s="25" t="s">
        <v>2434</v>
      </c>
      <c r="S935" s="73" t="s">
        <v>2355</v>
      </c>
    </row>
    <row r="936" spans="1:19" x14ac:dyDescent="0.2">
      <c r="A936" s="1">
        <v>921</v>
      </c>
      <c r="B936" s="1" t="s">
        <v>714</v>
      </c>
      <c r="C936" s="1" t="s">
        <v>2446</v>
      </c>
      <c r="D936" s="11" t="s">
        <v>713</v>
      </c>
      <c r="E936" s="35" t="s">
        <v>822</v>
      </c>
      <c r="F936" s="67" t="s">
        <v>915</v>
      </c>
      <c r="G936" s="24" t="s">
        <v>1947</v>
      </c>
      <c r="H936" s="16">
        <v>36</v>
      </c>
      <c r="I936" s="25">
        <v>3</v>
      </c>
      <c r="J936" s="56">
        <v>6500</v>
      </c>
      <c r="K936" s="15">
        <v>3200</v>
      </c>
      <c r="L936" s="24" t="s">
        <v>2033</v>
      </c>
      <c r="M936" s="24" t="s">
        <v>2016</v>
      </c>
      <c r="N936" s="1" t="s">
        <v>2013</v>
      </c>
      <c r="O936" s="15" t="s">
        <v>2082</v>
      </c>
      <c r="P936" s="15" t="s">
        <v>2442</v>
      </c>
      <c r="Q936" s="25" t="s">
        <v>2087</v>
      </c>
      <c r="R936" s="25" t="s">
        <v>2436</v>
      </c>
      <c r="S936" s="73" t="s">
        <v>2366</v>
      </c>
    </row>
    <row r="937" spans="1:19" x14ac:dyDescent="0.2">
      <c r="A937" s="1">
        <v>922</v>
      </c>
      <c r="B937" s="1" t="s">
        <v>716</v>
      </c>
      <c r="C937" s="1" t="s">
        <v>2446</v>
      </c>
      <c r="D937" s="11" t="s">
        <v>715</v>
      </c>
      <c r="E937" s="35" t="s">
        <v>863</v>
      </c>
      <c r="F937" s="66" t="s">
        <v>920</v>
      </c>
      <c r="G937" s="24" t="s">
        <v>1948</v>
      </c>
      <c r="H937" s="16">
        <v>28</v>
      </c>
      <c r="I937" s="25">
        <v>2</v>
      </c>
      <c r="J937" s="56">
        <f>3780+550</f>
        <v>4330</v>
      </c>
      <c r="K937" s="15">
        <f>1480+450</f>
        <v>1930</v>
      </c>
      <c r="L937" s="24" t="s">
        <v>2031</v>
      </c>
      <c r="M937" s="24" t="s">
        <v>2016</v>
      </c>
      <c r="N937" s="1" t="s">
        <v>2013</v>
      </c>
      <c r="O937" s="15" t="s">
        <v>2082</v>
      </c>
      <c r="P937" s="15" t="s">
        <v>2442</v>
      </c>
      <c r="Q937" s="25" t="s">
        <v>2084</v>
      </c>
      <c r="R937" s="25" t="s">
        <v>2437</v>
      </c>
      <c r="S937" s="73" t="s">
        <v>2166</v>
      </c>
    </row>
    <row r="938" spans="1:19" x14ac:dyDescent="0.2">
      <c r="A938" s="1">
        <v>923</v>
      </c>
      <c r="B938" s="1" t="s">
        <v>718</v>
      </c>
      <c r="C938" s="1" t="s">
        <v>2446</v>
      </c>
      <c r="D938" s="11" t="s">
        <v>717</v>
      </c>
      <c r="E938" s="35" t="s">
        <v>864</v>
      </c>
      <c r="F938" s="67" t="s">
        <v>921</v>
      </c>
      <c r="G938" s="24" t="s">
        <v>1949</v>
      </c>
      <c r="H938" s="16">
        <v>50</v>
      </c>
      <c r="I938" s="25">
        <v>4</v>
      </c>
      <c r="J938" s="56">
        <v>4850</v>
      </c>
      <c r="K938" s="15">
        <v>2350</v>
      </c>
      <c r="L938" s="24" t="s">
        <v>2051</v>
      </c>
      <c r="M938" s="24" t="s">
        <v>2020</v>
      </c>
      <c r="N938" s="1" t="s">
        <v>2013</v>
      </c>
      <c r="O938" s="15" t="s">
        <v>2082</v>
      </c>
      <c r="P938" s="15" t="s">
        <v>2442</v>
      </c>
      <c r="Q938" s="25" t="s">
        <v>2083</v>
      </c>
      <c r="R938" s="25" t="s">
        <v>2435</v>
      </c>
      <c r="S938" s="73" t="s">
        <v>2367</v>
      </c>
    </row>
    <row r="939" spans="1:19" x14ac:dyDescent="0.2">
      <c r="A939" s="1">
        <v>924</v>
      </c>
      <c r="B939" s="1" t="s">
        <v>719</v>
      </c>
      <c r="C939" s="1" t="s">
        <v>2446</v>
      </c>
      <c r="D939" s="11" t="s">
        <v>2719</v>
      </c>
      <c r="E939" s="35" t="s">
        <v>822</v>
      </c>
      <c r="F939" s="67" t="s">
        <v>922</v>
      </c>
      <c r="G939" s="24" t="s">
        <v>1950</v>
      </c>
      <c r="H939" s="16">
        <v>39</v>
      </c>
      <c r="I939" s="25">
        <v>1</v>
      </c>
      <c r="J939" s="56">
        <v>4010</v>
      </c>
      <c r="K939" s="15">
        <f>1400</f>
        <v>1400</v>
      </c>
      <c r="L939" s="24" t="s">
        <v>2050</v>
      </c>
      <c r="M939" s="24" t="s">
        <v>2024</v>
      </c>
      <c r="N939" s="1" t="s">
        <v>2013</v>
      </c>
      <c r="O939" s="15" t="s">
        <v>2082</v>
      </c>
      <c r="P939" s="15" t="s">
        <v>2442</v>
      </c>
      <c r="Q939" s="25" t="s">
        <v>2086</v>
      </c>
      <c r="R939" s="25" t="s">
        <v>2436</v>
      </c>
      <c r="S939" s="73" t="s">
        <v>2368</v>
      </c>
    </row>
    <row r="940" spans="1:19" x14ac:dyDescent="0.2">
      <c r="A940" s="1">
        <v>925</v>
      </c>
      <c r="B940" s="1" t="s">
        <v>335</v>
      </c>
      <c r="C940" s="1" t="s">
        <v>2446</v>
      </c>
      <c r="D940" s="11" t="s">
        <v>2554</v>
      </c>
      <c r="E940" s="35" t="s">
        <v>863</v>
      </c>
      <c r="F940" s="67" t="s">
        <v>923</v>
      </c>
      <c r="G940" s="24" t="s">
        <v>1951</v>
      </c>
      <c r="H940" s="16">
        <v>31</v>
      </c>
      <c r="I940" s="25">
        <v>5</v>
      </c>
      <c r="J940" s="56">
        <v>3200</v>
      </c>
      <c r="K940" s="15">
        <v>1400</v>
      </c>
      <c r="L940" s="24" t="s">
        <v>2049</v>
      </c>
      <c r="M940" s="24" t="s">
        <v>2016</v>
      </c>
      <c r="N940" s="1" t="s">
        <v>2013</v>
      </c>
      <c r="O940" s="15" t="s">
        <v>2082</v>
      </c>
      <c r="P940" s="15" t="s">
        <v>2442</v>
      </c>
      <c r="Q940" s="25" t="s">
        <v>2083</v>
      </c>
      <c r="R940" s="25" t="s">
        <v>2434</v>
      </c>
      <c r="S940" s="73" t="s">
        <v>2380</v>
      </c>
    </row>
    <row r="941" spans="1:19" x14ac:dyDescent="0.2">
      <c r="A941" s="1">
        <v>926</v>
      </c>
      <c r="B941" s="1" t="s">
        <v>721</v>
      </c>
      <c r="C941" s="1" t="s">
        <v>2446</v>
      </c>
      <c r="D941" s="11" t="s">
        <v>720</v>
      </c>
      <c r="E941" s="35" t="s">
        <v>864</v>
      </c>
      <c r="F941" s="67" t="s">
        <v>924</v>
      </c>
      <c r="G941" s="24" t="s">
        <v>1952</v>
      </c>
      <c r="H941" s="16">
        <v>44</v>
      </c>
      <c r="I941" s="25">
        <v>3</v>
      </c>
      <c r="J941" s="56">
        <v>5930</v>
      </c>
      <c r="K941" s="15">
        <v>3430</v>
      </c>
      <c r="L941" s="24" t="s">
        <v>2042</v>
      </c>
      <c r="M941" s="24" t="s">
        <v>2014</v>
      </c>
      <c r="N941" s="1" t="s">
        <v>2013</v>
      </c>
      <c r="O941" s="15" t="s">
        <v>2082</v>
      </c>
      <c r="P941" s="15" t="s">
        <v>2442</v>
      </c>
      <c r="Q941" s="25" t="s">
        <v>2083</v>
      </c>
      <c r="R941" s="25" t="s">
        <v>2437</v>
      </c>
      <c r="S941" s="73" t="s">
        <v>2263</v>
      </c>
    </row>
    <row r="942" spans="1:19" x14ac:dyDescent="0.2">
      <c r="A942" s="1">
        <v>927</v>
      </c>
      <c r="B942" s="1" t="s">
        <v>51</v>
      </c>
      <c r="C942" s="1" t="s">
        <v>2446</v>
      </c>
      <c r="D942" s="11" t="s">
        <v>2720</v>
      </c>
      <c r="E942" s="35" t="s">
        <v>822</v>
      </c>
      <c r="F942" s="67" t="s">
        <v>925</v>
      </c>
      <c r="G942" s="24" t="s">
        <v>1953</v>
      </c>
      <c r="H942" s="16">
        <v>26</v>
      </c>
      <c r="I942" s="25">
        <v>1</v>
      </c>
      <c r="J942" s="56">
        <v>6060</v>
      </c>
      <c r="K942" s="15">
        <v>4000</v>
      </c>
      <c r="L942" s="24" t="s">
        <v>2048</v>
      </c>
      <c r="M942" s="24" t="s">
        <v>2014</v>
      </c>
      <c r="N942" s="1" t="s">
        <v>2013</v>
      </c>
      <c r="O942" s="15" t="s">
        <v>2082</v>
      </c>
      <c r="P942" s="15" t="s">
        <v>2442</v>
      </c>
      <c r="Q942" s="25" t="s">
        <v>2083</v>
      </c>
      <c r="R942" s="25" t="s">
        <v>2435</v>
      </c>
      <c r="S942" s="73" t="s">
        <v>2300</v>
      </c>
    </row>
    <row r="943" spans="1:19" x14ac:dyDescent="0.2">
      <c r="A943" s="1">
        <v>928</v>
      </c>
      <c r="B943" s="1" t="s">
        <v>35</v>
      </c>
      <c r="C943" s="1" t="s">
        <v>2446</v>
      </c>
      <c r="D943" s="11" t="s">
        <v>2721</v>
      </c>
      <c r="E943" s="35" t="s">
        <v>863</v>
      </c>
      <c r="F943" s="69" t="s">
        <v>904</v>
      </c>
      <c r="G943" s="24" t="s">
        <v>1954</v>
      </c>
      <c r="H943" s="16">
        <v>48</v>
      </c>
      <c r="I943" s="25">
        <v>2</v>
      </c>
      <c r="J943" s="56">
        <v>4490</v>
      </c>
      <c r="K943" s="15">
        <v>2490</v>
      </c>
      <c r="L943" s="24" t="s">
        <v>2034</v>
      </c>
      <c r="M943" s="24" t="s">
        <v>2016</v>
      </c>
      <c r="N943" s="1" t="s">
        <v>2013</v>
      </c>
      <c r="O943" s="15" t="s">
        <v>2082</v>
      </c>
      <c r="P943" s="15" t="s">
        <v>2442</v>
      </c>
      <c r="Q943" s="25" t="s">
        <v>2084</v>
      </c>
      <c r="R943" s="25" t="s">
        <v>2434</v>
      </c>
      <c r="S943" s="73" t="s">
        <v>2389</v>
      </c>
    </row>
    <row r="944" spans="1:19" x14ac:dyDescent="0.2">
      <c r="A944" s="1">
        <v>928</v>
      </c>
      <c r="B944" s="1" t="s">
        <v>290</v>
      </c>
      <c r="C944" s="1" t="s">
        <v>2446</v>
      </c>
      <c r="D944" s="11" t="s">
        <v>468</v>
      </c>
      <c r="E944" s="35" t="s">
        <v>822</v>
      </c>
      <c r="F944" s="66" t="s">
        <v>926</v>
      </c>
      <c r="G944" s="24" t="s">
        <v>1955</v>
      </c>
      <c r="H944" s="16">
        <v>53</v>
      </c>
      <c r="I944" s="25">
        <v>4</v>
      </c>
      <c r="J944" s="56">
        <v>4250</v>
      </c>
      <c r="K944" s="15">
        <v>2250</v>
      </c>
      <c r="L944" s="24" t="s">
        <v>2031</v>
      </c>
      <c r="M944" s="24" t="s">
        <v>2016</v>
      </c>
      <c r="N944" s="1" t="s">
        <v>2013</v>
      </c>
      <c r="O944" s="15" t="s">
        <v>2082</v>
      </c>
      <c r="P944" s="15" t="s">
        <v>2442</v>
      </c>
      <c r="Q944" s="25" t="s">
        <v>2087</v>
      </c>
      <c r="R944" s="25" t="s">
        <v>2436</v>
      </c>
      <c r="S944" s="73" t="s">
        <v>2164</v>
      </c>
    </row>
    <row r="945" spans="1:19" x14ac:dyDescent="0.2">
      <c r="A945" s="1">
        <v>929</v>
      </c>
      <c r="B945" s="1" t="s">
        <v>722</v>
      </c>
      <c r="C945" s="1" t="s">
        <v>2446</v>
      </c>
      <c r="D945" s="11" t="s">
        <v>2722</v>
      </c>
      <c r="E945" s="35" t="s">
        <v>863</v>
      </c>
      <c r="F945" s="66" t="s">
        <v>927</v>
      </c>
      <c r="G945" s="24" t="s">
        <v>1956</v>
      </c>
      <c r="H945" s="16">
        <v>30</v>
      </c>
      <c r="I945" s="25">
        <v>5</v>
      </c>
      <c r="J945" s="56">
        <v>950</v>
      </c>
      <c r="K945" s="15">
        <v>300</v>
      </c>
      <c r="L945" s="24" t="s">
        <v>2015</v>
      </c>
      <c r="M945" s="24" t="s">
        <v>2014</v>
      </c>
      <c r="N945" s="1" t="s">
        <v>2013</v>
      </c>
      <c r="O945" s="15" t="s">
        <v>2082</v>
      </c>
      <c r="P945" s="15" t="s">
        <v>2442</v>
      </c>
      <c r="Q945" s="25" t="s">
        <v>2090</v>
      </c>
      <c r="R945" s="25" t="s">
        <v>2437</v>
      </c>
      <c r="S945" s="73" t="s">
        <v>2238</v>
      </c>
    </row>
    <row r="946" spans="1:19" x14ac:dyDescent="0.2">
      <c r="A946" s="1">
        <v>930</v>
      </c>
      <c r="B946" s="1" t="s">
        <v>724</v>
      </c>
      <c r="C946" s="1" t="s">
        <v>2446</v>
      </c>
      <c r="D946" s="11" t="s">
        <v>723</v>
      </c>
      <c r="E946" s="35" t="s">
        <v>864</v>
      </c>
      <c r="F946" s="67" t="s">
        <v>892</v>
      </c>
      <c r="G946" s="24" t="s">
        <v>1957</v>
      </c>
      <c r="H946" s="16">
        <v>37</v>
      </c>
      <c r="I946" s="25">
        <v>2</v>
      </c>
      <c r="J946" s="56">
        <v>5930</v>
      </c>
      <c r="K946" s="15">
        <v>3050</v>
      </c>
      <c r="L946" s="24" t="s">
        <v>2047</v>
      </c>
      <c r="M946" s="24" t="s">
        <v>2024</v>
      </c>
      <c r="N946" s="1" t="s">
        <v>2013</v>
      </c>
      <c r="O946" s="15" t="s">
        <v>2082</v>
      </c>
      <c r="P946" s="15" t="s">
        <v>2442</v>
      </c>
      <c r="Q946" s="25" t="s">
        <v>2090</v>
      </c>
      <c r="R946" s="25" t="s">
        <v>2435</v>
      </c>
      <c r="S946" s="73" t="s">
        <v>2223</v>
      </c>
    </row>
    <row r="947" spans="1:19" x14ac:dyDescent="0.2">
      <c r="A947" s="1">
        <v>931</v>
      </c>
      <c r="B947" s="1" t="s">
        <v>842</v>
      </c>
      <c r="C947" s="1" t="s">
        <v>2446</v>
      </c>
      <c r="D947" s="11" t="s">
        <v>2723</v>
      </c>
      <c r="E947" s="35" t="s">
        <v>823</v>
      </c>
      <c r="F947" s="67" t="s">
        <v>876</v>
      </c>
      <c r="G947" s="24" t="s">
        <v>1958</v>
      </c>
      <c r="H947" s="16">
        <v>42</v>
      </c>
      <c r="I947" s="25">
        <v>3</v>
      </c>
      <c r="J947" s="56">
        <v>1000</v>
      </c>
      <c r="K947" s="15"/>
      <c r="L947" s="24" t="s">
        <v>2041</v>
      </c>
      <c r="M947" s="24" t="s">
        <v>2016</v>
      </c>
      <c r="N947" s="1" t="s">
        <v>2013</v>
      </c>
      <c r="O947" s="15" t="s">
        <v>2082</v>
      </c>
      <c r="P947" s="15" t="s">
        <v>2442</v>
      </c>
      <c r="Q947" s="25" t="s">
        <v>2087</v>
      </c>
      <c r="R947" s="25" t="s">
        <v>2436</v>
      </c>
      <c r="S947" s="73" t="s">
        <v>2113</v>
      </c>
    </row>
    <row r="948" spans="1:19" x14ac:dyDescent="0.2">
      <c r="A948" s="1">
        <v>941</v>
      </c>
      <c r="B948" s="1" t="s">
        <v>725</v>
      </c>
      <c r="C948" s="1" t="s">
        <v>2446</v>
      </c>
      <c r="D948" s="1" t="s">
        <v>2724</v>
      </c>
      <c r="E948" s="35" t="s">
        <v>823</v>
      </c>
      <c r="F948" s="67" t="s">
        <v>885</v>
      </c>
      <c r="G948" s="24" t="s">
        <v>1959</v>
      </c>
      <c r="H948" s="16">
        <v>24</v>
      </c>
      <c r="I948" s="25">
        <v>1</v>
      </c>
      <c r="J948" s="56">
        <v>4370</v>
      </c>
      <c r="K948" s="15">
        <v>1330</v>
      </c>
      <c r="L948" s="24" t="s">
        <v>2039</v>
      </c>
      <c r="M948" s="24" t="s">
        <v>2014</v>
      </c>
      <c r="N948" s="1" t="s">
        <v>2013</v>
      </c>
      <c r="O948" s="15" t="s">
        <v>2082</v>
      </c>
      <c r="P948" s="15" t="s">
        <v>2442</v>
      </c>
      <c r="Q948" s="25" t="s">
        <v>2086</v>
      </c>
      <c r="R948" s="25" t="s">
        <v>2434</v>
      </c>
      <c r="S948" s="73" t="s">
        <v>2279</v>
      </c>
    </row>
    <row r="949" spans="1:19" x14ac:dyDescent="0.2">
      <c r="A949" s="1">
        <v>942</v>
      </c>
      <c r="B949" s="1" t="s">
        <v>726</v>
      </c>
      <c r="C949" s="1" t="s">
        <v>2446</v>
      </c>
      <c r="D949" s="1" t="s">
        <v>2725</v>
      </c>
      <c r="E949" s="35" t="s">
        <v>823</v>
      </c>
      <c r="F949" s="67" t="s">
        <v>893</v>
      </c>
      <c r="G949" s="24" t="s">
        <v>1960</v>
      </c>
      <c r="H949" s="16">
        <v>57</v>
      </c>
      <c r="I949" s="25">
        <v>4</v>
      </c>
      <c r="J949" s="56">
        <f>3250+550</f>
        <v>3800</v>
      </c>
      <c r="K949" s="15">
        <f>1500+450</f>
        <v>1950</v>
      </c>
      <c r="L949" s="24" t="s">
        <v>2045</v>
      </c>
      <c r="M949" s="24" t="s">
        <v>2014</v>
      </c>
      <c r="N949" s="1" t="s">
        <v>2013</v>
      </c>
      <c r="O949" s="15" t="s">
        <v>2082</v>
      </c>
      <c r="P949" s="15" t="s">
        <v>2442</v>
      </c>
      <c r="Q949" s="25" t="s">
        <v>2083</v>
      </c>
      <c r="R949" s="25" t="s">
        <v>2437</v>
      </c>
      <c r="S949" s="73" t="s">
        <v>2100</v>
      </c>
    </row>
    <row r="950" spans="1:19" x14ac:dyDescent="0.2">
      <c r="A950" s="1">
        <v>943</v>
      </c>
      <c r="B950" s="1" t="s">
        <v>728</v>
      </c>
      <c r="C950" s="1" t="s">
        <v>2446</v>
      </c>
      <c r="D950" s="1" t="s">
        <v>727</v>
      </c>
      <c r="E950" s="35" t="s">
        <v>863</v>
      </c>
      <c r="F950" s="67" t="s">
        <v>894</v>
      </c>
      <c r="G950" s="24" t="s">
        <v>1961</v>
      </c>
      <c r="H950" s="16">
        <v>35</v>
      </c>
      <c r="I950" s="25">
        <v>5</v>
      </c>
      <c r="J950" s="56">
        <v>7200</v>
      </c>
      <c r="K950" s="15">
        <v>2690</v>
      </c>
      <c r="L950" s="24" t="s">
        <v>2026</v>
      </c>
      <c r="M950" s="24" t="s">
        <v>2016</v>
      </c>
      <c r="N950" s="1" t="s">
        <v>2013</v>
      </c>
      <c r="O950" s="15" t="s">
        <v>2082</v>
      </c>
      <c r="P950" s="15" t="s">
        <v>2442</v>
      </c>
      <c r="Q950" s="25" t="s">
        <v>2084</v>
      </c>
      <c r="R950" s="25" t="s">
        <v>2435</v>
      </c>
      <c r="S950" s="73" t="s">
        <v>2246</v>
      </c>
    </row>
    <row r="951" spans="1:19" x14ac:dyDescent="0.2">
      <c r="A951" s="1">
        <v>944</v>
      </c>
      <c r="B951" s="1" t="s">
        <v>730</v>
      </c>
      <c r="C951" s="1" t="s">
        <v>2446</v>
      </c>
      <c r="D951" s="1" t="s">
        <v>729</v>
      </c>
      <c r="E951" s="35" t="s">
        <v>863</v>
      </c>
      <c r="F951" s="66" t="s">
        <v>25</v>
      </c>
      <c r="G951" s="24" t="s">
        <v>1962</v>
      </c>
      <c r="H951" s="16">
        <v>40</v>
      </c>
      <c r="I951" s="25">
        <v>3</v>
      </c>
      <c r="J951" s="56">
        <v>3820</v>
      </c>
      <c r="K951" s="15">
        <v>2100</v>
      </c>
      <c r="L951" s="24" t="s">
        <v>2026</v>
      </c>
      <c r="M951" s="24" t="s">
        <v>2020</v>
      </c>
      <c r="N951" s="1" t="s">
        <v>2013</v>
      </c>
      <c r="O951" s="15" t="s">
        <v>2082</v>
      </c>
      <c r="P951" s="15" t="s">
        <v>2442</v>
      </c>
      <c r="Q951" s="25" t="s">
        <v>2088</v>
      </c>
      <c r="R951" s="25" t="s">
        <v>2434</v>
      </c>
      <c r="S951" s="73" t="s">
        <v>2246</v>
      </c>
    </row>
    <row r="952" spans="1:19" x14ac:dyDescent="0.2">
      <c r="A952" s="1">
        <v>945</v>
      </c>
      <c r="B952" s="1" t="s">
        <v>582</v>
      </c>
      <c r="C952" s="1" t="s">
        <v>2446</v>
      </c>
      <c r="D952" s="1" t="s">
        <v>731</v>
      </c>
      <c r="E952" s="35" t="s">
        <v>864</v>
      </c>
      <c r="F952" s="67" t="s">
        <v>915</v>
      </c>
      <c r="G952" s="24" t="s">
        <v>1963</v>
      </c>
      <c r="H952" s="16">
        <v>21</v>
      </c>
      <c r="I952" s="25">
        <v>2</v>
      </c>
      <c r="J952" s="56">
        <v>6300</v>
      </c>
      <c r="K952" s="15">
        <v>3300</v>
      </c>
      <c r="L952" s="24" t="s">
        <v>2017</v>
      </c>
      <c r="M952" s="24" t="s">
        <v>2016</v>
      </c>
      <c r="N952" s="1" t="s">
        <v>2013</v>
      </c>
      <c r="O952" s="15" t="s">
        <v>2082</v>
      </c>
      <c r="P952" s="15" t="s">
        <v>2442</v>
      </c>
      <c r="Q952" s="25" t="s">
        <v>2086</v>
      </c>
      <c r="R952" s="25" t="s">
        <v>2436</v>
      </c>
      <c r="S952" s="73" t="s">
        <v>2207</v>
      </c>
    </row>
    <row r="953" spans="1:19" x14ac:dyDescent="0.2">
      <c r="A953" s="1">
        <v>946</v>
      </c>
      <c r="B953" s="1" t="s">
        <v>732</v>
      </c>
      <c r="C953" s="1" t="s">
        <v>2446</v>
      </c>
      <c r="D953" s="1" t="s">
        <v>2726</v>
      </c>
      <c r="E953" s="35" t="s">
        <v>822</v>
      </c>
      <c r="F953" s="66" t="s">
        <v>920</v>
      </c>
      <c r="G953" s="24" t="s">
        <v>1964</v>
      </c>
      <c r="H953" s="16">
        <v>45</v>
      </c>
      <c r="I953" s="25">
        <v>4</v>
      </c>
      <c r="J953" s="56">
        <v>5400</v>
      </c>
      <c r="K953" s="15">
        <v>1500</v>
      </c>
      <c r="L953" s="24" t="s">
        <v>2044</v>
      </c>
      <c r="M953" s="24" t="s">
        <v>2020</v>
      </c>
      <c r="N953" s="1" t="s">
        <v>2013</v>
      </c>
      <c r="O953" s="15" t="s">
        <v>2082</v>
      </c>
      <c r="P953" s="15" t="s">
        <v>2442</v>
      </c>
      <c r="Q953" s="25" t="s">
        <v>2086</v>
      </c>
      <c r="R953" s="25" t="s">
        <v>2437</v>
      </c>
      <c r="S953" s="73" t="s">
        <v>2106</v>
      </c>
    </row>
    <row r="954" spans="1:19" x14ac:dyDescent="0.2">
      <c r="A954" s="1">
        <v>947</v>
      </c>
      <c r="B954" s="1" t="s">
        <v>38</v>
      </c>
      <c r="C954" s="1" t="s">
        <v>2446</v>
      </c>
      <c r="D954" s="1" t="s">
        <v>2727</v>
      </c>
      <c r="E954" s="35" t="s">
        <v>823</v>
      </c>
      <c r="F954" s="67" t="s">
        <v>921</v>
      </c>
      <c r="G954" s="24" t="s">
        <v>1965</v>
      </c>
      <c r="H954" s="16">
        <v>52</v>
      </c>
      <c r="I954" s="25">
        <v>1</v>
      </c>
      <c r="J954" s="56">
        <v>5850</v>
      </c>
      <c r="K954" s="15">
        <v>3150</v>
      </c>
      <c r="L954" s="24" t="s">
        <v>2019</v>
      </c>
      <c r="M954" s="24" t="s">
        <v>2014</v>
      </c>
      <c r="N954" s="1" t="s">
        <v>2013</v>
      </c>
      <c r="O954" s="15" t="s">
        <v>2082</v>
      </c>
      <c r="P954" s="15" t="s">
        <v>2442</v>
      </c>
      <c r="Q954" s="25" t="s">
        <v>2090</v>
      </c>
      <c r="R954" s="25" t="s">
        <v>2435</v>
      </c>
      <c r="S954" s="73" t="s">
        <v>2133</v>
      </c>
    </row>
    <row r="955" spans="1:19" x14ac:dyDescent="0.2">
      <c r="A955" s="1">
        <v>948</v>
      </c>
      <c r="B955" s="1" t="s">
        <v>734</v>
      </c>
      <c r="C955" s="1" t="s">
        <v>2446</v>
      </c>
      <c r="D955" s="1" t="s">
        <v>733</v>
      </c>
      <c r="E955" s="35" t="s">
        <v>822</v>
      </c>
      <c r="F955" s="67" t="s">
        <v>922</v>
      </c>
      <c r="G955" s="24" t="s">
        <v>1966</v>
      </c>
      <c r="H955" s="16">
        <v>23</v>
      </c>
      <c r="I955" s="25">
        <v>5</v>
      </c>
      <c r="J955" s="56">
        <v>8550</v>
      </c>
      <c r="K955" s="15">
        <f>3650+500</f>
        <v>4150</v>
      </c>
      <c r="L955" s="24" t="s">
        <v>2036</v>
      </c>
      <c r="M955" s="24" t="s">
        <v>2014</v>
      </c>
      <c r="N955" s="1" t="s">
        <v>2013</v>
      </c>
      <c r="O955" s="15" t="s">
        <v>2082</v>
      </c>
      <c r="P955" s="15" t="s">
        <v>2442</v>
      </c>
      <c r="Q955" s="25" t="s">
        <v>2084</v>
      </c>
      <c r="R955" s="25" t="s">
        <v>2436</v>
      </c>
      <c r="S955" s="73" t="s">
        <v>2094</v>
      </c>
    </row>
    <row r="956" spans="1:19" x14ac:dyDescent="0.2">
      <c r="A956" s="1">
        <v>949</v>
      </c>
      <c r="B956" s="1" t="s">
        <v>196</v>
      </c>
      <c r="C956" s="1" t="s">
        <v>2446</v>
      </c>
      <c r="D956" s="1" t="s">
        <v>2728</v>
      </c>
      <c r="E956" s="35" t="s">
        <v>828</v>
      </c>
      <c r="F956" s="67" t="s">
        <v>923</v>
      </c>
      <c r="G956" s="24" t="s">
        <v>1967</v>
      </c>
      <c r="H956" s="16">
        <v>38</v>
      </c>
      <c r="I956" s="25">
        <v>2</v>
      </c>
      <c r="J956" s="56">
        <v>2920</v>
      </c>
      <c r="K956" s="15">
        <v>1220</v>
      </c>
      <c r="L956" s="24" t="s">
        <v>2040</v>
      </c>
      <c r="M956" s="24" t="s">
        <v>2024</v>
      </c>
      <c r="N956" s="1" t="s">
        <v>2013</v>
      </c>
      <c r="O956" s="15" t="s">
        <v>2082</v>
      </c>
      <c r="P956" s="15" t="s">
        <v>2442</v>
      </c>
      <c r="Q956" s="25" t="s">
        <v>2085</v>
      </c>
      <c r="R956" s="25" t="s">
        <v>2434</v>
      </c>
      <c r="S956" s="73" t="s">
        <v>2381</v>
      </c>
    </row>
    <row r="957" spans="1:19" x14ac:dyDescent="0.2">
      <c r="A957" s="1">
        <v>950</v>
      </c>
      <c r="B957" s="1" t="s">
        <v>735</v>
      </c>
      <c r="C957" s="1" t="s">
        <v>2446</v>
      </c>
      <c r="D957" s="1" t="s">
        <v>2729</v>
      </c>
      <c r="E957" s="35" t="s">
        <v>863</v>
      </c>
      <c r="F957" s="67" t="s">
        <v>924</v>
      </c>
      <c r="G957" s="24" t="s">
        <v>1968</v>
      </c>
      <c r="H957" s="16">
        <v>41</v>
      </c>
      <c r="I957" s="25">
        <v>3</v>
      </c>
      <c r="J957" s="56">
        <v>3420</v>
      </c>
      <c r="K957" s="15">
        <v>1650</v>
      </c>
      <c r="L957" s="24" t="s">
        <v>2046</v>
      </c>
      <c r="M957" s="24" t="s">
        <v>2016</v>
      </c>
      <c r="N957" s="1" t="s">
        <v>2013</v>
      </c>
      <c r="O957" s="15" t="s">
        <v>2082</v>
      </c>
      <c r="P957" s="15" t="s">
        <v>2442</v>
      </c>
      <c r="Q957" s="25" t="s">
        <v>2084</v>
      </c>
      <c r="R957" s="25" t="s">
        <v>2437</v>
      </c>
      <c r="S957" s="73" t="s">
        <v>2351</v>
      </c>
    </row>
    <row r="958" spans="1:19" x14ac:dyDescent="0.2">
      <c r="A958" s="1">
        <v>951</v>
      </c>
      <c r="B958" s="1" t="s">
        <v>736</v>
      </c>
      <c r="C958" s="1" t="s">
        <v>2446</v>
      </c>
      <c r="D958" s="1" t="s">
        <v>2730</v>
      </c>
      <c r="E958" s="35" t="s">
        <v>828</v>
      </c>
      <c r="F958" s="67" t="s">
        <v>925</v>
      </c>
      <c r="G958" s="24" t="s">
        <v>1969</v>
      </c>
      <c r="H958" s="16">
        <v>29</v>
      </c>
      <c r="I958" s="25">
        <v>4</v>
      </c>
      <c r="J958" s="56">
        <v>2900</v>
      </c>
      <c r="K958" s="15">
        <v>920</v>
      </c>
      <c r="L958" s="24" t="s">
        <v>2045</v>
      </c>
      <c r="M958" s="24" t="s">
        <v>2014</v>
      </c>
      <c r="N958" s="1" t="s">
        <v>2013</v>
      </c>
      <c r="O958" s="15" t="s">
        <v>2082</v>
      </c>
      <c r="P958" s="15" t="s">
        <v>2442</v>
      </c>
      <c r="Q958" s="25" t="s">
        <v>2084</v>
      </c>
      <c r="R958" s="25" t="s">
        <v>2435</v>
      </c>
      <c r="S958" s="73" t="s">
        <v>2370</v>
      </c>
    </row>
    <row r="959" spans="1:19" x14ac:dyDescent="0.2">
      <c r="A959" s="1">
        <v>952</v>
      </c>
      <c r="B959" s="1" t="s">
        <v>738</v>
      </c>
      <c r="C959" s="1" t="s">
        <v>2446</v>
      </c>
      <c r="D959" s="1" t="s">
        <v>737</v>
      </c>
      <c r="E959" s="35" t="s">
        <v>822</v>
      </c>
      <c r="F959" s="69" t="s">
        <v>904</v>
      </c>
      <c r="G959" s="24" t="s">
        <v>1970</v>
      </c>
      <c r="H959" s="16">
        <v>60</v>
      </c>
      <c r="I959" s="25">
        <v>1</v>
      </c>
      <c r="J959" s="56">
        <f>3550+550</f>
        <v>4100</v>
      </c>
      <c r="K959" s="15">
        <f>1350+450</f>
        <v>1800</v>
      </c>
      <c r="L959" s="24" t="s">
        <v>2045</v>
      </c>
      <c r="M959" s="24" t="s">
        <v>2014</v>
      </c>
      <c r="N959" s="1" t="s">
        <v>2013</v>
      </c>
      <c r="O959" s="15" t="s">
        <v>2082</v>
      </c>
      <c r="P959" s="15" t="s">
        <v>2442</v>
      </c>
      <c r="Q959" s="25" t="s">
        <v>2086</v>
      </c>
      <c r="R959" s="25" t="s">
        <v>2434</v>
      </c>
      <c r="S959" s="73" t="s">
        <v>2224</v>
      </c>
    </row>
    <row r="960" spans="1:19" x14ac:dyDescent="0.2">
      <c r="A960" s="1">
        <v>953</v>
      </c>
      <c r="B960" s="1" t="s">
        <v>739</v>
      </c>
      <c r="C960" s="1" t="s">
        <v>2446</v>
      </c>
      <c r="D960" s="1" t="s">
        <v>2731</v>
      </c>
      <c r="E960" s="35" t="s">
        <v>822</v>
      </c>
      <c r="F960" s="67" t="s">
        <v>925</v>
      </c>
      <c r="G960" s="24" t="s">
        <v>1971</v>
      </c>
      <c r="H960" s="16">
        <v>33</v>
      </c>
      <c r="I960" s="25">
        <v>5</v>
      </c>
      <c r="J960" s="56">
        <v>4480</v>
      </c>
      <c r="K960" s="15">
        <v>2680</v>
      </c>
      <c r="L960" s="24" t="s">
        <v>2044</v>
      </c>
      <c r="M960" s="24" t="s">
        <v>2020</v>
      </c>
      <c r="N960" s="1" t="s">
        <v>2013</v>
      </c>
      <c r="O960" s="15" t="s">
        <v>2082</v>
      </c>
      <c r="P960" s="15" t="s">
        <v>2442</v>
      </c>
      <c r="Q960" s="25" t="s">
        <v>2083</v>
      </c>
      <c r="R960" s="25" t="s">
        <v>2436</v>
      </c>
      <c r="S960" s="73" t="s">
        <v>2339</v>
      </c>
    </row>
    <row r="961" spans="1:19" x14ac:dyDescent="0.2">
      <c r="A961" s="1">
        <v>954</v>
      </c>
      <c r="B961" s="1" t="s">
        <v>741</v>
      </c>
      <c r="C961" s="1" t="s">
        <v>2446</v>
      </c>
      <c r="D961" s="1" t="s">
        <v>740</v>
      </c>
      <c r="E961" s="35" t="s">
        <v>863</v>
      </c>
      <c r="F961" s="69" t="s">
        <v>904</v>
      </c>
      <c r="G961" s="24" t="s">
        <v>1972</v>
      </c>
      <c r="H961" s="16">
        <v>22</v>
      </c>
      <c r="I961" s="25">
        <v>3</v>
      </c>
      <c r="J961" s="56">
        <v>5000</v>
      </c>
      <c r="K961" s="15">
        <v>2850</v>
      </c>
      <c r="L961" s="24" t="s">
        <v>2033</v>
      </c>
      <c r="M961" s="24" t="s">
        <v>2016</v>
      </c>
      <c r="N961" s="1" t="s">
        <v>2013</v>
      </c>
      <c r="O961" s="15" t="s">
        <v>2082</v>
      </c>
      <c r="P961" s="15" t="s">
        <v>2442</v>
      </c>
      <c r="Q961" s="25" t="s">
        <v>2090</v>
      </c>
      <c r="R961" s="25" t="s">
        <v>2437</v>
      </c>
      <c r="S961" s="73" t="s">
        <v>2325</v>
      </c>
    </row>
    <row r="962" spans="1:19" x14ac:dyDescent="0.2">
      <c r="A962" s="1">
        <v>955</v>
      </c>
      <c r="B962" s="1" t="s">
        <v>743</v>
      </c>
      <c r="C962" s="1" t="s">
        <v>2446</v>
      </c>
      <c r="D962" s="1" t="s">
        <v>742</v>
      </c>
      <c r="E962" s="35" t="s">
        <v>864</v>
      </c>
      <c r="F962" s="66" t="s">
        <v>926</v>
      </c>
      <c r="G962" s="24" t="s">
        <v>1973</v>
      </c>
      <c r="H962" s="16">
        <v>47</v>
      </c>
      <c r="I962" s="25">
        <v>2</v>
      </c>
      <c r="J962" s="56">
        <v>5625</v>
      </c>
      <c r="K962" s="15">
        <v>2550</v>
      </c>
      <c r="L962" s="24" t="s">
        <v>2025</v>
      </c>
      <c r="M962" s="24" t="s">
        <v>2024</v>
      </c>
      <c r="N962" s="1" t="s">
        <v>2013</v>
      </c>
      <c r="O962" s="15" t="s">
        <v>2082</v>
      </c>
      <c r="P962" s="15" t="s">
        <v>2442</v>
      </c>
      <c r="Q962" s="25" t="s">
        <v>2084</v>
      </c>
      <c r="R962" s="25" t="s">
        <v>2435</v>
      </c>
      <c r="S962" s="73" t="s">
        <v>2242</v>
      </c>
    </row>
    <row r="963" spans="1:19" x14ac:dyDescent="0.2">
      <c r="A963" s="1">
        <v>956</v>
      </c>
      <c r="B963" s="1" t="s">
        <v>745</v>
      </c>
      <c r="C963" s="1" t="s">
        <v>2446</v>
      </c>
      <c r="D963" s="1" t="s">
        <v>744</v>
      </c>
      <c r="E963" s="35" t="s">
        <v>823</v>
      </c>
      <c r="F963" s="66" t="s">
        <v>927</v>
      </c>
      <c r="G963" s="24" t="s">
        <v>1974</v>
      </c>
      <c r="H963" s="16">
        <v>55</v>
      </c>
      <c r="I963" s="25">
        <v>1</v>
      </c>
      <c r="J963" s="56">
        <f>3650*2</f>
        <v>7300</v>
      </c>
      <c r="K963" s="15">
        <v>4000</v>
      </c>
      <c r="L963" s="24" t="s">
        <v>2015</v>
      </c>
      <c r="M963" s="24" t="s">
        <v>2014</v>
      </c>
      <c r="N963" s="1" t="s">
        <v>2013</v>
      </c>
      <c r="O963" s="15" t="s">
        <v>2082</v>
      </c>
      <c r="P963" s="15" t="s">
        <v>2442</v>
      </c>
      <c r="Q963" s="25" t="s">
        <v>2086</v>
      </c>
      <c r="R963" s="25" t="s">
        <v>2436</v>
      </c>
      <c r="S963" s="73" t="s">
        <v>2407</v>
      </c>
    </row>
    <row r="964" spans="1:19" x14ac:dyDescent="0.2">
      <c r="A964" s="1">
        <v>957</v>
      </c>
      <c r="B964" s="1" t="s">
        <v>747</v>
      </c>
      <c r="C964" s="1" t="s">
        <v>2446</v>
      </c>
      <c r="D964" s="1" t="s">
        <v>746</v>
      </c>
      <c r="E964" s="35" t="s">
        <v>823</v>
      </c>
      <c r="F964" s="66" t="s">
        <v>877</v>
      </c>
      <c r="G964" s="24" t="s">
        <v>1975</v>
      </c>
      <c r="H964" s="16">
        <v>36</v>
      </c>
      <c r="I964" s="25">
        <v>4</v>
      </c>
      <c r="J964" s="56">
        <v>4700</v>
      </c>
      <c r="K964" s="15">
        <v>2200</v>
      </c>
      <c r="L964" s="24" t="s">
        <v>2043</v>
      </c>
      <c r="M964" s="24" t="s">
        <v>2016</v>
      </c>
      <c r="N964" s="1" t="s">
        <v>2013</v>
      </c>
      <c r="O964" s="15" t="s">
        <v>2082</v>
      </c>
      <c r="P964" s="15" t="s">
        <v>2442</v>
      </c>
      <c r="Q964" s="25" t="s">
        <v>2083</v>
      </c>
      <c r="R964" s="25" t="s">
        <v>2434</v>
      </c>
      <c r="S964" s="73" t="s">
        <v>2359</v>
      </c>
    </row>
    <row r="965" spans="1:19" x14ac:dyDescent="0.2">
      <c r="A965" s="1">
        <v>958</v>
      </c>
      <c r="B965" s="1" t="s">
        <v>748</v>
      </c>
      <c r="C965" s="1" t="s">
        <v>2446</v>
      </c>
      <c r="D965" s="1" t="s">
        <v>2732</v>
      </c>
      <c r="E965" s="35" t="s">
        <v>863</v>
      </c>
      <c r="F965" s="66" t="s">
        <v>878</v>
      </c>
      <c r="G965" s="24" t="s">
        <v>1976</v>
      </c>
      <c r="H965" s="16">
        <v>28</v>
      </c>
      <c r="I965" s="25">
        <v>3</v>
      </c>
      <c r="J965" s="56">
        <v>5185</v>
      </c>
      <c r="K965" s="15">
        <v>2000</v>
      </c>
      <c r="L965" s="24" t="s">
        <v>2033</v>
      </c>
      <c r="M965" s="24" t="s">
        <v>2016</v>
      </c>
      <c r="N965" s="1" t="s">
        <v>2013</v>
      </c>
      <c r="O965" s="15" t="s">
        <v>2082</v>
      </c>
      <c r="P965" s="15" t="s">
        <v>2442</v>
      </c>
      <c r="Q965" s="25" t="s">
        <v>2087</v>
      </c>
      <c r="R965" s="25" t="s">
        <v>2437</v>
      </c>
      <c r="S965" s="73" t="s">
        <v>2126</v>
      </c>
    </row>
    <row r="966" spans="1:19" x14ac:dyDescent="0.2">
      <c r="A966" s="1">
        <v>959</v>
      </c>
      <c r="B966" s="1" t="s">
        <v>750</v>
      </c>
      <c r="C966" s="1" t="s">
        <v>2446</v>
      </c>
      <c r="D966" s="1" t="s">
        <v>749</v>
      </c>
      <c r="E966" s="35" t="s">
        <v>822</v>
      </c>
      <c r="F966" s="66" t="s">
        <v>879</v>
      </c>
      <c r="G966" s="24" t="s">
        <v>1977</v>
      </c>
      <c r="H966" s="16">
        <v>50</v>
      </c>
      <c r="I966" s="25">
        <v>5</v>
      </c>
      <c r="J966" s="56">
        <v>7380</v>
      </c>
      <c r="K966" s="15">
        <v>4190</v>
      </c>
      <c r="L966" s="24" t="s">
        <v>2023</v>
      </c>
      <c r="M966" s="24" t="s">
        <v>2014</v>
      </c>
      <c r="N966" s="1" t="s">
        <v>2013</v>
      </c>
      <c r="O966" s="15" t="s">
        <v>2082</v>
      </c>
      <c r="P966" s="15" t="s">
        <v>2442</v>
      </c>
      <c r="Q966" s="25" t="s">
        <v>2085</v>
      </c>
      <c r="R966" s="25" t="s">
        <v>2435</v>
      </c>
      <c r="S966" s="73" t="s">
        <v>2149</v>
      </c>
    </row>
    <row r="967" spans="1:19" x14ac:dyDescent="0.2">
      <c r="A967" s="1">
        <v>960</v>
      </c>
      <c r="B967" s="1" t="s">
        <v>752</v>
      </c>
      <c r="C967" s="1" t="s">
        <v>2446</v>
      </c>
      <c r="D967" s="1" t="s">
        <v>751</v>
      </c>
      <c r="E967" s="35" t="s">
        <v>864</v>
      </c>
      <c r="F967" s="66" t="s">
        <v>880</v>
      </c>
      <c r="G967" s="24" t="s">
        <v>1978</v>
      </c>
      <c r="H967" s="16">
        <v>39</v>
      </c>
      <c r="I967" s="25">
        <v>5</v>
      </c>
      <c r="J967" s="56">
        <v>6410</v>
      </c>
      <c r="K967" s="15">
        <v>2550</v>
      </c>
      <c r="L967" s="24" t="s">
        <v>2042</v>
      </c>
      <c r="M967" s="24" t="s">
        <v>2014</v>
      </c>
      <c r="N967" s="1" t="s">
        <v>2013</v>
      </c>
      <c r="O967" s="15" t="s">
        <v>2082</v>
      </c>
      <c r="P967" s="15" t="s">
        <v>2442</v>
      </c>
      <c r="Q967" s="25" t="s">
        <v>2089</v>
      </c>
      <c r="R967" s="25" t="s">
        <v>2434</v>
      </c>
      <c r="S967" s="73" t="s">
        <v>2295</v>
      </c>
    </row>
    <row r="968" spans="1:19" x14ac:dyDescent="0.2">
      <c r="A968" s="1">
        <v>961</v>
      </c>
      <c r="B968" s="1" t="s">
        <v>555</v>
      </c>
      <c r="C968" s="1" t="s">
        <v>2446</v>
      </c>
      <c r="D968" s="1" t="s">
        <v>753</v>
      </c>
      <c r="E968" s="35" t="s">
        <v>863</v>
      </c>
      <c r="F968" s="66" t="s">
        <v>878</v>
      </c>
      <c r="G968" s="24" t="s">
        <v>1979</v>
      </c>
      <c r="H968" s="16">
        <v>31</v>
      </c>
      <c r="I968" s="25">
        <v>3</v>
      </c>
      <c r="J968" s="56">
        <v>4000</v>
      </c>
      <c r="K968" s="15">
        <v>1950</v>
      </c>
      <c r="L968" s="24" t="s">
        <v>2015</v>
      </c>
      <c r="M968" s="24" t="s">
        <v>2014</v>
      </c>
      <c r="N968" s="1" t="s">
        <v>2013</v>
      </c>
      <c r="O968" s="15" t="s">
        <v>2082</v>
      </c>
      <c r="P968" s="15" t="s">
        <v>2442</v>
      </c>
      <c r="Q968" s="25" t="s">
        <v>2085</v>
      </c>
      <c r="R968" s="25" t="s">
        <v>2436</v>
      </c>
      <c r="S968" s="73" t="s">
        <v>2280</v>
      </c>
    </row>
    <row r="969" spans="1:19" x14ac:dyDescent="0.2">
      <c r="A969" s="1">
        <v>962</v>
      </c>
      <c r="B969" s="1" t="s">
        <v>226</v>
      </c>
      <c r="C969" s="1" t="s">
        <v>2446</v>
      </c>
      <c r="D969" s="1" t="s">
        <v>754</v>
      </c>
      <c r="E969" s="35" t="s">
        <v>864</v>
      </c>
      <c r="F969" s="66" t="s">
        <v>879</v>
      </c>
      <c r="G969" s="24" t="s">
        <v>1980</v>
      </c>
      <c r="H969" s="16">
        <v>44</v>
      </c>
      <c r="I969" s="25">
        <v>2</v>
      </c>
      <c r="J969" s="56">
        <v>3800</v>
      </c>
      <c r="K969" s="15">
        <v>2000</v>
      </c>
      <c r="L969" s="24" t="s">
        <v>2033</v>
      </c>
      <c r="M969" s="24" t="s">
        <v>2016</v>
      </c>
      <c r="N969" s="1" t="s">
        <v>2013</v>
      </c>
      <c r="O969" s="15" t="s">
        <v>2082</v>
      </c>
      <c r="P969" s="15" t="s">
        <v>2442</v>
      </c>
      <c r="Q969" s="25" t="s">
        <v>2084</v>
      </c>
      <c r="R969" s="25" t="s">
        <v>2437</v>
      </c>
      <c r="S969" s="73" t="s">
        <v>2179</v>
      </c>
    </row>
    <row r="970" spans="1:19" x14ac:dyDescent="0.2">
      <c r="A970" s="1">
        <v>963</v>
      </c>
      <c r="B970" s="1" t="s">
        <v>290</v>
      </c>
      <c r="C970" s="1" t="s">
        <v>2446</v>
      </c>
      <c r="D970" s="1" t="s">
        <v>755</v>
      </c>
      <c r="E970" s="35" t="s">
        <v>822</v>
      </c>
      <c r="F970" s="66" t="s">
        <v>880</v>
      </c>
      <c r="G970" s="24" t="s">
        <v>1981</v>
      </c>
      <c r="H970" s="16">
        <v>26</v>
      </c>
      <c r="I970" s="25">
        <v>4</v>
      </c>
      <c r="J970" s="56">
        <v>3910</v>
      </c>
      <c r="K970" s="15">
        <v>1930</v>
      </c>
      <c r="L970" s="24" t="s">
        <v>2041</v>
      </c>
      <c r="M970" s="24" t="s">
        <v>2014</v>
      </c>
      <c r="N970" s="1" t="s">
        <v>2013</v>
      </c>
      <c r="O970" s="15" t="s">
        <v>2082</v>
      </c>
      <c r="P970" s="15" t="s">
        <v>2442</v>
      </c>
      <c r="Q970" s="25" t="s">
        <v>2090</v>
      </c>
      <c r="R970" s="25" t="s">
        <v>2435</v>
      </c>
      <c r="S970" s="73" t="s">
        <v>2386</v>
      </c>
    </row>
    <row r="971" spans="1:19" x14ac:dyDescent="0.2">
      <c r="A971" s="1">
        <v>964</v>
      </c>
      <c r="B971" s="1" t="s">
        <v>757</v>
      </c>
      <c r="C971" s="1" t="s">
        <v>2446</v>
      </c>
      <c r="D971" s="1" t="s">
        <v>756</v>
      </c>
      <c r="E971" s="35" t="s">
        <v>863</v>
      </c>
      <c r="F971" s="66" t="s">
        <v>881</v>
      </c>
      <c r="G971" s="24" t="s">
        <v>1982</v>
      </c>
      <c r="H971" s="16">
        <v>48</v>
      </c>
      <c r="I971" s="25">
        <v>1</v>
      </c>
      <c r="J971" s="56">
        <v>3150</v>
      </c>
      <c r="K971" s="15">
        <v>1680</v>
      </c>
      <c r="L971" s="24" t="s">
        <v>2040</v>
      </c>
      <c r="M971" s="24" t="s">
        <v>2024</v>
      </c>
      <c r="N971" s="1" t="s">
        <v>2013</v>
      </c>
      <c r="O971" s="15" t="s">
        <v>2082</v>
      </c>
      <c r="P971" s="15" t="s">
        <v>2442</v>
      </c>
      <c r="Q971" s="25" t="s">
        <v>2088</v>
      </c>
      <c r="R971" s="25" t="s">
        <v>2436</v>
      </c>
      <c r="S971" s="73" t="s">
        <v>2159</v>
      </c>
    </row>
    <row r="972" spans="1:19" x14ac:dyDescent="0.2">
      <c r="A972" s="1">
        <v>965</v>
      </c>
      <c r="B972" s="1" t="s">
        <v>759</v>
      </c>
      <c r="C972" s="1" t="s">
        <v>2446</v>
      </c>
      <c r="D972" s="1" t="s">
        <v>758</v>
      </c>
      <c r="E972" s="35" t="s">
        <v>864</v>
      </c>
      <c r="F972" s="66" t="s">
        <v>882</v>
      </c>
      <c r="G972" s="24" t="s">
        <v>1983</v>
      </c>
      <c r="H972" s="16">
        <v>53</v>
      </c>
      <c r="I972" s="25">
        <v>5</v>
      </c>
      <c r="J972" s="56">
        <v>2770</v>
      </c>
      <c r="K972" s="15">
        <v>1370</v>
      </c>
      <c r="L972" s="24" t="s">
        <v>2029</v>
      </c>
      <c r="M972" s="24" t="s">
        <v>2016</v>
      </c>
      <c r="N972" s="1" t="s">
        <v>2013</v>
      </c>
      <c r="O972" s="15" t="s">
        <v>2082</v>
      </c>
      <c r="P972" s="15" t="s">
        <v>2442</v>
      </c>
      <c r="Q972" s="25" t="s">
        <v>2089</v>
      </c>
      <c r="R972" s="25" t="s">
        <v>2434</v>
      </c>
      <c r="S972" s="73" t="s">
        <v>2431</v>
      </c>
    </row>
    <row r="973" spans="1:19" x14ac:dyDescent="0.2">
      <c r="A973" s="1">
        <v>966</v>
      </c>
      <c r="B973" s="1" t="s">
        <v>38</v>
      </c>
      <c r="C973" s="1" t="s">
        <v>2446</v>
      </c>
      <c r="D973" s="1" t="s">
        <v>2733</v>
      </c>
      <c r="E973" s="35" t="s">
        <v>822</v>
      </c>
      <c r="F973" s="66" t="s">
        <v>881</v>
      </c>
      <c r="G973" s="24" t="s">
        <v>1984</v>
      </c>
      <c r="H973" s="16">
        <v>30</v>
      </c>
      <c r="I973" s="25">
        <v>2</v>
      </c>
      <c r="J973" s="56">
        <v>3480</v>
      </c>
      <c r="K973" s="15">
        <v>1240</v>
      </c>
      <c r="L973" s="24" t="s">
        <v>2030</v>
      </c>
      <c r="M973" s="24" t="s">
        <v>2024</v>
      </c>
      <c r="N973" s="1" t="s">
        <v>2013</v>
      </c>
      <c r="O973" s="15" t="s">
        <v>2082</v>
      </c>
      <c r="P973" s="15" t="s">
        <v>2442</v>
      </c>
      <c r="Q973" s="25" t="s">
        <v>2083</v>
      </c>
      <c r="R973" s="25" t="s">
        <v>2437</v>
      </c>
      <c r="S973" s="73" t="s">
        <v>2283</v>
      </c>
    </row>
    <row r="974" spans="1:19" x14ac:dyDescent="0.2">
      <c r="A974" s="1">
        <v>967</v>
      </c>
      <c r="B974" s="1" t="s">
        <v>138</v>
      </c>
      <c r="C974" s="1" t="s">
        <v>2446</v>
      </c>
      <c r="D974" s="1" t="s">
        <v>456</v>
      </c>
      <c r="E974" s="35" t="s">
        <v>863</v>
      </c>
      <c r="F974" s="66" t="s">
        <v>883</v>
      </c>
      <c r="G974" s="24" t="s">
        <v>1985</v>
      </c>
      <c r="H974" s="16">
        <v>37</v>
      </c>
      <c r="I974" s="25">
        <v>3</v>
      </c>
      <c r="J974" s="56">
        <v>6840</v>
      </c>
      <c r="K974" s="15">
        <v>3700</v>
      </c>
      <c r="L974" s="24" t="s">
        <v>2027</v>
      </c>
      <c r="M974" s="24" t="s">
        <v>2014</v>
      </c>
      <c r="N974" s="1" t="s">
        <v>2013</v>
      </c>
      <c r="O974" s="15" t="s">
        <v>2082</v>
      </c>
      <c r="P974" s="15" t="s">
        <v>2442</v>
      </c>
      <c r="Q974" s="25" t="s">
        <v>2087</v>
      </c>
      <c r="R974" s="25" t="s">
        <v>2435</v>
      </c>
      <c r="S974" s="73" t="s">
        <v>2140</v>
      </c>
    </row>
    <row r="975" spans="1:19" x14ac:dyDescent="0.2">
      <c r="A975" s="1">
        <v>968</v>
      </c>
      <c r="B975" s="1" t="s">
        <v>760</v>
      </c>
      <c r="C975" s="1" t="s">
        <v>2446</v>
      </c>
      <c r="D975" s="1" t="s">
        <v>2734</v>
      </c>
      <c r="E975" s="35" t="s">
        <v>864</v>
      </c>
      <c r="F975" s="66" t="s">
        <v>884</v>
      </c>
      <c r="G975" s="24" t="s">
        <v>1986</v>
      </c>
      <c r="H975" s="16">
        <v>42</v>
      </c>
      <c r="I975" s="25">
        <v>4</v>
      </c>
      <c r="J975" s="56">
        <v>2350</v>
      </c>
      <c r="K975" s="15">
        <v>850</v>
      </c>
      <c r="L975" s="24" t="s">
        <v>2030</v>
      </c>
      <c r="M975" s="24" t="s">
        <v>2024</v>
      </c>
      <c r="N975" s="1" t="s">
        <v>2013</v>
      </c>
      <c r="O975" s="15" t="s">
        <v>2082</v>
      </c>
      <c r="P975" s="15" t="s">
        <v>2442</v>
      </c>
      <c r="Q975" s="25" t="s">
        <v>2090</v>
      </c>
      <c r="R975" s="25" t="s">
        <v>2434</v>
      </c>
      <c r="S975" s="73" t="s">
        <v>2356</v>
      </c>
    </row>
    <row r="976" spans="1:19" x14ac:dyDescent="0.2">
      <c r="A976" s="1">
        <v>969</v>
      </c>
      <c r="B976" s="1" t="s">
        <v>762</v>
      </c>
      <c r="C976" s="1" t="s">
        <v>2446</v>
      </c>
      <c r="D976" s="1" t="s">
        <v>761</v>
      </c>
      <c r="E976" s="35" t="s">
        <v>822</v>
      </c>
      <c r="F976" s="67" t="s">
        <v>931</v>
      </c>
      <c r="G976" s="24" t="s">
        <v>1987</v>
      </c>
      <c r="H976" s="16">
        <v>24</v>
      </c>
      <c r="I976" s="25">
        <v>1</v>
      </c>
      <c r="J976" s="56">
        <v>9470</v>
      </c>
      <c r="K976" s="15">
        <f>5290+550</f>
        <v>5840</v>
      </c>
      <c r="L976" s="24" t="s">
        <v>2039</v>
      </c>
      <c r="M976" s="24" t="s">
        <v>2014</v>
      </c>
      <c r="N976" s="1" t="s">
        <v>2013</v>
      </c>
      <c r="O976" s="15" t="s">
        <v>2082</v>
      </c>
      <c r="P976" s="15" t="s">
        <v>2442</v>
      </c>
      <c r="Q976" s="25" t="s">
        <v>2089</v>
      </c>
      <c r="R976" s="25" t="s">
        <v>2436</v>
      </c>
      <c r="S976" s="73" t="s">
        <v>2287</v>
      </c>
    </row>
    <row r="977" spans="1:19" x14ac:dyDescent="0.2">
      <c r="A977" s="1">
        <v>970</v>
      </c>
      <c r="B977" s="1" t="s">
        <v>764</v>
      </c>
      <c r="C977" s="1" t="s">
        <v>2446</v>
      </c>
      <c r="D977" s="1" t="s">
        <v>763</v>
      </c>
      <c r="E977" s="35" t="s">
        <v>863</v>
      </c>
      <c r="F977" s="66" t="s">
        <v>1003</v>
      </c>
      <c r="G977" s="24" t="s">
        <v>1988</v>
      </c>
      <c r="H977" s="16">
        <v>57</v>
      </c>
      <c r="I977" s="25">
        <v>5</v>
      </c>
      <c r="J977" s="56">
        <v>5250</v>
      </c>
      <c r="K977" s="15">
        <v>2300</v>
      </c>
      <c r="L977" s="24" t="s">
        <v>2019</v>
      </c>
      <c r="M977" s="24" t="s">
        <v>2014</v>
      </c>
      <c r="N977" s="1" t="s">
        <v>2013</v>
      </c>
      <c r="O977" s="15" t="s">
        <v>2082</v>
      </c>
      <c r="P977" s="15" t="s">
        <v>2442</v>
      </c>
      <c r="Q977" s="25" t="s">
        <v>2085</v>
      </c>
      <c r="R977" s="25" t="s">
        <v>2437</v>
      </c>
      <c r="S977" s="73" t="s">
        <v>2399</v>
      </c>
    </row>
    <row r="978" spans="1:19" x14ac:dyDescent="0.2">
      <c r="A978" s="1">
        <v>971</v>
      </c>
      <c r="B978" s="1" t="s">
        <v>765</v>
      </c>
      <c r="C978" s="1" t="s">
        <v>2446</v>
      </c>
      <c r="D978" s="1" t="s">
        <v>2735</v>
      </c>
      <c r="E978" s="35" t="s">
        <v>822</v>
      </c>
      <c r="F978" s="66" t="s">
        <v>1004</v>
      </c>
      <c r="G978" s="24" t="s">
        <v>1989</v>
      </c>
      <c r="H978" s="16">
        <v>35</v>
      </c>
      <c r="I978" s="25">
        <v>3</v>
      </c>
      <c r="J978" s="56">
        <v>2680</v>
      </c>
      <c r="K978" s="15">
        <f>1340+180</f>
        <v>1520</v>
      </c>
      <c r="L978" s="24" t="s">
        <v>2038</v>
      </c>
      <c r="M978" s="24" t="s">
        <v>2016</v>
      </c>
      <c r="N978" s="1" t="s">
        <v>2013</v>
      </c>
      <c r="O978" s="15" t="s">
        <v>2082</v>
      </c>
      <c r="P978" s="15" t="s">
        <v>2442</v>
      </c>
      <c r="Q978" s="25" t="s">
        <v>2088</v>
      </c>
      <c r="R978" s="25" t="s">
        <v>2435</v>
      </c>
      <c r="S978" s="73" t="s">
        <v>2409</v>
      </c>
    </row>
    <row r="979" spans="1:19" x14ac:dyDescent="0.2">
      <c r="A979" s="1">
        <v>972</v>
      </c>
      <c r="B979" s="1" t="s">
        <v>767</v>
      </c>
      <c r="C979" s="1" t="s">
        <v>2446</v>
      </c>
      <c r="D979" s="1" t="s">
        <v>766</v>
      </c>
      <c r="E979" s="35" t="s">
        <v>863</v>
      </c>
      <c r="F979" s="66" t="s">
        <v>876</v>
      </c>
      <c r="G979" s="24" t="s">
        <v>1990</v>
      </c>
      <c r="H979" s="16">
        <v>40</v>
      </c>
      <c r="I979" s="25">
        <v>2</v>
      </c>
      <c r="J979" s="56">
        <v>8320</v>
      </c>
      <c r="K979" s="15">
        <v>4270</v>
      </c>
      <c r="L979" s="24" t="s">
        <v>2037</v>
      </c>
      <c r="M979" s="24" t="s">
        <v>2014</v>
      </c>
      <c r="N979" s="1" t="s">
        <v>2013</v>
      </c>
      <c r="O979" s="15" t="s">
        <v>2082</v>
      </c>
      <c r="P979" s="15" t="s">
        <v>2442</v>
      </c>
      <c r="Q979" s="25" t="s">
        <v>2087</v>
      </c>
      <c r="R979" s="25" t="s">
        <v>2436</v>
      </c>
      <c r="S979" s="73" t="s">
        <v>2432</v>
      </c>
    </row>
    <row r="980" spans="1:19" x14ac:dyDescent="0.2">
      <c r="A980" s="1">
        <v>973</v>
      </c>
      <c r="B980" s="1" t="s">
        <v>768</v>
      </c>
      <c r="C980" s="1" t="s">
        <v>2446</v>
      </c>
      <c r="D980" s="1" t="s">
        <v>2736</v>
      </c>
      <c r="E980" s="35" t="s">
        <v>864</v>
      </c>
      <c r="F980" s="66" t="s">
        <v>25</v>
      </c>
      <c r="G980" s="24" t="s">
        <v>1991</v>
      </c>
      <c r="H980" s="16">
        <v>21</v>
      </c>
      <c r="I980" s="25">
        <v>1</v>
      </c>
      <c r="J980" s="56">
        <v>3610</v>
      </c>
      <c r="K980" s="15">
        <v>1540</v>
      </c>
      <c r="L980" s="24" t="s">
        <v>2036</v>
      </c>
      <c r="M980" s="24" t="s">
        <v>2014</v>
      </c>
      <c r="N980" s="1" t="s">
        <v>2013</v>
      </c>
      <c r="O980" s="15" t="s">
        <v>2082</v>
      </c>
      <c r="P980" s="15" t="s">
        <v>2442</v>
      </c>
      <c r="Q980" s="25" t="s">
        <v>2086</v>
      </c>
      <c r="R980" s="25" t="s">
        <v>2434</v>
      </c>
      <c r="S980" s="73" t="s">
        <v>2349</v>
      </c>
    </row>
    <row r="981" spans="1:19" x14ac:dyDescent="0.2">
      <c r="A981" s="1">
        <v>974</v>
      </c>
      <c r="B981" s="1" t="s">
        <v>181</v>
      </c>
      <c r="C981" s="1" t="s">
        <v>2446</v>
      </c>
      <c r="D981" s="1" t="s">
        <v>2737</v>
      </c>
      <c r="E981" s="35" t="s">
        <v>823</v>
      </c>
      <c r="F981" s="66" t="s">
        <v>881</v>
      </c>
      <c r="G981" s="24" t="s">
        <v>1992</v>
      </c>
      <c r="H981" s="16">
        <v>59</v>
      </c>
      <c r="I981" s="25">
        <v>4</v>
      </c>
      <c r="J981" s="56">
        <v>2820</v>
      </c>
      <c r="K981" s="15">
        <v>1320</v>
      </c>
      <c r="L981" s="24" t="s">
        <v>2035</v>
      </c>
      <c r="M981" s="24" t="s">
        <v>2016</v>
      </c>
      <c r="N981" s="1" t="s">
        <v>2013</v>
      </c>
      <c r="O981" s="15" t="s">
        <v>2082</v>
      </c>
      <c r="P981" s="15" t="s">
        <v>2442</v>
      </c>
      <c r="Q981" s="25" t="s">
        <v>2089</v>
      </c>
      <c r="R981" s="25" t="s">
        <v>2437</v>
      </c>
      <c r="S981" s="73" t="s">
        <v>2177</v>
      </c>
    </row>
    <row r="982" spans="1:19" x14ac:dyDescent="0.2">
      <c r="A982" s="1">
        <v>975</v>
      </c>
      <c r="B982" s="1" t="s">
        <v>452</v>
      </c>
      <c r="C982" s="1" t="s">
        <v>2446</v>
      </c>
      <c r="D982" s="1" t="s">
        <v>520</v>
      </c>
      <c r="E982" s="35" t="s">
        <v>864</v>
      </c>
      <c r="F982" s="66" t="s">
        <v>980</v>
      </c>
      <c r="G982" s="24" t="s">
        <v>1993</v>
      </c>
      <c r="H982" s="16">
        <v>32</v>
      </c>
      <c r="I982" s="25">
        <v>3</v>
      </c>
      <c r="J982" s="56">
        <v>3450</v>
      </c>
      <c r="K982" s="15">
        <v>1500</v>
      </c>
      <c r="L982" s="24" t="s">
        <v>2034</v>
      </c>
      <c r="M982" s="24" t="s">
        <v>2016</v>
      </c>
      <c r="N982" s="1" t="s">
        <v>2013</v>
      </c>
      <c r="O982" s="15" t="s">
        <v>2082</v>
      </c>
      <c r="P982" s="15" t="s">
        <v>2442</v>
      </c>
      <c r="Q982" s="25" t="s">
        <v>2089</v>
      </c>
      <c r="R982" s="25" t="s">
        <v>2435</v>
      </c>
      <c r="S982" s="73" t="s">
        <v>2157</v>
      </c>
    </row>
    <row r="983" spans="1:19" x14ac:dyDescent="0.2">
      <c r="A983" s="1">
        <v>976</v>
      </c>
      <c r="B983" s="1" t="s">
        <v>190</v>
      </c>
      <c r="C983" s="1" t="s">
        <v>2446</v>
      </c>
      <c r="D983" s="1" t="s">
        <v>769</v>
      </c>
      <c r="E983" s="35" t="s">
        <v>822</v>
      </c>
      <c r="F983" s="66" t="s">
        <v>976</v>
      </c>
      <c r="G983" s="24" t="s">
        <v>1994</v>
      </c>
      <c r="H983" s="16">
        <v>46</v>
      </c>
      <c r="I983" s="25">
        <v>2</v>
      </c>
      <c r="J983" s="56">
        <v>3480</v>
      </c>
      <c r="K983" s="15">
        <v>1580</v>
      </c>
      <c r="L983" s="24" t="s">
        <v>2033</v>
      </c>
      <c r="M983" s="24" t="s">
        <v>2016</v>
      </c>
      <c r="N983" s="1" t="s">
        <v>2013</v>
      </c>
      <c r="O983" s="15" t="s">
        <v>2082</v>
      </c>
      <c r="P983" s="15" t="s">
        <v>2442</v>
      </c>
      <c r="Q983" s="25" t="s">
        <v>2083</v>
      </c>
      <c r="R983" s="25" t="s">
        <v>2434</v>
      </c>
      <c r="S983" s="73" t="s">
        <v>2183</v>
      </c>
    </row>
    <row r="984" spans="1:19" x14ac:dyDescent="0.2">
      <c r="A984" s="1">
        <v>977</v>
      </c>
      <c r="B984" s="1" t="s">
        <v>771</v>
      </c>
      <c r="C984" s="1" t="s">
        <v>2446</v>
      </c>
      <c r="D984" s="1" t="s">
        <v>770</v>
      </c>
      <c r="E984" s="35" t="s">
        <v>863</v>
      </c>
      <c r="F984" s="66" t="s">
        <v>913</v>
      </c>
      <c r="G984" s="24" t="s">
        <v>1995</v>
      </c>
      <c r="H984" s="16">
        <v>54</v>
      </c>
      <c r="I984" s="25">
        <v>4</v>
      </c>
      <c r="J984" s="56">
        <v>2800</v>
      </c>
      <c r="K984" s="15">
        <v>1400</v>
      </c>
      <c r="L984" s="24" t="s">
        <v>2032</v>
      </c>
      <c r="M984" s="24" t="s">
        <v>2024</v>
      </c>
      <c r="N984" s="1" t="s">
        <v>2013</v>
      </c>
      <c r="O984" s="15" t="s">
        <v>2082</v>
      </c>
      <c r="P984" s="15" t="s">
        <v>2442</v>
      </c>
      <c r="Q984" s="25" t="s">
        <v>2085</v>
      </c>
      <c r="R984" s="25" t="s">
        <v>2436</v>
      </c>
      <c r="S984" s="73" t="s">
        <v>2126</v>
      </c>
    </row>
    <row r="985" spans="1:19" x14ac:dyDescent="0.2">
      <c r="A985" s="1">
        <v>978</v>
      </c>
      <c r="B985" s="1" t="s">
        <v>841</v>
      </c>
      <c r="C985" s="1" t="s">
        <v>2446</v>
      </c>
      <c r="D985" s="1" t="s">
        <v>2738</v>
      </c>
      <c r="E985" s="35" t="s">
        <v>864</v>
      </c>
      <c r="F985" s="66" t="s">
        <v>999</v>
      </c>
      <c r="G985" s="24" t="s">
        <v>1996</v>
      </c>
      <c r="H985" s="16">
        <v>25</v>
      </c>
      <c r="I985" s="25">
        <v>1</v>
      </c>
      <c r="J985" s="56">
        <v>3200</v>
      </c>
      <c r="K985" s="15">
        <v>1200</v>
      </c>
      <c r="L985" s="24" t="s">
        <v>2026</v>
      </c>
      <c r="M985" s="24" t="s">
        <v>2020</v>
      </c>
      <c r="N985" s="1" t="s">
        <v>2013</v>
      </c>
      <c r="O985" s="15" t="s">
        <v>2082</v>
      </c>
      <c r="P985" s="15" t="s">
        <v>2442</v>
      </c>
      <c r="Q985" s="25" t="s">
        <v>2084</v>
      </c>
      <c r="R985" s="25" t="s">
        <v>2437</v>
      </c>
      <c r="S985" s="73" t="s">
        <v>2345</v>
      </c>
    </row>
    <row r="986" spans="1:19" x14ac:dyDescent="0.2">
      <c r="A986" s="1">
        <v>979</v>
      </c>
      <c r="B986" s="1" t="s">
        <v>773</v>
      </c>
      <c r="C986" s="1" t="s">
        <v>2446</v>
      </c>
      <c r="D986" s="1" t="s">
        <v>772</v>
      </c>
      <c r="E986" s="35" t="s">
        <v>822</v>
      </c>
      <c r="F986" s="66" t="s">
        <v>998</v>
      </c>
      <c r="G986" s="24" t="s">
        <v>1997</v>
      </c>
      <c r="H986" s="16">
        <v>43</v>
      </c>
      <c r="I986" s="25">
        <v>5</v>
      </c>
      <c r="J986" s="56">
        <f>2800+350+550</f>
        <v>3700</v>
      </c>
      <c r="K986" s="15">
        <f>1100+200+450</f>
        <v>1750</v>
      </c>
      <c r="L986" s="24" t="s">
        <v>2031</v>
      </c>
      <c r="M986" s="24" t="s">
        <v>2016</v>
      </c>
      <c r="N986" s="1" t="s">
        <v>2013</v>
      </c>
      <c r="O986" s="15" t="s">
        <v>2082</v>
      </c>
      <c r="P986" s="15" t="s">
        <v>2442</v>
      </c>
      <c r="Q986" s="25" t="s">
        <v>2089</v>
      </c>
      <c r="R986" s="25" t="s">
        <v>2435</v>
      </c>
      <c r="S986" s="73" t="s">
        <v>2313</v>
      </c>
    </row>
    <row r="987" spans="1:19" x14ac:dyDescent="0.2">
      <c r="A987" s="1">
        <v>980</v>
      </c>
      <c r="B987" s="1" t="s">
        <v>775</v>
      </c>
      <c r="C987" s="1" t="s">
        <v>2446</v>
      </c>
      <c r="D987" s="1" t="s">
        <v>774</v>
      </c>
      <c r="E987" s="35" t="s">
        <v>863</v>
      </c>
      <c r="F987" s="66" t="s">
        <v>979</v>
      </c>
      <c r="G987" s="24" t="s">
        <v>1998</v>
      </c>
      <c r="H987" s="16">
        <v>58</v>
      </c>
      <c r="I987" s="25">
        <v>2</v>
      </c>
      <c r="J987" s="56">
        <v>3800</v>
      </c>
      <c r="K987" s="15">
        <v>2000</v>
      </c>
      <c r="L987" s="24" t="s">
        <v>2030</v>
      </c>
      <c r="M987" s="24" t="s">
        <v>2024</v>
      </c>
      <c r="N987" s="1" t="s">
        <v>2013</v>
      </c>
      <c r="O987" s="15" t="s">
        <v>2082</v>
      </c>
      <c r="P987" s="15" t="s">
        <v>2442</v>
      </c>
      <c r="Q987" s="25" t="s">
        <v>2087</v>
      </c>
      <c r="R987" s="25" t="s">
        <v>2436</v>
      </c>
      <c r="S987" s="73" t="s">
        <v>2249</v>
      </c>
    </row>
    <row r="988" spans="1:19" x14ac:dyDescent="0.2">
      <c r="A988" s="1">
        <v>981</v>
      </c>
      <c r="B988" s="1" t="s">
        <v>776</v>
      </c>
      <c r="C988" s="1" t="s">
        <v>2446</v>
      </c>
      <c r="D988" s="1" t="s">
        <v>2739</v>
      </c>
      <c r="E988" s="35" t="s">
        <v>864</v>
      </c>
      <c r="F988" s="66" t="s">
        <v>1005</v>
      </c>
      <c r="G988" s="24" t="s">
        <v>1999</v>
      </c>
      <c r="H988" s="16">
        <v>20</v>
      </c>
      <c r="I988" s="25">
        <v>3</v>
      </c>
      <c r="J988" s="56">
        <v>5140</v>
      </c>
      <c r="K988" s="15">
        <v>2000</v>
      </c>
      <c r="L988" s="24" t="s">
        <v>2029</v>
      </c>
      <c r="M988" s="24" t="s">
        <v>2016</v>
      </c>
      <c r="N988" s="1" t="s">
        <v>2013</v>
      </c>
      <c r="O988" s="15" t="s">
        <v>2082</v>
      </c>
      <c r="P988" s="15" t="s">
        <v>2442</v>
      </c>
      <c r="Q988" s="25" t="s">
        <v>2090</v>
      </c>
      <c r="R988" s="25" t="s">
        <v>2437</v>
      </c>
      <c r="S988" s="73" t="s">
        <v>2242</v>
      </c>
    </row>
    <row r="989" spans="1:19" x14ac:dyDescent="0.2">
      <c r="A989" s="1">
        <v>982</v>
      </c>
      <c r="B989" s="1" t="s">
        <v>633</v>
      </c>
      <c r="C989" s="1" t="s">
        <v>2446</v>
      </c>
      <c r="D989" s="1" t="s">
        <v>554</v>
      </c>
      <c r="E989" s="35" t="s">
        <v>822</v>
      </c>
      <c r="F989" s="66" t="s">
        <v>1006</v>
      </c>
      <c r="G989" s="24" t="s">
        <v>2000</v>
      </c>
      <c r="H989" s="16">
        <v>49</v>
      </c>
      <c r="I989" s="25">
        <v>4</v>
      </c>
      <c r="J989" s="56">
        <v>1620</v>
      </c>
      <c r="K989" s="15">
        <v>650</v>
      </c>
      <c r="L989" s="24" t="s">
        <v>2028</v>
      </c>
      <c r="M989" s="24" t="s">
        <v>2014</v>
      </c>
      <c r="N989" s="1" t="s">
        <v>2013</v>
      </c>
      <c r="O989" s="15" t="s">
        <v>2082</v>
      </c>
      <c r="P989" s="15" t="s">
        <v>2442</v>
      </c>
      <c r="Q989" s="25" t="s">
        <v>2089</v>
      </c>
      <c r="R989" s="25" t="s">
        <v>2435</v>
      </c>
      <c r="S989" s="73" t="s">
        <v>2279</v>
      </c>
    </row>
    <row r="990" spans="1:19" x14ac:dyDescent="0.2">
      <c r="A990" s="1">
        <v>983</v>
      </c>
      <c r="B990" s="1" t="s">
        <v>777</v>
      </c>
      <c r="C990" s="1" t="s">
        <v>2446</v>
      </c>
      <c r="D990" s="1" t="s">
        <v>2740</v>
      </c>
      <c r="E990" s="35" t="s">
        <v>863</v>
      </c>
      <c r="F990" s="66" t="s">
        <v>900</v>
      </c>
      <c r="G990" s="24" t="s">
        <v>2001</v>
      </c>
      <c r="H990" s="16">
        <v>34</v>
      </c>
      <c r="I990" s="25">
        <v>1</v>
      </c>
      <c r="J990" s="56">
        <v>13200</v>
      </c>
      <c r="K990" s="15">
        <v>6700</v>
      </c>
      <c r="L990" s="24" t="s">
        <v>2027</v>
      </c>
      <c r="M990" s="24" t="s">
        <v>2014</v>
      </c>
      <c r="N990" s="1" t="s">
        <v>2013</v>
      </c>
      <c r="O990" s="15" t="s">
        <v>2082</v>
      </c>
      <c r="P990" s="15" t="s">
        <v>2442</v>
      </c>
      <c r="Q990" s="25" t="s">
        <v>2085</v>
      </c>
      <c r="R990" s="25" t="s">
        <v>2434</v>
      </c>
      <c r="S990" s="73" t="s">
        <v>2114</v>
      </c>
    </row>
    <row r="991" spans="1:19" x14ac:dyDescent="0.2">
      <c r="A991" s="1">
        <v>984</v>
      </c>
      <c r="B991" s="1" t="s">
        <v>779</v>
      </c>
      <c r="C991" s="1" t="s">
        <v>2446</v>
      </c>
      <c r="D991" s="1" t="s">
        <v>778</v>
      </c>
      <c r="E991" s="35" t="s">
        <v>864</v>
      </c>
      <c r="F991" s="66" t="s">
        <v>1007</v>
      </c>
      <c r="G991" s="24" t="s">
        <v>2002</v>
      </c>
      <c r="H991" s="16">
        <v>27</v>
      </c>
      <c r="I991" s="25">
        <v>5</v>
      </c>
      <c r="J991" s="56">
        <v>13630</v>
      </c>
      <c r="K991" s="15">
        <v>6870</v>
      </c>
      <c r="L991" s="24" t="s">
        <v>2026</v>
      </c>
      <c r="M991" s="24" t="s">
        <v>2020</v>
      </c>
      <c r="N991" s="1" t="s">
        <v>2013</v>
      </c>
      <c r="O991" s="15" t="s">
        <v>2082</v>
      </c>
      <c r="P991" s="15" t="s">
        <v>2442</v>
      </c>
      <c r="Q991" s="25" t="s">
        <v>2086</v>
      </c>
      <c r="R991" s="25" t="s">
        <v>2436</v>
      </c>
      <c r="S991" s="73" t="s">
        <v>2326</v>
      </c>
    </row>
    <row r="992" spans="1:19" x14ac:dyDescent="0.2">
      <c r="A992" s="1">
        <v>985</v>
      </c>
      <c r="B992" s="1" t="s">
        <v>781</v>
      </c>
      <c r="C992" s="1" t="s">
        <v>2446</v>
      </c>
      <c r="D992" s="1" t="s">
        <v>780</v>
      </c>
      <c r="E992" s="35" t="s">
        <v>822</v>
      </c>
      <c r="F992" s="66" t="s">
        <v>976</v>
      </c>
      <c r="G992" s="24" t="s">
        <v>2003</v>
      </c>
      <c r="H992" s="16">
        <v>45</v>
      </c>
      <c r="I992" s="25">
        <v>3</v>
      </c>
      <c r="J992" s="56">
        <v>3500</v>
      </c>
      <c r="K992" s="15">
        <v>1400</v>
      </c>
      <c r="L992" s="24" t="s">
        <v>2025</v>
      </c>
      <c r="M992" s="24" t="s">
        <v>2024</v>
      </c>
      <c r="N992" s="1" t="s">
        <v>2013</v>
      </c>
      <c r="O992" s="15" t="s">
        <v>2082</v>
      </c>
      <c r="P992" s="15" t="s">
        <v>2442</v>
      </c>
      <c r="Q992" s="25" t="s">
        <v>2084</v>
      </c>
      <c r="R992" s="25" t="s">
        <v>2437</v>
      </c>
      <c r="S992" s="73" t="s">
        <v>2285</v>
      </c>
    </row>
    <row r="993" spans="1:19" x14ac:dyDescent="0.2">
      <c r="A993" s="1">
        <v>986</v>
      </c>
      <c r="B993" s="1" t="s">
        <v>757</v>
      </c>
      <c r="C993" s="1" t="s">
        <v>2446</v>
      </c>
      <c r="D993" s="1" t="s">
        <v>2741</v>
      </c>
      <c r="E993" s="35" t="s">
        <v>863</v>
      </c>
      <c r="F993" s="66" t="s">
        <v>1008</v>
      </c>
      <c r="G993" s="24" t="s">
        <v>2004</v>
      </c>
      <c r="H993" s="16">
        <v>52</v>
      </c>
      <c r="I993" s="25">
        <v>2</v>
      </c>
      <c r="J993" s="56">
        <v>3770</v>
      </c>
      <c r="K993" s="15">
        <v>2070</v>
      </c>
      <c r="L993" s="24" t="s">
        <v>2018</v>
      </c>
      <c r="M993" s="24" t="s">
        <v>2024</v>
      </c>
      <c r="N993" s="1" t="s">
        <v>2013</v>
      </c>
      <c r="O993" s="15" t="s">
        <v>2082</v>
      </c>
      <c r="P993" s="15" t="s">
        <v>2442</v>
      </c>
      <c r="Q993" s="25" t="s">
        <v>2086</v>
      </c>
      <c r="R993" s="25" t="s">
        <v>2434</v>
      </c>
      <c r="S993" s="73" t="s">
        <v>2424</v>
      </c>
    </row>
    <row r="994" spans="1:19" x14ac:dyDescent="0.2">
      <c r="A994" s="1">
        <v>987</v>
      </c>
      <c r="B994" s="1" t="s">
        <v>783</v>
      </c>
      <c r="C994" s="1" t="s">
        <v>2446</v>
      </c>
      <c r="D994" s="1" t="s">
        <v>782</v>
      </c>
      <c r="E994" s="35" t="s">
        <v>864</v>
      </c>
      <c r="F994" s="66" t="s">
        <v>954</v>
      </c>
      <c r="G994" s="24" t="s">
        <v>2005</v>
      </c>
      <c r="H994" s="16">
        <v>23</v>
      </c>
      <c r="I994" s="25">
        <v>4</v>
      </c>
      <c r="J994" s="56">
        <v>5700</v>
      </c>
      <c r="K994" s="15">
        <v>3000</v>
      </c>
      <c r="L994" s="24" t="s">
        <v>2023</v>
      </c>
      <c r="M994" s="24" t="s">
        <v>2020</v>
      </c>
      <c r="N994" s="1" t="s">
        <v>2013</v>
      </c>
      <c r="O994" s="15" t="s">
        <v>2082</v>
      </c>
      <c r="P994" s="15" t="s">
        <v>2442</v>
      </c>
      <c r="Q994" s="25" t="s">
        <v>2084</v>
      </c>
      <c r="R994" s="25" t="s">
        <v>2436</v>
      </c>
      <c r="S994" s="73" t="s">
        <v>2273</v>
      </c>
    </row>
    <row r="995" spans="1:19" x14ac:dyDescent="0.2">
      <c r="A995" s="1">
        <v>988</v>
      </c>
      <c r="B995" s="1" t="s">
        <v>785</v>
      </c>
      <c r="C995" s="1" t="s">
        <v>2446</v>
      </c>
      <c r="D995" s="1" t="s">
        <v>784</v>
      </c>
      <c r="E995" s="35" t="s">
        <v>822</v>
      </c>
      <c r="F995" s="66" t="s">
        <v>944</v>
      </c>
      <c r="G995" s="24" t="s">
        <v>2006</v>
      </c>
      <c r="H995" s="16">
        <v>38</v>
      </c>
      <c r="I995" s="25">
        <v>1</v>
      </c>
      <c r="J995" s="56">
        <v>4250</v>
      </c>
      <c r="K995" s="15">
        <v>2050</v>
      </c>
      <c r="L995" s="24" t="s">
        <v>2015</v>
      </c>
      <c r="M995" s="24" t="s">
        <v>2014</v>
      </c>
      <c r="N995" s="1" t="s">
        <v>2013</v>
      </c>
      <c r="O995" s="15" t="s">
        <v>2082</v>
      </c>
      <c r="P995" s="15" t="s">
        <v>2442</v>
      </c>
      <c r="Q995" s="25" t="s">
        <v>2087</v>
      </c>
      <c r="R995" s="25" t="s">
        <v>2437</v>
      </c>
      <c r="S995" s="73" t="s">
        <v>2101</v>
      </c>
    </row>
    <row r="996" spans="1:19" x14ac:dyDescent="0.2">
      <c r="A996" s="1">
        <v>989</v>
      </c>
      <c r="B996" s="1" t="s">
        <v>375</v>
      </c>
      <c r="C996" s="1" t="s">
        <v>2446</v>
      </c>
      <c r="D996" s="1" t="s">
        <v>786</v>
      </c>
      <c r="E996" s="35" t="s">
        <v>863</v>
      </c>
      <c r="F996" s="66" t="s">
        <v>946</v>
      </c>
      <c r="G996" s="24" t="s">
        <v>2007</v>
      </c>
      <c r="H996" s="16">
        <v>41</v>
      </c>
      <c r="I996" s="25">
        <v>5</v>
      </c>
      <c r="J996" s="56">
        <f>2890+550</f>
        <v>3440</v>
      </c>
      <c r="K996" s="15">
        <f>1450+450</f>
        <v>1900</v>
      </c>
      <c r="L996" s="24" t="s">
        <v>2022</v>
      </c>
      <c r="M996" s="24" t="s">
        <v>2016</v>
      </c>
      <c r="N996" s="1" t="s">
        <v>2013</v>
      </c>
      <c r="O996" s="15" t="s">
        <v>2082</v>
      </c>
      <c r="P996" s="15" t="s">
        <v>2442</v>
      </c>
      <c r="Q996" s="25" t="s">
        <v>2090</v>
      </c>
      <c r="R996" s="25" t="s">
        <v>2435</v>
      </c>
      <c r="S996" s="73" t="s">
        <v>2092</v>
      </c>
    </row>
    <row r="997" spans="1:19" x14ac:dyDescent="0.2">
      <c r="A997" s="1">
        <v>990</v>
      </c>
      <c r="B997" s="1" t="s">
        <v>788</v>
      </c>
      <c r="C997" s="1" t="s">
        <v>2446</v>
      </c>
      <c r="D997" s="1" t="s">
        <v>787</v>
      </c>
      <c r="E997" s="35" t="s">
        <v>822</v>
      </c>
      <c r="F997" s="66" t="s">
        <v>2761</v>
      </c>
      <c r="G997" s="24" t="s">
        <v>2008</v>
      </c>
      <c r="H997" s="16">
        <v>29</v>
      </c>
      <c r="I997" s="25">
        <v>3</v>
      </c>
      <c r="J997" s="56">
        <v>4000</v>
      </c>
      <c r="K997" s="15">
        <v>2100</v>
      </c>
      <c r="L997" s="24" t="s">
        <v>2021</v>
      </c>
      <c r="M997" s="24" t="s">
        <v>2020</v>
      </c>
      <c r="N997" s="1" t="s">
        <v>2013</v>
      </c>
      <c r="O997" s="15" t="s">
        <v>2082</v>
      </c>
      <c r="P997" s="15" t="s">
        <v>2442</v>
      </c>
      <c r="Q997" s="25" t="s">
        <v>2083</v>
      </c>
      <c r="R997" s="25" t="s">
        <v>2434</v>
      </c>
      <c r="S997" s="73" t="s">
        <v>2172</v>
      </c>
    </row>
    <row r="998" spans="1:19" x14ac:dyDescent="0.2">
      <c r="A998" s="1">
        <v>991</v>
      </c>
      <c r="B998" s="1" t="s">
        <v>104</v>
      </c>
      <c r="C998" s="1" t="s">
        <v>2446</v>
      </c>
      <c r="D998" s="1" t="s">
        <v>789</v>
      </c>
      <c r="E998" s="35" t="s">
        <v>863</v>
      </c>
      <c r="F998" s="66" t="s">
        <v>1009</v>
      </c>
      <c r="G998" s="24" t="s">
        <v>2009</v>
      </c>
      <c r="H998" s="16">
        <v>60</v>
      </c>
      <c r="I998" s="25">
        <v>1</v>
      </c>
      <c r="J998" s="56">
        <v>3750</v>
      </c>
      <c r="K998" s="15">
        <v>2000</v>
      </c>
      <c r="L998" s="24" t="s">
        <v>2019</v>
      </c>
      <c r="M998" s="24" t="s">
        <v>2014</v>
      </c>
      <c r="N998" s="1" t="s">
        <v>2013</v>
      </c>
      <c r="O998" s="15" t="s">
        <v>2082</v>
      </c>
      <c r="P998" s="15" t="s">
        <v>2442</v>
      </c>
      <c r="Q998" s="25" t="s">
        <v>2086</v>
      </c>
      <c r="R998" s="25" t="s">
        <v>2436</v>
      </c>
      <c r="S998" s="73" t="s">
        <v>2141</v>
      </c>
    </row>
    <row r="999" spans="1:19" x14ac:dyDescent="0.2">
      <c r="A999" s="1">
        <v>992</v>
      </c>
      <c r="B999" s="1" t="s">
        <v>790</v>
      </c>
      <c r="C999" s="1" t="s">
        <v>2446</v>
      </c>
      <c r="D999" s="1" t="s">
        <v>2742</v>
      </c>
      <c r="E999" s="35" t="s">
        <v>864</v>
      </c>
      <c r="F999" s="66" t="s">
        <v>881</v>
      </c>
      <c r="G999" s="24" t="s">
        <v>2010</v>
      </c>
      <c r="H999" s="16">
        <v>33</v>
      </c>
      <c r="I999" s="25">
        <v>2</v>
      </c>
      <c r="J999" s="56">
        <v>3840</v>
      </c>
      <c r="K999" s="15">
        <v>2040</v>
      </c>
      <c r="L999" s="24" t="s">
        <v>2018</v>
      </c>
      <c r="M999" s="24" t="s">
        <v>2016</v>
      </c>
      <c r="N999" s="1" t="s">
        <v>2013</v>
      </c>
      <c r="O999" s="15" t="s">
        <v>2082</v>
      </c>
      <c r="P999" s="15" t="s">
        <v>2442</v>
      </c>
      <c r="Q999" s="25" t="s">
        <v>2087</v>
      </c>
      <c r="R999" s="25" t="s">
        <v>2437</v>
      </c>
      <c r="S999" s="73" t="s">
        <v>2227</v>
      </c>
    </row>
    <row r="1000" spans="1:19" x14ac:dyDescent="0.2">
      <c r="A1000" s="1">
        <v>993</v>
      </c>
      <c r="B1000" s="1" t="s">
        <v>637</v>
      </c>
      <c r="C1000" s="1" t="s">
        <v>2446</v>
      </c>
      <c r="D1000" s="1" t="s">
        <v>2743</v>
      </c>
      <c r="E1000" s="35" t="s">
        <v>823</v>
      </c>
      <c r="F1000" s="66" t="s">
        <v>882</v>
      </c>
      <c r="G1000" s="24" t="s">
        <v>2011</v>
      </c>
      <c r="H1000" s="16">
        <v>22</v>
      </c>
      <c r="I1000" s="25">
        <v>4</v>
      </c>
      <c r="J1000" s="56">
        <v>5274</v>
      </c>
      <c r="K1000" s="15">
        <v>3300</v>
      </c>
      <c r="L1000" s="24" t="s">
        <v>2017</v>
      </c>
      <c r="M1000" s="24" t="s">
        <v>2016</v>
      </c>
      <c r="N1000" s="1" t="s">
        <v>2013</v>
      </c>
      <c r="O1000" s="15" t="s">
        <v>2082</v>
      </c>
      <c r="P1000" s="15" t="s">
        <v>2442</v>
      </c>
      <c r="Q1000" s="25" t="s">
        <v>2088</v>
      </c>
      <c r="R1000" s="25" t="s">
        <v>2435</v>
      </c>
      <c r="S1000" s="73" t="s">
        <v>2291</v>
      </c>
    </row>
    <row r="1001" spans="1:19" x14ac:dyDescent="0.2">
      <c r="A1001" s="1">
        <v>994</v>
      </c>
      <c r="B1001" s="1" t="s">
        <v>637</v>
      </c>
      <c r="C1001" s="1" t="s">
        <v>2446</v>
      </c>
      <c r="D1001" s="1" t="s">
        <v>2744</v>
      </c>
      <c r="E1001" s="35" t="s">
        <v>864</v>
      </c>
      <c r="F1001" s="66" t="s">
        <v>881</v>
      </c>
      <c r="G1001" s="24" t="s">
        <v>2012</v>
      </c>
      <c r="H1001" s="16">
        <v>47</v>
      </c>
      <c r="I1001" s="25">
        <v>5</v>
      </c>
      <c r="J1001" s="56">
        <v>5841</v>
      </c>
      <c r="K1001" s="15">
        <v>3450</v>
      </c>
      <c r="L1001" s="24" t="s">
        <v>2015</v>
      </c>
      <c r="M1001" s="24" t="s">
        <v>2014</v>
      </c>
      <c r="N1001" s="1" t="s">
        <v>2013</v>
      </c>
      <c r="O1001" s="15" t="s">
        <v>2082</v>
      </c>
      <c r="P1001" s="15" t="s">
        <v>2442</v>
      </c>
      <c r="Q1001" s="25" t="s">
        <v>2089</v>
      </c>
      <c r="R1001" s="25" t="s">
        <v>2436</v>
      </c>
      <c r="S1001" s="73" t="s">
        <v>2325</v>
      </c>
    </row>
    <row r="1002" spans="1:19" x14ac:dyDescent="0.2">
      <c r="A1002" s="1">
        <v>995</v>
      </c>
      <c r="B1002" s="1" t="s">
        <v>792</v>
      </c>
      <c r="C1002" s="1" t="s">
        <v>2446</v>
      </c>
      <c r="D1002" s="1" t="s">
        <v>791</v>
      </c>
      <c r="E1002" s="35" t="s">
        <v>822</v>
      </c>
      <c r="F1002" s="66" t="s">
        <v>883</v>
      </c>
      <c r="G1002" s="1" t="s">
        <v>2067</v>
      </c>
      <c r="H1002" s="16">
        <v>55</v>
      </c>
      <c r="I1002" s="25">
        <v>2</v>
      </c>
      <c r="J1002" s="56">
        <f>2350+350</f>
        <v>2700</v>
      </c>
      <c r="K1002" s="15">
        <f>850+200</f>
        <v>1050</v>
      </c>
      <c r="L1002" s="24" t="s">
        <v>2052</v>
      </c>
      <c r="M1002" s="24" t="s">
        <v>2024</v>
      </c>
      <c r="N1002" s="1" t="s">
        <v>2013</v>
      </c>
      <c r="O1002" s="15" t="s">
        <v>2082</v>
      </c>
      <c r="P1002" s="15" t="s">
        <v>2442</v>
      </c>
      <c r="Q1002" s="25" t="s">
        <v>2086</v>
      </c>
      <c r="R1002" s="25" t="s">
        <v>2434</v>
      </c>
      <c r="S1002" s="73" t="s">
        <v>2224</v>
      </c>
    </row>
    <row r="1003" spans="1:19" x14ac:dyDescent="0.2">
      <c r="A1003" s="1">
        <v>996</v>
      </c>
      <c r="B1003" s="1" t="s">
        <v>793</v>
      </c>
      <c r="C1003" s="1" t="s">
        <v>2446</v>
      </c>
      <c r="D1003" s="1" t="s">
        <v>2745</v>
      </c>
      <c r="E1003" s="35" t="s">
        <v>863</v>
      </c>
      <c r="F1003" s="66" t="s">
        <v>884</v>
      </c>
      <c r="G1003" s="1" t="s">
        <v>2068</v>
      </c>
      <c r="H1003" s="16">
        <v>36</v>
      </c>
      <c r="I1003" s="25">
        <v>3</v>
      </c>
      <c r="J1003" s="56">
        <v>5700</v>
      </c>
      <c r="K1003" s="15">
        <v>2500</v>
      </c>
      <c r="L1003" s="24" t="s">
        <v>2034</v>
      </c>
      <c r="M1003" s="24" t="s">
        <v>2016</v>
      </c>
      <c r="N1003" s="1" t="s">
        <v>2013</v>
      </c>
      <c r="O1003" s="15" t="s">
        <v>2082</v>
      </c>
      <c r="P1003" s="15" t="s">
        <v>2442</v>
      </c>
      <c r="Q1003" s="25" t="s">
        <v>2087</v>
      </c>
      <c r="R1003" s="25" t="s">
        <v>2437</v>
      </c>
      <c r="S1003" s="73" t="s">
        <v>2339</v>
      </c>
    </row>
    <row r="1004" spans="1:19" x14ac:dyDescent="0.2">
      <c r="A1004" s="1">
        <v>997</v>
      </c>
      <c r="B1004" s="1" t="s">
        <v>794</v>
      </c>
      <c r="C1004" s="1" t="s">
        <v>2446</v>
      </c>
      <c r="D1004" s="1" t="s">
        <v>2746</v>
      </c>
      <c r="E1004" s="35" t="s">
        <v>864</v>
      </c>
      <c r="F1004" s="67" t="s">
        <v>931</v>
      </c>
      <c r="G1004" s="1" t="s">
        <v>2069</v>
      </c>
      <c r="H1004" s="16">
        <v>28</v>
      </c>
      <c r="I1004" s="25">
        <v>2</v>
      </c>
      <c r="J1004" s="56">
        <v>5700</v>
      </c>
      <c r="K1004" s="15">
        <v>2500</v>
      </c>
      <c r="L1004" s="24" t="s">
        <v>2026</v>
      </c>
      <c r="M1004" s="24" t="s">
        <v>2016</v>
      </c>
      <c r="N1004" s="1" t="s">
        <v>2013</v>
      </c>
      <c r="O1004" s="15" t="s">
        <v>2082</v>
      </c>
      <c r="P1004" s="15" t="s">
        <v>2442</v>
      </c>
      <c r="Q1004" s="25" t="s">
        <v>2084</v>
      </c>
      <c r="R1004" s="25" t="s">
        <v>2435</v>
      </c>
      <c r="S1004" s="73" t="s">
        <v>2325</v>
      </c>
    </row>
    <row r="1005" spans="1:19" x14ac:dyDescent="0.2">
      <c r="A1005" s="1">
        <v>998</v>
      </c>
      <c r="B1005" s="1" t="s">
        <v>796</v>
      </c>
      <c r="C1005" s="1" t="s">
        <v>2446</v>
      </c>
      <c r="D1005" s="1" t="s">
        <v>795</v>
      </c>
      <c r="E1005" s="35" t="s">
        <v>822</v>
      </c>
      <c r="F1005" s="66" t="s">
        <v>1003</v>
      </c>
      <c r="G1005" s="1" t="s">
        <v>2070</v>
      </c>
      <c r="H1005" s="16">
        <v>50</v>
      </c>
      <c r="I1005" s="25">
        <v>3</v>
      </c>
      <c r="J1005" s="56">
        <v>4900</v>
      </c>
      <c r="K1005" s="15">
        <v>2350</v>
      </c>
      <c r="L1005" s="24" t="s">
        <v>2053</v>
      </c>
      <c r="M1005" s="24" t="s">
        <v>2014</v>
      </c>
      <c r="N1005" s="1" t="s">
        <v>2013</v>
      </c>
      <c r="O1005" s="15" t="s">
        <v>2082</v>
      </c>
      <c r="P1005" s="15" t="s">
        <v>2442</v>
      </c>
      <c r="Q1005" s="25" t="s">
        <v>2088</v>
      </c>
      <c r="R1005" s="25" t="s">
        <v>2434</v>
      </c>
      <c r="S1005" s="73" t="s">
        <v>2242</v>
      </c>
    </row>
    <row r="1006" spans="1:19" x14ac:dyDescent="0.2">
      <c r="A1006" s="1">
        <v>999</v>
      </c>
      <c r="B1006" s="1" t="s">
        <v>798</v>
      </c>
      <c r="C1006" s="1" t="s">
        <v>2446</v>
      </c>
      <c r="D1006" s="1" t="s">
        <v>797</v>
      </c>
      <c r="E1006" s="35" t="s">
        <v>863</v>
      </c>
      <c r="F1006" s="66" t="s">
        <v>1004</v>
      </c>
      <c r="G1006" s="1" t="s">
        <v>2071</v>
      </c>
      <c r="H1006" s="16">
        <v>39</v>
      </c>
      <c r="I1006" s="25">
        <v>1</v>
      </c>
      <c r="J1006" s="56">
        <v>12950</v>
      </c>
      <c r="K1006" s="15">
        <v>7950</v>
      </c>
      <c r="L1006" s="24" t="s">
        <v>2043</v>
      </c>
      <c r="M1006" s="24" t="s">
        <v>2016</v>
      </c>
      <c r="N1006" s="1" t="s">
        <v>2013</v>
      </c>
      <c r="O1006" s="15" t="s">
        <v>2082</v>
      </c>
      <c r="P1006" s="15" t="s">
        <v>2442</v>
      </c>
      <c r="Q1006" s="25" t="s">
        <v>2087</v>
      </c>
      <c r="R1006" s="25" t="s">
        <v>2436</v>
      </c>
      <c r="S1006" s="73" t="s">
        <v>2407</v>
      </c>
    </row>
    <row r="1007" spans="1:19" x14ac:dyDescent="0.2">
      <c r="A1007" s="1">
        <v>1000</v>
      </c>
      <c r="B1007" s="1" t="s">
        <v>150</v>
      </c>
      <c r="C1007" s="1" t="s">
        <v>2446</v>
      </c>
      <c r="D1007" s="1" t="s">
        <v>799</v>
      </c>
      <c r="E1007" s="35" t="s">
        <v>863</v>
      </c>
      <c r="F1007" s="66" t="s">
        <v>876</v>
      </c>
      <c r="G1007" s="1" t="s">
        <v>2072</v>
      </c>
      <c r="H1007" s="16">
        <v>31</v>
      </c>
      <c r="I1007" s="25">
        <v>2</v>
      </c>
      <c r="J1007" s="56">
        <v>4650</v>
      </c>
      <c r="K1007" s="15">
        <v>2650</v>
      </c>
      <c r="L1007" s="24" t="s">
        <v>2051</v>
      </c>
      <c r="M1007" s="24" t="s">
        <v>2020</v>
      </c>
      <c r="N1007" s="1" t="s">
        <v>2013</v>
      </c>
      <c r="O1007" s="15" t="s">
        <v>2082</v>
      </c>
      <c r="P1007" s="15" t="s">
        <v>2442</v>
      </c>
      <c r="Q1007" s="25" t="s">
        <v>2087</v>
      </c>
      <c r="R1007" s="25" t="s">
        <v>2437</v>
      </c>
      <c r="S1007" s="73" t="s">
        <v>2359</v>
      </c>
    </row>
    <row r="1008" spans="1:19" x14ac:dyDescent="0.2">
      <c r="A1008" s="1">
        <v>1001</v>
      </c>
      <c r="B1008" s="1" t="s">
        <v>800</v>
      </c>
      <c r="C1008" s="1" t="s">
        <v>2446</v>
      </c>
      <c r="D1008" s="1" t="s">
        <v>2747</v>
      </c>
      <c r="E1008" s="35" t="s">
        <v>822</v>
      </c>
      <c r="F1008" s="66" t="s">
        <v>25</v>
      </c>
      <c r="G1008" s="1" t="s">
        <v>2073</v>
      </c>
      <c r="H1008" s="16">
        <v>44</v>
      </c>
      <c r="I1008" s="25">
        <v>4</v>
      </c>
      <c r="J1008" s="56">
        <v>4340</v>
      </c>
      <c r="K1008" s="15">
        <v>2340</v>
      </c>
      <c r="L1008" s="24" t="s">
        <v>2018</v>
      </c>
      <c r="M1008" s="24" t="s">
        <v>2016</v>
      </c>
      <c r="N1008" s="1" t="s">
        <v>2013</v>
      </c>
      <c r="O1008" s="15" t="s">
        <v>2082</v>
      </c>
      <c r="P1008" s="15" t="s">
        <v>2442</v>
      </c>
      <c r="Q1008" s="25" t="s">
        <v>2086</v>
      </c>
      <c r="R1008" s="25" t="s">
        <v>2435</v>
      </c>
      <c r="S1008" s="73" t="s">
        <v>2126</v>
      </c>
    </row>
    <row r="1009" spans="1:19" x14ac:dyDescent="0.2">
      <c r="A1009" s="1">
        <v>1002</v>
      </c>
      <c r="B1009" s="1" t="s">
        <v>802</v>
      </c>
      <c r="C1009" s="1" t="s">
        <v>2446</v>
      </c>
      <c r="D1009" s="1" t="s">
        <v>801</v>
      </c>
      <c r="E1009" s="35" t="s">
        <v>863</v>
      </c>
      <c r="F1009" s="66" t="s">
        <v>881</v>
      </c>
      <c r="G1009" s="1" t="s">
        <v>2074</v>
      </c>
      <c r="H1009" s="16">
        <v>26</v>
      </c>
      <c r="I1009" s="25">
        <v>5</v>
      </c>
      <c r="J1009" s="56">
        <f>4620+550</f>
        <v>5170</v>
      </c>
      <c r="K1009" s="15">
        <f>1550+450</f>
        <v>2000</v>
      </c>
      <c r="L1009" s="24" t="s">
        <v>2028</v>
      </c>
      <c r="M1009" s="24" t="s">
        <v>2016</v>
      </c>
      <c r="N1009" s="1" t="s">
        <v>2013</v>
      </c>
      <c r="O1009" s="15" t="s">
        <v>2082</v>
      </c>
      <c r="P1009" s="15" t="s">
        <v>2442</v>
      </c>
      <c r="Q1009" s="25" t="s">
        <v>2084</v>
      </c>
      <c r="R1009" s="25" t="s">
        <v>2435</v>
      </c>
      <c r="S1009" s="73" t="s">
        <v>2149</v>
      </c>
    </row>
    <row r="1010" spans="1:19" x14ac:dyDescent="0.2">
      <c r="A1010" s="1">
        <v>1003</v>
      </c>
      <c r="B1010" s="1" t="s">
        <v>804</v>
      </c>
      <c r="C1010" s="1" t="s">
        <v>2446</v>
      </c>
      <c r="D1010" s="1" t="s">
        <v>803</v>
      </c>
      <c r="E1010" s="35" t="s">
        <v>864</v>
      </c>
      <c r="F1010" s="66" t="s">
        <v>980</v>
      </c>
      <c r="G1010" s="1" t="s">
        <v>2075</v>
      </c>
      <c r="H1010" s="16">
        <v>48</v>
      </c>
      <c r="I1010" s="25">
        <v>2</v>
      </c>
      <c r="J1010" s="56">
        <v>4700</v>
      </c>
      <c r="K1010" s="15">
        <v>2700</v>
      </c>
      <c r="L1010" s="24" t="s">
        <v>2015</v>
      </c>
      <c r="M1010" s="24" t="s">
        <v>2014</v>
      </c>
      <c r="N1010" s="1" t="s">
        <v>2013</v>
      </c>
      <c r="O1010" s="15" t="s">
        <v>2082</v>
      </c>
      <c r="P1010" s="15" t="s">
        <v>2442</v>
      </c>
      <c r="Q1010" s="25" t="s">
        <v>2085</v>
      </c>
      <c r="R1010" s="25" t="s">
        <v>2436</v>
      </c>
      <c r="S1010" s="73" t="s">
        <v>2295</v>
      </c>
    </row>
    <row r="1011" spans="1:19" x14ac:dyDescent="0.2">
      <c r="A1011" s="1">
        <v>1004</v>
      </c>
      <c r="B1011" s="1" t="s">
        <v>79</v>
      </c>
      <c r="C1011" s="1" t="s">
        <v>2446</v>
      </c>
      <c r="D1011" s="1" t="s">
        <v>805</v>
      </c>
      <c r="E1011" s="35" t="s">
        <v>823</v>
      </c>
      <c r="F1011" s="66" t="s">
        <v>976</v>
      </c>
      <c r="G1011" s="1" t="s">
        <v>2076</v>
      </c>
      <c r="H1011" s="16">
        <v>53</v>
      </c>
      <c r="I1011" s="25">
        <v>3</v>
      </c>
      <c r="J1011" s="56">
        <v>2790</v>
      </c>
      <c r="K1011" s="15">
        <v>1700</v>
      </c>
      <c r="L1011" s="24" t="s">
        <v>2049</v>
      </c>
      <c r="M1011" s="24" t="s">
        <v>2016</v>
      </c>
      <c r="N1011" s="1" t="s">
        <v>2013</v>
      </c>
      <c r="O1011" s="15" t="s">
        <v>2082</v>
      </c>
      <c r="P1011" s="15" t="s">
        <v>2442</v>
      </c>
      <c r="Q1011" s="25" t="s">
        <v>2090</v>
      </c>
      <c r="R1011" s="25" t="s">
        <v>2434</v>
      </c>
      <c r="S1011" s="73" t="s">
        <v>2280</v>
      </c>
    </row>
    <row r="1012" spans="1:19" x14ac:dyDescent="0.2">
      <c r="A1012" s="1">
        <v>1005</v>
      </c>
      <c r="B1012" s="1" t="s">
        <v>29</v>
      </c>
      <c r="C1012" s="1" t="s">
        <v>2446</v>
      </c>
      <c r="D1012" s="1" t="s">
        <v>806</v>
      </c>
      <c r="E1012" s="35" t="s">
        <v>864</v>
      </c>
      <c r="F1012" s="66" t="s">
        <v>913</v>
      </c>
      <c r="G1012" s="1" t="s">
        <v>2077</v>
      </c>
      <c r="H1012" s="16">
        <v>30</v>
      </c>
      <c r="I1012" s="25">
        <v>1</v>
      </c>
      <c r="J1012" s="56">
        <v>5540</v>
      </c>
      <c r="K1012" s="15">
        <v>1460</v>
      </c>
      <c r="L1012" s="24" t="s">
        <v>2048</v>
      </c>
      <c r="M1012" s="24" t="s">
        <v>2014</v>
      </c>
      <c r="N1012" s="1" t="s">
        <v>2013</v>
      </c>
      <c r="O1012" s="15" t="s">
        <v>2082</v>
      </c>
      <c r="P1012" s="15" t="s">
        <v>2442</v>
      </c>
      <c r="Q1012" s="25" t="s">
        <v>2085</v>
      </c>
      <c r="R1012" s="25" t="s">
        <v>2437</v>
      </c>
      <c r="S1012" s="73" t="s">
        <v>2179</v>
      </c>
    </row>
    <row r="1013" spans="1:19" x14ac:dyDescent="0.2">
      <c r="A1013" s="1">
        <v>1006</v>
      </c>
      <c r="B1013" s="1" t="s">
        <v>29</v>
      </c>
      <c r="C1013" s="1" t="s">
        <v>2446</v>
      </c>
      <c r="D1013" s="1" t="s">
        <v>807</v>
      </c>
      <c r="E1013" s="35" t="s">
        <v>822</v>
      </c>
      <c r="F1013" s="66" t="s">
        <v>999</v>
      </c>
      <c r="G1013" s="1" t="s">
        <v>2078</v>
      </c>
      <c r="H1013" s="16">
        <v>37</v>
      </c>
      <c r="I1013" s="25">
        <v>4</v>
      </c>
      <c r="J1013" s="56">
        <v>2230</v>
      </c>
      <c r="K1013" s="15">
        <v>980</v>
      </c>
      <c r="L1013" s="24" t="s">
        <v>2056</v>
      </c>
      <c r="M1013" s="24" t="s">
        <v>2024</v>
      </c>
      <c r="N1013" s="1" t="s">
        <v>2013</v>
      </c>
      <c r="O1013" s="15" t="s">
        <v>2082</v>
      </c>
      <c r="P1013" s="15" t="s">
        <v>2442</v>
      </c>
      <c r="Q1013" s="25" t="s">
        <v>2086</v>
      </c>
      <c r="R1013" s="25" t="s">
        <v>2435</v>
      </c>
      <c r="S1013" s="73" t="s">
        <v>2386</v>
      </c>
    </row>
    <row r="1014" spans="1:19" x14ac:dyDescent="0.2">
      <c r="A1014" s="1">
        <v>1007</v>
      </c>
      <c r="B1014" s="1" t="s">
        <v>809</v>
      </c>
      <c r="C1014" s="1" t="s">
        <v>2446</v>
      </c>
      <c r="D1014" s="1" t="s">
        <v>808</v>
      </c>
      <c r="E1014" s="35" t="s">
        <v>863</v>
      </c>
      <c r="F1014" s="66" t="s">
        <v>998</v>
      </c>
      <c r="G1014" s="1" t="s">
        <v>2079</v>
      </c>
      <c r="H1014" s="16">
        <v>42</v>
      </c>
      <c r="I1014" s="25">
        <v>5</v>
      </c>
      <c r="J1014" s="56">
        <v>2250</v>
      </c>
      <c r="K1014" s="15">
        <v>1000</v>
      </c>
      <c r="L1014" s="24" t="s">
        <v>2040</v>
      </c>
      <c r="M1014" s="24" t="s">
        <v>2020</v>
      </c>
      <c r="N1014" s="1" t="s">
        <v>2013</v>
      </c>
      <c r="O1014" s="15" t="s">
        <v>2082</v>
      </c>
      <c r="P1014" s="15" t="s">
        <v>2442</v>
      </c>
      <c r="Q1014" s="25" t="s">
        <v>2086</v>
      </c>
      <c r="R1014" s="25" t="s">
        <v>2434</v>
      </c>
      <c r="S1014" s="73" t="s">
        <v>2159</v>
      </c>
    </row>
    <row r="1015" spans="1:19" x14ac:dyDescent="0.2">
      <c r="A1015" s="1">
        <v>1008</v>
      </c>
      <c r="B1015" s="1" t="s">
        <v>54</v>
      </c>
      <c r="C1015" s="1" t="s">
        <v>2446</v>
      </c>
      <c r="D1015" s="1" t="s">
        <v>540</v>
      </c>
      <c r="E1015" s="35" t="s">
        <v>864</v>
      </c>
      <c r="F1015" s="66" t="s">
        <v>979</v>
      </c>
      <c r="G1015" s="1" t="s">
        <v>2080</v>
      </c>
      <c r="H1015" s="16">
        <v>24</v>
      </c>
      <c r="I1015" s="25">
        <v>3</v>
      </c>
      <c r="J1015" s="56">
        <v>4850</v>
      </c>
      <c r="K1015" s="15">
        <v>2850</v>
      </c>
      <c r="L1015" s="24" t="s">
        <v>2036</v>
      </c>
      <c r="M1015" s="24" t="s">
        <v>2014</v>
      </c>
      <c r="N1015" s="1" t="s">
        <v>2013</v>
      </c>
      <c r="O1015" s="15" t="s">
        <v>2082</v>
      </c>
      <c r="P1015" s="15" t="s">
        <v>2442</v>
      </c>
      <c r="Q1015" s="25" t="s">
        <v>2083</v>
      </c>
      <c r="R1015" s="25" t="s">
        <v>2436</v>
      </c>
      <c r="S1015" s="73" t="s">
        <v>2431</v>
      </c>
    </row>
    <row r="1016" spans="1:19" x14ac:dyDescent="0.2">
      <c r="A1016" s="1">
        <v>1009</v>
      </c>
      <c r="B1016" s="1" t="s">
        <v>326</v>
      </c>
      <c r="C1016" s="1" t="s">
        <v>2446</v>
      </c>
      <c r="D1016" s="1" t="s">
        <v>810</v>
      </c>
      <c r="E1016" s="35" t="s">
        <v>822</v>
      </c>
      <c r="F1016" s="66" t="s">
        <v>1010</v>
      </c>
      <c r="G1016" s="1" t="s">
        <v>2081</v>
      </c>
      <c r="H1016" s="16">
        <v>57</v>
      </c>
      <c r="I1016" s="25">
        <v>2</v>
      </c>
      <c r="J1016" s="56">
        <v>3150</v>
      </c>
      <c r="K1016" s="15">
        <v>1350</v>
      </c>
      <c r="L1016" s="24" t="s">
        <v>2022</v>
      </c>
      <c r="M1016" s="24" t="s">
        <v>2016</v>
      </c>
      <c r="N1016" s="1" t="s">
        <v>2013</v>
      </c>
      <c r="O1016" s="15" t="s">
        <v>2082</v>
      </c>
      <c r="P1016" s="15" t="s">
        <v>2442</v>
      </c>
      <c r="Q1016" s="25" t="s">
        <v>2089</v>
      </c>
      <c r="R1016" s="25" t="s">
        <v>2437</v>
      </c>
      <c r="S1016" s="73" t="s">
        <v>2283</v>
      </c>
    </row>
    <row r="1017" spans="1:19" x14ac:dyDescent="0.2">
      <c r="H1017" s="16"/>
      <c r="I1017" s="22"/>
      <c r="Q1017" s="22"/>
      <c r="R1017" s="22"/>
    </row>
    <row r="1018" spans="1:19" x14ac:dyDescent="0.2">
      <c r="H1018" s="16"/>
      <c r="I1018" s="22"/>
      <c r="Q1018" s="22"/>
      <c r="R1018" s="22"/>
    </row>
    <row r="1019" spans="1:19" x14ac:dyDescent="0.2">
      <c r="H1019" s="16"/>
      <c r="I1019" s="22"/>
      <c r="Q1019" s="22"/>
      <c r="R1019" s="22"/>
    </row>
    <row r="1020" spans="1:19" x14ac:dyDescent="0.2">
      <c r="H1020" s="16"/>
      <c r="I1020" s="22"/>
      <c r="Q1020" s="22"/>
      <c r="R1020" s="22"/>
    </row>
    <row r="1021" spans="1:19" x14ac:dyDescent="0.2">
      <c r="H1021" s="16"/>
      <c r="I1021" s="22"/>
      <c r="Q1021" s="22"/>
      <c r="R1021" s="22"/>
    </row>
    <row r="1022" spans="1:19" x14ac:dyDescent="0.2">
      <c r="H1022" s="16"/>
      <c r="I1022" s="22"/>
      <c r="Q1022" s="22"/>
      <c r="R1022" s="22"/>
    </row>
    <row r="1023" spans="1:19" x14ac:dyDescent="0.2">
      <c r="H1023" s="16"/>
      <c r="I1023" s="22"/>
      <c r="Q1023" s="22"/>
      <c r="R1023" s="22"/>
    </row>
    <row r="1024" spans="1:19" x14ac:dyDescent="0.2">
      <c r="H1024" s="16"/>
      <c r="I1024" s="22"/>
      <c r="Q1024" s="22"/>
      <c r="R1024" s="22"/>
    </row>
    <row r="1025" spans="8:18" x14ac:dyDescent="0.2">
      <c r="H1025" s="16"/>
      <c r="I1025" s="22"/>
      <c r="Q1025" s="22"/>
      <c r="R1025" s="22"/>
    </row>
    <row r="1026" spans="8:18" x14ac:dyDescent="0.2">
      <c r="H1026" s="16"/>
      <c r="I1026" s="22"/>
      <c r="R1026" s="22"/>
    </row>
    <row r="1027" spans="8:18" x14ac:dyDescent="0.2">
      <c r="H1027" s="16"/>
      <c r="I1027" s="22"/>
      <c r="R1027" s="22"/>
    </row>
    <row r="1028" spans="8:18" x14ac:dyDescent="0.2">
      <c r="H1028" s="16"/>
      <c r="I1028" s="22"/>
      <c r="R1028" s="22"/>
    </row>
    <row r="1029" spans="8:18" x14ac:dyDescent="0.2">
      <c r="H1029" s="24"/>
      <c r="I1029" s="22"/>
      <c r="R1029" s="22"/>
    </row>
    <row r="1030" spans="8:18" x14ac:dyDescent="0.2">
      <c r="H1030" s="24"/>
      <c r="I1030" s="22"/>
      <c r="R1030" s="22"/>
    </row>
    <row r="1031" spans="8:18" x14ac:dyDescent="0.2">
      <c r="H1031" s="24"/>
      <c r="I1031" s="22"/>
      <c r="R1031" s="22"/>
    </row>
    <row r="1032" spans="8:18" x14ac:dyDescent="0.2">
      <c r="H1032" s="24"/>
      <c r="I1032" s="22"/>
      <c r="R1032" s="22"/>
    </row>
    <row r="1033" spans="8:18" x14ac:dyDescent="0.2">
      <c r="H1033" s="24"/>
      <c r="I1033" s="22"/>
      <c r="R1033" s="22"/>
    </row>
    <row r="1034" spans="8:18" x14ac:dyDescent="0.2">
      <c r="H1034" s="24"/>
      <c r="R1034" s="22"/>
    </row>
    <row r="1035" spans="8:18" x14ac:dyDescent="0.2">
      <c r="H1035" s="24"/>
      <c r="R1035" s="22"/>
    </row>
    <row r="1036" spans="8:18" x14ac:dyDescent="0.2">
      <c r="H1036" s="24"/>
      <c r="R1036" s="22"/>
    </row>
    <row r="1037" spans="8:18" x14ac:dyDescent="0.2">
      <c r="H1037" s="24"/>
      <c r="R1037" s="22"/>
    </row>
    <row r="1038" spans="8:18" x14ac:dyDescent="0.2">
      <c r="H1038" s="24"/>
      <c r="R1038" s="22"/>
    </row>
    <row r="1039" spans="8:18" x14ac:dyDescent="0.2">
      <c r="H1039" s="24"/>
    </row>
    <row r="1040" spans="8:18" x14ac:dyDescent="0.2">
      <c r="H1040" s="24"/>
    </row>
    <row r="1041" spans="8:8" x14ac:dyDescent="0.2">
      <c r="H1041" s="24"/>
    </row>
    <row r="1042" spans="8:8" x14ac:dyDescent="0.2">
      <c r="H1042" s="24"/>
    </row>
    <row r="1043" spans="8:8" x14ac:dyDescent="0.2">
      <c r="H1043" s="24"/>
    </row>
    <row r="1044" spans="8:8" x14ac:dyDescent="0.2">
      <c r="H1044" s="24"/>
    </row>
    <row r="1045" spans="8:8" x14ac:dyDescent="0.2">
      <c r="H1045" s="24"/>
    </row>
    <row r="1046" spans="8:8" x14ac:dyDescent="0.2">
      <c r="H1046" s="24"/>
    </row>
    <row r="1047" spans="8:8" x14ac:dyDescent="0.2">
      <c r="H1047" s="24"/>
    </row>
    <row r="1048" spans="8:8" x14ac:dyDescent="0.2">
      <c r="H1048" s="16"/>
    </row>
    <row r="1049" spans="8:8" x14ac:dyDescent="0.2">
      <c r="H1049" s="16"/>
    </row>
    <row r="1050" spans="8:8" x14ac:dyDescent="0.2">
      <c r="H1050" s="16"/>
    </row>
    <row r="1051" spans="8:8" x14ac:dyDescent="0.2">
      <c r="H1051" s="16"/>
    </row>
    <row r="1052" spans="8:8" x14ac:dyDescent="0.2">
      <c r="H1052" s="16"/>
    </row>
    <row r="1053" spans="8:8" x14ac:dyDescent="0.2">
      <c r="H1053" s="16"/>
    </row>
    <row r="1054" spans="8:8" x14ac:dyDescent="0.2">
      <c r="H1054" s="16"/>
    </row>
    <row r="1055" spans="8:8" x14ac:dyDescent="0.2">
      <c r="H1055" s="16"/>
    </row>
    <row r="1056" spans="8:8" x14ac:dyDescent="0.2">
      <c r="H1056" s="16"/>
    </row>
    <row r="1057" spans="8:8" x14ac:dyDescent="0.2">
      <c r="H1057" s="16"/>
    </row>
    <row r="1058" spans="8:8" x14ac:dyDescent="0.2">
      <c r="H1058" s="16"/>
    </row>
    <row r="1059" spans="8:8" x14ac:dyDescent="0.2">
      <c r="H1059" s="16"/>
    </row>
    <row r="1060" spans="8:8" x14ac:dyDescent="0.2">
      <c r="H1060" s="16"/>
    </row>
    <row r="1061" spans="8:8" x14ac:dyDescent="0.2">
      <c r="H1061" s="16"/>
    </row>
    <row r="1062" spans="8:8" x14ac:dyDescent="0.2">
      <c r="H1062" s="24"/>
    </row>
    <row r="1063" spans="8:8" x14ac:dyDescent="0.2">
      <c r="H1063" s="24"/>
    </row>
    <row r="1064" spans="8:8" x14ac:dyDescent="0.2">
      <c r="H1064" s="24"/>
    </row>
    <row r="1065" spans="8:8" x14ac:dyDescent="0.2">
      <c r="H1065" s="24"/>
    </row>
    <row r="1066" spans="8:8" x14ac:dyDescent="0.2">
      <c r="H1066" s="24"/>
    </row>
    <row r="1067" spans="8:8" x14ac:dyDescent="0.2">
      <c r="H1067" s="24"/>
    </row>
    <row r="1068" spans="8:8" x14ac:dyDescent="0.2">
      <c r="H1068" s="24"/>
    </row>
    <row r="1069" spans="8:8" x14ac:dyDescent="0.2">
      <c r="H1069" s="24"/>
    </row>
    <row r="1070" spans="8:8" x14ac:dyDescent="0.2">
      <c r="H1070" s="24"/>
    </row>
    <row r="1071" spans="8:8" x14ac:dyDescent="0.2">
      <c r="H1071" s="24"/>
    </row>
    <row r="1072" spans="8:8" x14ac:dyDescent="0.2">
      <c r="H1072" s="24"/>
    </row>
    <row r="1073" spans="8:8" x14ac:dyDescent="0.2">
      <c r="H1073" s="24"/>
    </row>
    <row r="1074" spans="8:8" x14ac:dyDescent="0.2">
      <c r="H1074" s="24"/>
    </row>
    <row r="1075" spans="8:8" x14ac:dyDescent="0.2">
      <c r="H1075" s="24"/>
    </row>
    <row r="1076" spans="8:8" x14ac:dyDescent="0.2">
      <c r="H1076" s="24"/>
    </row>
    <row r="1077" spans="8:8" x14ac:dyDescent="0.2">
      <c r="H1077" s="24"/>
    </row>
    <row r="1078" spans="8:8" x14ac:dyDescent="0.2">
      <c r="H1078" s="24"/>
    </row>
    <row r="1079" spans="8:8" x14ac:dyDescent="0.2">
      <c r="H1079" s="24"/>
    </row>
    <row r="1080" spans="8:8" x14ac:dyDescent="0.2">
      <c r="H1080" s="24"/>
    </row>
    <row r="1081" spans="8:8" x14ac:dyDescent="0.2">
      <c r="H1081" s="16"/>
    </row>
    <row r="1082" spans="8:8" x14ac:dyDescent="0.2">
      <c r="H1082" s="16"/>
    </row>
    <row r="1083" spans="8:8" x14ac:dyDescent="0.2">
      <c r="H1083" s="16"/>
    </row>
    <row r="1084" spans="8:8" x14ac:dyDescent="0.2">
      <c r="H1084" s="16"/>
    </row>
    <row r="1085" spans="8:8" x14ac:dyDescent="0.2">
      <c r="H1085" s="16"/>
    </row>
    <row r="1086" spans="8:8" x14ac:dyDescent="0.2">
      <c r="H1086" s="16"/>
    </row>
    <row r="1087" spans="8:8" x14ac:dyDescent="0.2">
      <c r="H1087" s="16"/>
    </row>
    <row r="1088" spans="8:8" x14ac:dyDescent="0.2">
      <c r="H1088" s="16"/>
    </row>
    <row r="1089" spans="8:8" x14ac:dyDescent="0.2">
      <c r="H1089" s="16"/>
    </row>
    <row r="1090" spans="8:8" x14ac:dyDescent="0.2">
      <c r="H1090" s="16"/>
    </row>
    <row r="1091" spans="8:8" x14ac:dyDescent="0.2">
      <c r="H1091" s="16"/>
    </row>
    <row r="1092" spans="8:8" x14ac:dyDescent="0.2">
      <c r="H1092" s="16"/>
    </row>
    <row r="1093" spans="8:8" x14ac:dyDescent="0.2">
      <c r="H1093" s="16"/>
    </row>
    <row r="1094" spans="8:8" x14ac:dyDescent="0.2">
      <c r="H1094" s="16"/>
    </row>
    <row r="1095" spans="8:8" x14ac:dyDescent="0.2">
      <c r="H1095" s="16"/>
    </row>
    <row r="1096" spans="8:8" x14ac:dyDescent="0.2">
      <c r="H1096" s="16"/>
    </row>
    <row r="1097" spans="8:8" x14ac:dyDescent="0.2">
      <c r="H1097" s="16"/>
    </row>
    <row r="1098" spans="8:8" x14ac:dyDescent="0.2">
      <c r="H1098" s="16"/>
    </row>
    <row r="1099" spans="8:8" x14ac:dyDescent="0.2">
      <c r="H1099" s="16"/>
    </row>
    <row r="1100" spans="8:8" x14ac:dyDescent="0.2">
      <c r="H1100" s="16"/>
    </row>
    <row r="1101" spans="8:8" x14ac:dyDescent="0.2">
      <c r="H1101" s="16"/>
    </row>
    <row r="1102" spans="8:8" x14ac:dyDescent="0.2">
      <c r="H1102" s="16"/>
    </row>
    <row r="1103" spans="8:8" x14ac:dyDescent="0.2">
      <c r="H1103" s="16"/>
    </row>
    <row r="1104" spans="8:8" x14ac:dyDescent="0.2">
      <c r="H1104" s="16"/>
    </row>
    <row r="1105" spans="8:8" x14ac:dyDescent="0.2">
      <c r="H1105" s="16"/>
    </row>
    <row r="1106" spans="8:8" x14ac:dyDescent="0.2">
      <c r="H1106" s="16"/>
    </row>
    <row r="1107" spans="8:8" x14ac:dyDescent="0.2">
      <c r="H1107" s="16"/>
    </row>
    <row r="1108" spans="8:8" x14ac:dyDescent="0.2">
      <c r="H1108" s="16"/>
    </row>
    <row r="1109" spans="8:8" x14ac:dyDescent="0.2">
      <c r="H1109" s="16"/>
    </row>
    <row r="1110" spans="8:8" x14ac:dyDescent="0.2">
      <c r="H1110" s="16"/>
    </row>
    <row r="1111" spans="8:8" x14ac:dyDescent="0.2">
      <c r="H1111" s="16"/>
    </row>
    <row r="1112" spans="8:8" x14ac:dyDescent="0.2">
      <c r="H1112" s="16"/>
    </row>
    <row r="1113" spans="8:8" x14ac:dyDescent="0.2">
      <c r="H1113" s="16"/>
    </row>
    <row r="1114" spans="8:8" x14ac:dyDescent="0.2">
      <c r="H1114" s="16"/>
    </row>
    <row r="1115" spans="8:8" x14ac:dyDescent="0.2">
      <c r="H1115" s="16"/>
    </row>
    <row r="1116" spans="8:8" x14ac:dyDescent="0.2">
      <c r="H1116" s="16"/>
    </row>
    <row r="1117" spans="8:8" x14ac:dyDescent="0.2">
      <c r="H1117" s="16"/>
    </row>
    <row r="1118" spans="8:8" x14ac:dyDescent="0.2">
      <c r="H1118" s="16"/>
    </row>
    <row r="1119" spans="8:8" x14ac:dyDescent="0.2">
      <c r="H1119" s="16"/>
    </row>
    <row r="1120" spans="8:8" x14ac:dyDescent="0.2">
      <c r="H1120" s="16"/>
    </row>
    <row r="1121" spans="8:8" x14ac:dyDescent="0.2">
      <c r="H1121" s="16"/>
    </row>
    <row r="1122" spans="8:8" x14ac:dyDescent="0.2">
      <c r="H1122" s="16"/>
    </row>
    <row r="1123" spans="8:8" x14ac:dyDescent="0.2">
      <c r="H1123" s="16"/>
    </row>
    <row r="1124" spans="8:8" x14ac:dyDescent="0.2">
      <c r="H1124" s="16"/>
    </row>
    <row r="1125" spans="8:8" x14ac:dyDescent="0.2">
      <c r="H1125" s="16"/>
    </row>
    <row r="1126" spans="8:8" x14ac:dyDescent="0.2">
      <c r="H1126" s="16"/>
    </row>
    <row r="1127" spans="8:8" x14ac:dyDescent="0.2">
      <c r="H1127" s="16"/>
    </row>
    <row r="1128" spans="8:8" x14ac:dyDescent="0.2">
      <c r="H1128" s="16"/>
    </row>
    <row r="1129" spans="8:8" x14ac:dyDescent="0.2">
      <c r="H1129" s="16"/>
    </row>
    <row r="1130" spans="8:8" x14ac:dyDescent="0.2">
      <c r="H1130" s="16"/>
    </row>
    <row r="1131" spans="8:8" x14ac:dyDescent="0.2">
      <c r="H1131" s="16"/>
    </row>
    <row r="1132" spans="8:8" x14ac:dyDescent="0.2">
      <c r="H1132" s="16"/>
    </row>
    <row r="1133" spans="8:8" x14ac:dyDescent="0.2">
      <c r="H1133" s="16"/>
    </row>
    <row r="1134" spans="8:8" x14ac:dyDescent="0.2">
      <c r="H1134" s="16"/>
    </row>
    <row r="1135" spans="8:8" x14ac:dyDescent="0.2">
      <c r="H1135" s="16"/>
    </row>
    <row r="1136" spans="8:8" x14ac:dyDescent="0.2">
      <c r="H1136" s="16"/>
    </row>
    <row r="1137" spans="8:8" x14ac:dyDescent="0.2">
      <c r="H1137" s="16"/>
    </row>
    <row r="1138" spans="8:8" x14ac:dyDescent="0.2">
      <c r="H1138" s="16"/>
    </row>
    <row r="1139" spans="8:8" x14ac:dyDescent="0.2">
      <c r="H1139" s="16"/>
    </row>
    <row r="1140" spans="8:8" x14ac:dyDescent="0.2">
      <c r="H1140" s="16"/>
    </row>
    <row r="1141" spans="8:8" x14ac:dyDescent="0.2">
      <c r="H1141" s="16"/>
    </row>
    <row r="1142" spans="8:8" x14ac:dyDescent="0.2">
      <c r="H1142" s="16"/>
    </row>
    <row r="1143" spans="8:8" x14ac:dyDescent="0.2">
      <c r="H1143" s="16"/>
    </row>
    <row r="1144" spans="8:8" x14ac:dyDescent="0.2">
      <c r="H1144" s="16"/>
    </row>
    <row r="1145" spans="8:8" x14ac:dyDescent="0.2">
      <c r="H1145" s="16"/>
    </row>
    <row r="1146" spans="8:8" x14ac:dyDescent="0.2">
      <c r="H1146" s="16"/>
    </row>
    <row r="1147" spans="8:8" x14ac:dyDescent="0.2">
      <c r="H1147" s="16"/>
    </row>
    <row r="1148" spans="8:8" x14ac:dyDescent="0.2">
      <c r="H1148" s="16"/>
    </row>
    <row r="1149" spans="8:8" x14ac:dyDescent="0.2">
      <c r="H1149" s="16"/>
    </row>
    <row r="1150" spans="8:8" x14ac:dyDescent="0.2">
      <c r="H1150" s="16"/>
    </row>
    <row r="1151" spans="8:8" x14ac:dyDescent="0.2">
      <c r="H1151" s="16"/>
    </row>
    <row r="1152" spans="8:8" x14ac:dyDescent="0.2">
      <c r="H1152" s="16"/>
    </row>
    <row r="1153" spans="8:8" x14ac:dyDescent="0.2">
      <c r="H1153" s="16"/>
    </row>
    <row r="1154" spans="8:8" x14ac:dyDescent="0.2">
      <c r="H1154" s="16"/>
    </row>
    <row r="1155" spans="8:8" x14ac:dyDescent="0.2">
      <c r="H1155" s="16"/>
    </row>
    <row r="1156" spans="8:8" x14ac:dyDescent="0.2">
      <c r="H1156" s="16"/>
    </row>
    <row r="1157" spans="8:8" x14ac:dyDescent="0.2">
      <c r="H1157" s="16"/>
    </row>
    <row r="1158" spans="8:8" x14ac:dyDescent="0.2">
      <c r="H1158" s="16"/>
    </row>
    <row r="1159" spans="8:8" x14ac:dyDescent="0.2">
      <c r="H1159" s="16"/>
    </row>
    <row r="1160" spans="8:8" x14ac:dyDescent="0.2">
      <c r="H1160" s="16"/>
    </row>
    <row r="1161" spans="8:8" x14ac:dyDescent="0.2">
      <c r="H1161" s="16"/>
    </row>
    <row r="1162" spans="8:8" x14ac:dyDescent="0.2">
      <c r="H1162" s="16"/>
    </row>
    <row r="1163" spans="8:8" x14ac:dyDescent="0.2">
      <c r="H1163" s="16"/>
    </row>
    <row r="1164" spans="8:8" x14ac:dyDescent="0.2">
      <c r="H1164" s="16"/>
    </row>
    <row r="1165" spans="8:8" x14ac:dyDescent="0.2">
      <c r="H1165" s="16"/>
    </row>
    <row r="1166" spans="8:8" x14ac:dyDescent="0.2">
      <c r="H1166" s="16"/>
    </row>
    <row r="1167" spans="8:8" x14ac:dyDescent="0.2">
      <c r="H1167" s="16"/>
    </row>
    <row r="1168" spans="8:8" x14ac:dyDescent="0.2">
      <c r="H1168" s="16"/>
    </row>
    <row r="1169" spans="8:8" x14ac:dyDescent="0.2">
      <c r="H1169" s="16"/>
    </row>
    <row r="1170" spans="8:8" x14ac:dyDescent="0.2">
      <c r="H1170" s="16"/>
    </row>
    <row r="1171" spans="8:8" x14ac:dyDescent="0.2">
      <c r="H1171" s="16"/>
    </row>
    <row r="1172" spans="8:8" x14ac:dyDescent="0.2">
      <c r="H1172" s="16"/>
    </row>
    <row r="1173" spans="8:8" x14ac:dyDescent="0.2">
      <c r="H1173" s="16"/>
    </row>
    <row r="1174" spans="8:8" x14ac:dyDescent="0.2">
      <c r="H1174" s="16"/>
    </row>
    <row r="1175" spans="8:8" x14ac:dyDescent="0.2">
      <c r="H1175" s="16"/>
    </row>
  </sheetData>
  <autoFilter ref="A1:S1038" xr:uid="{7488B50C-F207-174E-BF6E-972132A89E60}"/>
  <conditionalFormatting sqref="E215">
    <cfRule type="notContainsBlanks" dxfId="183" priority="1">
      <formula>LEN(TRIM(E215))&gt;0</formula>
    </cfRule>
  </conditionalFormatting>
  <hyperlinks>
    <hyperlink ref="F304" r:id="rId1" display="diana.lashes.kh" xr:uid="{A45056BB-02B2-B341-AF20-BE3F0D55DD39}"/>
    <hyperlink ref="F306" r:id="rId2" display="animal.clinic.ua" xr:uid="{FFCB3BBF-CF53-C249-995A-E88C67B36E49}"/>
    <hyperlink ref="D630" r:id="rId3" display="cheers.st" xr:uid="{C7ADEB33-3DF3-3F4C-99AE-781AC6B291AB}"/>
    <hyperlink ref="D675" r:id="rId4" xr:uid="{AEE64C2F-8B65-944E-8DF4-75B21ACF84E3}"/>
    <hyperlink ref="F342" r:id="rId5" display="diana.lashes.kh" xr:uid="{3A9ED967-B398-4C46-BA12-6F42B971B8D5}"/>
    <hyperlink ref="F344" r:id="rId6" display="animal.clinic.ua" xr:uid="{92D96E69-3829-BF47-9527-4638B274842B}"/>
    <hyperlink ref="F389" r:id="rId7" display="diana.lashes.kh" xr:uid="{9C771D30-A0F9-644C-9476-D2BFD32AF838}"/>
    <hyperlink ref="F391" r:id="rId8" display="animal.clinic.ua" xr:uid="{93A16EBD-66B2-AB40-99C4-DDCF39A88C4C}"/>
    <hyperlink ref="F863" r:id="rId9" display="diana.lashes.kh" xr:uid="{F0CC4ED2-FD14-524D-89F3-0C3BABA4750D}"/>
    <hyperlink ref="F865" r:id="rId10" display="animal.clinic.ua" xr:uid="{E3546FFF-1F44-CA43-A637-2446B370A2EA}"/>
    <hyperlink ref="F901" r:id="rId11" display="diana.lashes.kh" xr:uid="{D381CFF4-02D8-AB4A-BF3B-A040103096BD}"/>
    <hyperlink ref="F903" r:id="rId12" display="animal.clinic.ua" xr:uid="{2B119410-131C-5C44-A774-5B93EE80D81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2C025-6786-B145-9488-1696ECD42CB5}">
  <dimension ref="A1:X1174"/>
  <sheetViews>
    <sheetView zoomScaleNormal="100" workbookViewId="0">
      <selection activeCell="J2" sqref="J2"/>
    </sheetView>
  </sheetViews>
  <sheetFormatPr baseColWidth="10" defaultColWidth="11.83203125" defaultRowHeight="15" x14ac:dyDescent="0.2"/>
  <cols>
    <col min="1" max="1" width="6.33203125" style="21" customWidth="1"/>
    <col min="2" max="4" width="11.83203125" style="21"/>
    <col min="5" max="5" width="11.83203125" style="16"/>
    <col min="6" max="6" width="11.83203125" style="70"/>
    <col min="7" max="8" width="11.83203125" style="21"/>
    <col min="9" max="9" width="6.6640625" style="21" customWidth="1"/>
    <col min="10" max="11" width="11.83203125" style="21"/>
    <col min="12" max="12" width="11.83203125" style="50"/>
    <col min="13" max="13" width="11.83203125" style="21"/>
    <col min="14" max="15" width="11.83203125" style="50"/>
    <col min="16" max="20" width="11.83203125" style="21"/>
    <col min="21" max="21" width="11.83203125" style="23"/>
    <col min="22" max="22" width="11.83203125" style="21"/>
    <col min="23" max="23" width="11.83203125" style="81"/>
    <col min="24" max="24" width="11.83203125" style="21"/>
  </cols>
  <sheetData>
    <row r="1" spans="1:24" x14ac:dyDescent="0.2">
      <c r="A1" s="17" t="s">
        <v>2440</v>
      </c>
      <c r="B1" s="17" t="s">
        <v>830</v>
      </c>
      <c r="C1" s="18" t="s">
        <v>829</v>
      </c>
      <c r="D1" s="19" t="s">
        <v>813</v>
      </c>
      <c r="E1" s="18" t="s">
        <v>814</v>
      </c>
      <c r="F1" s="65" t="s">
        <v>1011</v>
      </c>
      <c r="G1" s="19" t="s">
        <v>1012</v>
      </c>
      <c r="H1" s="19" t="s">
        <v>2790</v>
      </c>
      <c r="I1" s="19" t="s">
        <v>2748</v>
      </c>
      <c r="J1" s="19" t="s">
        <v>2811</v>
      </c>
      <c r="K1" s="20" t="s">
        <v>2443</v>
      </c>
      <c r="L1" s="38" t="s">
        <v>815</v>
      </c>
      <c r="M1" s="17" t="s">
        <v>816</v>
      </c>
      <c r="N1" s="38" t="s">
        <v>2444</v>
      </c>
      <c r="O1" s="38" t="s">
        <v>2065</v>
      </c>
      <c r="P1" s="19" t="s">
        <v>2064</v>
      </c>
      <c r="Q1" s="19" t="s">
        <v>2063</v>
      </c>
      <c r="R1" s="17" t="s">
        <v>2439</v>
      </c>
      <c r="S1" s="19" t="s">
        <v>2066</v>
      </c>
      <c r="T1" s="19" t="s">
        <v>2441</v>
      </c>
      <c r="U1" s="20" t="s">
        <v>2091</v>
      </c>
      <c r="V1" s="20" t="s">
        <v>2438</v>
      </c>
      <c r="W1" s="79" t="s">
        <v>2433</v>
      </c>
      <c r="X1" s="19" t="s">
        <v>2812</v>
      </c>
    </row>
    <row r="2" spans="1:24" x14ac:dyDescent="0.2">
      <c r="A2" s="1">
        <v>1</v>
      </c>
      <c r="B2" s="1" t="s">
        <v>0</v>
      </c>
      <c r="C2" s="1" t="s">
        <v>2781</v>
      </c>
      <c r="D2" s="1" t="s">
        <v>869</v>
      </c>
      <c r="E2" s="15" t="s">
        <v>817</v>
      </c>
      <c r="F2" s="66" t="s">
        <v>870</v>
      </c>
      <c r="G2" s="24" t="s">
        <v>2793</v>
      </c>
      <c r="H2" s="15" t="s">
        <v>2788</v>
      </c>
      <c r="I2" s="16">
        <v>33</v>
      </c>
      <c r="J2" s="16" t="str">
        <f>IF(I2&lt;=35,"Young",IF(I2&lt;=49,"Middle Age",IF(I2&gt;=50,"Old")))</f>
        <v>Young</v>
      </c>
      <c r="K2" s="25">
        <v>3</v>
      </c>
      <c r="L2" s="71">
        <v>1000</v>
      </c>
      <c r="M2" s="26">
        <v>400</v>
      </c>
      <c r="N2" s="39">
        <f t="shared" ref="N2:N65" si="0">L2*K2</f>
        <v>3000</v>
      </c>
      <c r="O2" s="39">
        <f t="shared" ref="O2:O65" si="1">N2-(M2*K2)</f>
        <v>1800</v>
      </c>
      <c r="P2" s="24" t="s">
        <v>2031</v>
      </c>
      <c r="Q2" s="24" t="s">
        <v>2016</v>
      </c>
      <c r="R2" s="1" t="s">
        <v>2013</v>
      </c>
      <c r="S2" s="15" t="s">
        <v>2082</v>
      </c>
      <c r="T2" s="15" t="s">
        <v>2442</v>
      </c>
      <c r="U2" s="25" t="s">
        <v>2083</v>
      </c>
      <c r="V2" s="25" t="s">
        <v>2434</v>
      </c>
      <c r="W2" s="80">
        <v>44999</v>
      </c>
      <c r="X2" s="21" t="s">
        <v>2816</v>
      </c>
    </row>
    <row r="3" spans="1:24" x14ac:dyDescent="0.2">
      <c r="A3" s="1">
        <v>2</v>
      </c>
      <c r="B3" s="1" t="s">
        <v>1</v>
      </c>
      <c r="C3" s="1" t="s">
        <v>2781</v>
      </c>
      <c r="D3" s="1" t="s">
        <v>869</v>
      </c>
      <c r="E3" s="15" t="s">
        <v>818</v>
      </c>
      <c r="F3" s="66" t="s">
        <v>871</v>
      </c>
      <c r="G3" s="24" t="s">
        <v>2791</v>
      </c>
      <c r="H3" s="15" t="s">
        <v>2788</v>
      </c>
      <c r="I3" s="16">
        <v>27</v>
      </c>
      <c r="J3" s="16" t="str">
        <f t="shared" ref="J3:J66" si="2">IF(I3&lt;=35,"Young",IF(I3&lt;=49,"Middle Age",IF(I3&gt;=50,"Old")))</f>
        <v>Young</v>
      </c>
      <c r="K3" s="25">
        <v>1</v>
      </c>
      <c r="L3" s="71">
        <v>650</v>
      </c>
      <c r="M3" s="26">
        <v>320</v>
      </c>
      <c r="N3" s="39">
        <f t="shared" si="0"/>
        <v>650</v>
      </c>
      <c r="O3" s="39">
        <f t="shared" si="1"/>
        <v>330</v>
      </c>
      <c r="P3" s="24" t="s">
        <v>2030</v>
      </c>
      <c r="Q3" s="24" t="s">
        <v>2024</v>
      </c>
      <c r="R3" s="1" t="s">
        <v>2013</v>
      </c>
      <c r="S3" s="15" t="s">
        <v>2082</v>
      </c>
      <c r="T3" s="15" t="s">
        <v>2442</v>
      </c>
      <c r="U3" s="25" t="s">
        <v>2084</v>
      </c>
      <c r="V3" s="25" t="s">
        <v>2435</v>
      </c>
      <c r="W3" s="80">
        <v>44974</v>
      </c>
      <c r="X3" s="21" t="s">
        <v>2817</v>
      </c>
    </row>
    <row r="4" spans="1:24" x14ac:dyDescent="0.2">
      <c r="A4" s="1">
        <v>3</v>
      </c>
      <c r="B4" s="1" t="s">
        <v>2</v>
      </c>
      <c r="C4" s="1" t="s">
        <v>2781</v>
      </c>
      <c r="D4" s="1" t="s">
        <v>869</v>
      </c>
      <c r="E4" s="15" t="s">
        <v>818</v>
      </c>
      <c r="F4" s="66" t="s">
        <v>872</v>
      </c>
      <c r="G4" s="24" t="s">
        <v>2795</v>
      </c>
      <c r="H4" s="15" t="s">
        <v>2789</v>
      </c>
      <c r="I4" s="16">
        <v>45</v>
      </c>
      <c r="J4" s="16" t="str">
        <f t="shared" si="2"/>
        <v>Middle Age</v>
      </c>
      <c r="K4" s="25">
        <v>5</v>
      </c>
      <c r="L4" s="71">
        <v>950</v>
      </c>
      <c r="M4" s="26">
        <v>400</v>
      </c>
      <c r="N4" s="39">
        <f t="shared" si="0"/>
        <v>4750</v>
      </c>
      <c r="O4" s="39">
        <f t="shared" si="1"/>
        <v>2750</v>
      </c>
      <c r="P4" s="24" t="s">
        <v>2042</v>
      </c>
      <c r="Q4" s="15" t="s">
        <v>2828</v>
      </c>
      <c r="R4" s="1" t="s">
        <v>2013</v>
      </c>
      <c r="S4" s="15" t="s">
        <v>2082</v>
      </c>
      <c r="T4" s="15" t="s">
        <v>2442</v>
      </c>
      <c r="U4" s="25" t="s">
        <v>2084</v>
      </c>
      <c r="V4" s="25" t="s">
        <v>2436</v>
      </c>
      <c r="W4" s="80">
        <v>45186</v>
      </c>
      <c r="X4" s="21" t="s">
        <v>2820</v>
      </c>
    </row>
    <row r="5" spans="1:24" x14ac:dyDescent="0.2">
      <c r="A5" s="1">
        <v>4</v>
      </c>
      <c r="B5" s="1" t="s">
        <v>2</v>
      </c>
      <c r="C5" s="1" t="s">
        <v>2781</v>
      </c>
      <c r="D5" s="1" t="s">
        <v>869</v>
      </c>
      <c r="E5" s="15" t="s">
        <v>821</v>
      </c>
      <c r="F5" s="66" t="s">
        <v>873</v>
      </c>
      <c r="G5" s="24" t="s">
        <v>2797</v>
      </c>
      <c r="H5" s="15" t="s">
        <v>2788</v>
      </c>
      <c r="I5" s="16">
        <v>52</v>
      </c>
      <c r="J5" s="16" t="str">
        <f t="shared" si="2"/>
        <v>Old</v>
      </c>
      <c r="K5" s="25">
        <v>2</v>
      </c>
      <c r="L5" s="71">
        <v>900</v>
      </c>
      <c r="M5" s="26">
        <v>400</v>
      </c>
      <c r="N5" s="39">
        <f t="shared" si="0"/>
        <v>1800</v>
      </c>
      <c r="O5" s="39">
        <f t="shared" si="1"/>
        <v>1000</v>
      </c>
      <c r="P5" s="24" t="s">
        <v>2032</v>
      </c>
      <c r="Q5" s="15" t="s">
        <v>2016</v>
      </c>
      <c r="R5" s="1" t="s">
        <v>2013</v>
      </c>
      <c r="S5" s="15" t="s">
        <v>2082</v>
      </c>
      <c r="T5" s="15" t="s">
        <v>2442</v>
      </c>
      <c r="U5" s="25" t="s">
        <v>2085</v>
      </c>
      <c r="V5" s="25" t="s">
        <v>2437</v>
      </c>
      <c r="W5" s="80">
        <v>45155</v>
      </c>
      <c r="X5" s="21" t="s">
        <v>2819</v>
      </c>
    </row>
    <row r="6" spans="1:24" x14ac:dyDescent="0.2">
      <c r="A6" s="1">
        <v>5</v>
      </c>
      <c r="B6" s="1" t="s">
        <v>1</v>
      </c>
      <c r="C6" s="1" t="s">
        <v>2781</v>
      </c>
      <c r="D6" s="1" t="s">
        <v>869</v>
      </c>
      <c r="E6" s="25" t="s">
        <v>817</v>
      </c>
      <c r="F6" s="66" t="s">
        <v>874</v>
      </c>
      <c r="G6" s="24" t="s">
        <v>2799</v>
      </c>
      <c r="H6" s="15" t="s">
        <v>2788</v>
      </c>
      <c r="I6" s="16">
        <v>23</v>
      </c>
      <c r="J6" s="16" t="str">
        <f t="shared" si="2"/>
        <v>Young</v>
      </c>
      <c r="K6" s="25">
        <v>4</v>
      </c>
      <c r="L6" s="71">
        <v>650</v>
      </c>
      <c r="M6" s="26">
        <v>650</v>
      </c>
      <c r="N6" s="39">
        <f t="shared" si="0"/>
        <v>2600</v>
      </c>
      <c r="O6" s="39">
        <f t="shared" si="1"/>
        <v>0</v>
      </c>
      <c r="P6" s="24" t="s">
        <v>2042</v>
      </c>
      <c r="Q6" s="15" t="s">
        <v>2828</v>
      </c>
      <c r="R6" s="1" t="s">
        <v>2013</v>
      </c>
      <c r="S6" s="15" t="s">
        <v>2082</v>
      </c>
      <c r="T6" s="15" t="s">
        <v>2442</v>
      </c>
      <c r="U6" s="25" t="s">
        <v>2086</v>
      </c>
      <c r="V6" s="25" t="s">
        <v>2434</v>
      </c>
      <c r="W6" s="80">
        <v>44936</v>
      </c>
      <c r="X6" s="21" t="s">
        <v>2818</v>
      </c>
    </row>
    <row r="7" spans="1:24" x14ac:dyDescent="0.2">
      <c r="A7" s="3">
        <v>6</v>
      </c>
      <c r="B7" s="3" t="s">
        <v>3</v>
      </c>
      <c r="C7" s="1" t="s">
        <v>2781</v>
      </c>
      <c r="D7" s="1" t="s">
        <v>869</v>
      </c>
      <c r="E7" s="29" t="s">
        <v>817</v>
      </c>
      <c r="F7" s="67" t="s">
        <v>875</v>
      </c>
      <c r="G7" s="24" t="s">
        <v>2801</v>
      </c>
      <c r="H7" s="15" t="s">
        <v>2788</v>
      </c>
      <c r="I7" s="16">
        <v>38</v>
      </c>
      <c r="J7" s="16" t="str">
        <f t="shared" si="2"/>
        <v>Middle Age</v>
      </c>
      <c r="K7" s="25">
        <v>2</v>
      </c>
      <c r="L7" s="40">
        <v>650</v>
      </c>
      <c r="M7" s="27">
        <v>400</v>
      </c>
      <c r="N7" s="39">
        <f t="shared" si="0"/>
        <v>1300</v>
      </c>
      <c r="O7" s="39">
        <f t="shared" si="1"/>
        <v>500</v>
      </c>
      <c r="P7" s="24" t="s">
        <v>2037</v>
      </c>
      <c r="Q7" s="24" t="s">
        <v>2014</v>
      </c>
      <c r="R7" s="1" t="s">
        <v>2013</v>
      </c>
      <c r="S7" s="15" t="s">
        <v>2082</v>
      </c>
      <c r="T7" s="15" t="s">
        <v>2442</v>
      </c>
      <c r="U7" s="25" t="s">
        <v>2086</v>
      </c>
      <c r="V7" s="25" t="s">
        <v>2436</v>
      </c>
      <c r="W7" s="80">
        <v>45235</v>
      </c>
      <c r="X7" s="21" t="s">
        <v>2823</v>
      </c>
    </row>
    <row r="8" spans="1:24" x14ac:dyDescent="0.2">
      <c r="A8" s="1">
        <v>7</v>
      </c>
      <c r="B8" s="1" t="s">
        <v>1</v>
      </c>
      <c r="C8" s="1" t="s">
        <v>2781</v>
      </c>
      <c r="D8" s="1" t="s">
        <v>869</v>
      </c>
      <c r="E8" s="15" t="s">
        <v>818</v>
      </c>
      <c r="F8" s="66" t="s">
        <v>876</v>
      </c>
      <c r="G8" s="24" t="s">
        <v>2803</v>
      </c>
      <c r="H8" s="15" t="s">
        <v>2788</v>
      </c>
      <c r="I8" s="16">
        <v>41</v>
      </c>
      <c r="J8" s="16" t="str">
        <f t="shared" si="2"/>
        <v>Middle Age</v>
      </c>
      <c r="K8" s="25">
        <v>1</v>
      </c>
      <c r="L8" s="71">
        <v>700</v>
      </c>
      <c r="M8" s="26">
        <v>320</v>
      </c>
      <c r="N8" s="39">
        <f t="shared" si="0"/>
        <v>700</v>
      </c>
      <c r="O8" s="39">
        <f t="shared" si="1"/>
        <v>380</v>
      </c>
      <c r="P8" s="24" t="s">
        <v>2053</v>
      </c>
      <c r="Q8" s="24" t="s">
        <v>2014</v>
      </c>
      <c r="R8" s="1" t="s">
        <v>2013</v>
      </c>
      <c r="S8" s="15" t="s">
        <v>2082</v>
      </c>
      <c r="T8" s="15" t="s">
        <v>2442</v>
      </c>
      <c r="U8" s="25" t="s">
        <v>2084</v>
      </c>
      <c r="V8" s="25" t="s">
        <v>2437</v>
      </c>
      <c r="W8" s="80">
        <v>45093</v>
      </c>
      <c r="X8" s="21" t="s">
        <v>2814</v>
      </c>
    </row>
    <row r="9" spans="1:24" x14ac:dyDescent="0.2">
      <c r="A9" s="1">
        <v>8</v>
      </c>
      <c r="B9" s="1" t="s">
        <v>2</v>
      </c>
      <c r="C9" s="1" t="s">
        <v>2781</v>
      </c>
      <c r="D9" s="1" t="s">
        <v>869</v>
      </c>
      <c r="E9" s="15" t="s">
        <v>823</v>
      </c>
      <c r="F9" s="66" t="s">
        <v>877</v>
      </c>
      <c r="G9" s="24" t="s">
        <v>2805</v>
      </c>
      <c r="H9" s="15" t="s">
        <v>2789</v>
      </c>
      <c r="I9" s="16">
        <v>29</v>
      </c>
      <c r="J9" s="16" t="str">
        <f t="shared" si="2"/>
        <v>Young</v>
      </c>
      <c r="K9" s="25">
        <v>3</v>
      </c>
      <c r="L9" s="71">
        <v>950</v>
      </c>
      <c r="M9" s="26">
        <v>350</v>
      </c>
      <c r="N9" s="39">
        <f t="shared" si="0"/>
        <v>2850</v>
      </c>
      <c r="O9" s="39">
        <f t="shared" si="1"/>
        <v>1800</v>
      </c>
      <c r="P9" s="24" t="s">
        <v>2037</v>
      </c>
      <c r="Q9" s="24" t="s">
        <v>2014</v>
      </c>
      <c r="R9" s="1" t="s">
        <v>2013</v>
      </c>
      <c r="S9" s="15" t="s">
        <v>2082</v>
      </c>
      <c r="T9" s="15" t="s">
        <v>2442</v>
      </c>
      <c r="U9" s="25" t="s">
        <v>2084</v>
      </c>
      <c r="V9" s="25" t="s">
        <v>2435</v>
      </c>
      <c r="W9" s="80">
        <v>45036</v>
      </c>
      <c r="X9" s="21" t="s">
        <v>2815</v>
      </c>
    </row>
    <row r="10" spans="1:24" x14ac:dyDescent="0.2">
      <c r="A10" s="1">
        <v>9</v>
      </c>
      <c r="B10" s="1" t="s">
        <v>2</v>
      </c>
      <c r="C10" s="1" t="s">
        <v>2781</v>
      </c>
      <c r="D10" s="1" t="s">
        <v>869</v>
      </c>
      <c r="E10" s="15" t="s">
        <v>817</v>
      </c>
      <c r="F10" s="66" t="s">
        <v>878</v>
      </c>
      <c r="G10" s="24" t="s">
        <v>2807</v>
      </c>
      <c r="H10" s="15" t="s">
        <v>2789</v>
      </c>
      <c r="I10" s="16">
        <v>60</v>
      </c>
      <c r="J10" s="16" t="str">
        <f t="shared" si="2"/>
        <v>Old</v>
      </c>
      <c r="K10" s="25">
        <v>5</v>
      </c>
      <c r="L10" s="71">
        <v>950</v>
      </c>
      <c r="M10" s="26">
        <v>350</v>
      </c>
      <c r="N10" s="39">
        <f t="shared" si="0"/>
        <v>4750</v>
      </c>
      <c r="O10" s="39">
        <f t="shared" si="1"/>
        <v>3000</v>
      </c>
      <c r="P10" s="24" t="s">
        <v>2025</v>
      </c>
      <c r="Q10" s="24" t="s">
        <v>2024</v>
      </c>
      <c r="R10" s="1" t="s">
        <v>2013</v>
      </c>
      <c r="S10" s="15" t="s">
        <v>2082</v>
      </c>
      <c r="T10" s="15" t="s">
        <v>2442</v>
      </c>
      <c r="U10" s="25" t="s">
        <v>2087</v>
      </c>
      <c r="V10" s="25" t="s">
        <v>2435</v>
      </c>
      <c r="W10" s="80">
        <v>45121</v>
      </c>
      <c r="X10" s="21" t="s">
        <v>2813</v>
      </c>
    </row>
    <row r="11" spans="1:24" x14ac:dyDescent="0.2">
      <c r="A11" s="1">
        <v>10</v>
      </c>
      <c r="B11" s="1" t="s">
        <v>2</v>
      </c>
      <c r="C11" s="1" t="s">
        <v>2781</v>
      </c>
      <c r="D11" s="1" t="s">
        <v>869</v>
      </c>
      <c r="E11" s="15" t="s">
        <v>818</v>
      </c>
      <c r="F11" s="66" t="s">
        <v>879</v>
      </c>
      <c r="G11" s="24" t="s">
        <v>2809</v>
      </c>
      <c r="H11" s="15" t="s">
        <v>2788</v>
      </c>
      <c r="I11" s="16">
        <v>33</v>
      </c>
      <c r="J11" s="16" t="str">
        <f t="shared" si="2"/>
        <v>Young</v>
      </c>
      <c r="K11" s="25">
        <v>4</v>
      </c>
      <c r="L11" s="71">
        <v>950</v>
      </c>
      <c r="M11" s="26">
        <v>400</v>
      </c>
      <c r="N11" s="39">
        <f t="shared" si="0"/>
        <v>3800</v>
      </c>
      <c r="O11" s="39">
        <f t="shared" si="1"/>
        <v>2200</v>
      </c>
      <c r="P11" s="24" t="s">
        <v>2052</v>
      </c>
      <c r="Q11" s="15" t="s">
        <v>2016</v>
      </c>
      <c r="R11" s="1" t="s">
        <v>2013</v>
      </c>
      <c r="S11" s="15" t="s">
        <v>2082</v>
      </c>
      <c r="T11" s="15" t="s">
        <v>2442</v>
      </c>
      <c r="U11" s="25" t="s">
        <v>2088</v>
      </c>
      <c r="V11" s="25" t="s">
        <v>2434</v>
      </c>
      <c r="W11" s="80">
        <v>45082</v>
      </c>
      <c r="X11" s="21" t="s">
        <v>2814</v>
      </c>
    </row>
    <row r="12" spans="1:24" x14ac:dyDescent="0.2">
      <c r="A12" s="1">
        <v>11</v>
      </c>
      <c r="B12" s="1" t="s">
        <v>2</v>
      </c>
      <c r="C12" s="1" t="s">
        <v>2781</v>
      </c>
      <c r="D12" s="1" t="s">
        <v>869</v>
      </c>
      <c r="E12" s="15" t="s">
        <v>817</v>
      </c>
      <c r="F12" s="66" t="s">
        <v>880</v>
      </c>
      <c r="G12" s="24" t="s">
        <v>2794</v>
      </c>
      <c r="H12" s="15" t="s">
        <v>2789</v>
      </c>
      <c r="I12" s="16">
        <v>22</v>
      </c>
      <c r="J12" s="16" t="str">
        <f t="shared" si="2"/>
        <v>Young</v>
      </c>
      <c r="K12" s="25">
        <v>1</v>
      </c>
      <c r="L12" s="71">
        <v>950</v>
      </c>
      <c r="M12" s="26">
        <v>350</v>
      </c>
      <c r="N12" s="39">
        <f t="shared" si="0"/>
        <v>950</v>
      </c>
      <c r="O12" s="39">
        <f t="shared" si="1"/>
        <v>600</v>
      </c>
      <c r="P12" s="24" t="s">
        <v>2034</v>
      </c>
      <c r="Q12" s="24" t="s">
        <v>2016</v>
      </c>
      <c r="R12" s="1" t="s">
        <v>2013</v>
      </c>
      <c r="S12" s="15" t="s">
        <v>2082</v>
      </c>
      <c r="T12" s="15" t="s">
        <v>2442</v>
      </c>
      <c r="U12" s="25" t="s">
        <v>2086</v>
      </c>
      <c r="V12" s="25" t="s">
        <v>2436</v>
      </c>
      <c r="W12" s="80">
        <v>45021</v>
      </c>
      <c r="X12" s="21" t="s">
        <v>2815</v>
      </c>
    </row>
    <row r="13" spans="1:24" x14ac:dyDescent="0.2">
      <c r="A13" s="1">
        <v>12</v>
      </c>
      <c r="B13" s="1" t="s">
        <v>2</v>
      </c>
      <c r="C13" s="1" t="s">
        <v>2781</v>
      </c>
      <c r="D13" s="1" t="s">
        <v>869</v>
      </c>
      <c r="E13" s="15" t="s">
        <v>818</v>
      </c>
      <c r="F13" s="66" t="s">
        <v>881</v>
      </c>
      <c r="G13" s="24" t="s">
        <v>2792</v>
      </c>
      <c r="H13" s="15" t="s">
        <v>2789</v>
      </c>
      <c r="I13" s="16">
        <v>47</v>
      </c>
      <c r="J13" s="16" t="str">
        <f t="shared" si="2"/>
        <v>Middle Age</v>
      </c>
      <c r="K13" s="25">
        <v>2</v>
      </c>
      <c r="L13" s="71">
        <v>950</v>
      </c>
      <c r="M13" s="26">
        <v>470</v>
      </c>
      <c r="N13" s="39">
        <f t="shared" si="0"/>
        <v>1900</v>
      </c>
      <c r="O13" s="39">
        <f t="shared" si="1"/>
        <v>960</v>
      </c>
      <c r="P13" s="24" t="s">
        <v>2026</v>
      </c>
      <c r="Q13" s="15" t="s">
        <v>2014</v>
      </c>
      <c r="R13" s="1" t="s">
        <v>2013</v>
      </c>
      <c r="S13" s="15" t="s">
        <v>2082</v>
      </c>
      <c r="T13" s="15" t="s">
        <v>2442</v>
      </c>
      <c r="U13" s="25" t="s">
        <v>2087</v>
      </c>
      <c r="V13" s="25" t="s">
        <v>2437</v>
      </c>
      <c r="W13" s="80">
        <v>45013</v>
      </c>
      <c r="X13" s="21" t="s">
        <v>2816</v>
      </c>
    </row>
    <row r="14" spans="1:24" x14ac:dyDescent="0.2">
      <c r="A14" s="1">
        <v>13</v>
      </c>
      <c r="B14" s="1" t="s">
        <v>0</v>
      </c>
      <c r="C14" s="1" t="s">
        <v>2781</v>
      </c>
      <c r="D14" s="1" t="s">
        <v>869</v>
      </c>
      <c r="E14" s="15" t="s">
        <v>817</v>
      </c>
      <c r="F14" s="66" t="s">
        <v>882</v>
      </c>
      <c r="G14" s="24" t="s">
        <v>2796</v>
      </c>
      <c r="H14" s="15" t="s">
        <v>2788</v>
      </c>
      <c r="I14" s="16">
        <v>55</v>
      </c>
      <c r="J14" s="16" t="str">
        <f t="shared" si="2"/>
        <v>Old</v>
      </c>
      <c r="K14" s="25">
        <v>3</v>
      </c>
      <c r="L14" s="71">
        <v>1050</v>
      </c>
      <c r="M14" s="26">
        <v>400</v>
      </c>
      <c r="N14" s="39">
        <f t="shared" si="0"/>
        <v>3150</v>
      </c>
      <c r="O14" s="39">
        <f t="shared" si="1"/>
        <v>1950</v>
      </c>
      <c r="P14" s="24" t="s">
        <v>2053</v>
      </c>
      <c r="Q14" s="24" t="s">
        <v>2014</v>
      </c>
      <c r="R14" s="1" t="s">
        <v>2013</v>
      </c>
      <c r="S14" s="15" t="s">
        <v>2082</v>
      </c>
      <c r="T14" s="15" t="s">
        <v>2442</v>
      </c>
      <c r="U14" s="25" t="s">
        <v>2088</v>
      </c>
      <c r="V14" s="25" t="s">
        <v>2436</v>
      </c>
      <c r="W14" s="80">
        <v>45204</v>
      </c>
      <c r="X14" s="21" t="s">
        <v>2821</v>
      </c>
    </row>
    <row r="15" spans="1:24" x14ac:dyDescent="0.2">
      <c r="A15" s="1">
        <v>14</v>
      </c>
      <c r="B15" s="1" t="s">
        <v>2</v>
      </c>
      <c r="C15" s="1" t="s">
        <v>2781</v>
      </c>
      <c r="D15" s="1" t="s">
        <v>869</v>
      </c>
      <c r="E15" s="15" t="s">
        <v>817</v>
      </c>
      <c r="F15" s="66" t="s">
        <v>881</v>
      </c>
      <c r="G15" s="24" t="s">
        <v>2798</v>
      </c>
      <c r="H15" s="15" t="s">
        <v>2789</v>
      </c>
      <c r="I15" s="16">
        <v>36</v>
      </c>
      <c r="J15" s="16" t="str">
        <f t="shared" si="2"/>
        <v>Middle Age</v>
      </c>
      <c r="K15" s="25">
        <v>4</v>
      </c>
      <c r="L15" s="71">
        <v>1150</v>
      </c>
      <c r="M15" s="26">
        <v>400</v>
      </c>
      <c r="N15" s="39">
        <f t="shared" si="0"/>
        <v>4600</v>
      </c>
      <c r="O15" s="39">
        <f t="shared" si="1"/>
        <v>3000</v>
      </c>
      <c r="P15" s="24" t="s">
        <v>2043</v>
      </c>
      <c r="Q15" s="24" t="s">
        <v>2016</v>
      </c>
      <c r="R15" s="1" t="s">
        <v>2013</v>
      </c>
      <c r="S15" s="15" t="s">
        <v>2082</v>
      </c>
      <c r="T15" s="15" t="s">
        <v>2442</v>
      </c>
      <c r="U15" s="25" t="s">
        <v>2085</v>
      </c>
      <c r="V15" s="25" t="s">
        <v>2437</v>
      </c>
      <c r="W15" s="80">
        <v>45096</v>
      </c>
      <c r="X15" s="21" t="s">
        <v>2814</v>
      </c>
    </row>
    <row r="16" spans="1:24" x14ac:dyDescent="0.2">
      <c r="A16" s="1">
        <v>15</v>
      </c>
      <c r="B16" s="1" t="s">
        <v>3</v>
      </c>
      <c r="C16" s="1" t="s">
        <v>2781</v>
      </c>
      <c r="D16" s="1" t="s">
        <v>869</v>
      </c>
      <c r="E16" s="15" t="s">
        <v>818</v>
      </c>
      <c r="F16" s="66" t="s">
        <v>883</v>
      </c>
      <c r="G16" s="24" t="s">
        <v>2800</v>
      </c>
      <c r="H16" s="15" t="s">
        <v>2788</v>
      </c>
      <c r="I16" s="16">
        <v>28</v>
      </c>
      <c r="J16" s="16" t="str">
        <f t="shared" si="2"/>
        <v>Young</v>
      </c>
      <c r="K16" s="25">
        <v>5</v>
      </c>
      <c r="L16" s="39">
        <v>950</v>
      </c>
      <c r="M16" s="26">
        <v>450</v>
      </c>
      <c r="N16" s="39">
        <f t="shared" si="0"/>
        <v>4750</v>
      </c>
      <c r="O16" s="39">
        <f t="shared" si="1"/>
        <v>2500</v>
      </c>
      <c r="P16" s="24" t="s">
        <v>2051</v>
      </c>
      <c r="Q16" s="15" t="s">
        <v>2828</v>
      </c>
      <c r="R16" s="1" t="s">
        <v>2013</v>
      </c>
      <c r="S16" s="15" t="s">
        <v>2082</v>
      </c>
      <c r="T16" s="15" t="s">
        <v>2442</v>
      </c>
      <c r="U16" s="25" t="s">
        <v>2089</v>
      </c>
      <c r="V16" s="25" t="s">
        <v>2434</v>
      </c>
      <c r="W16" s="80">
        <v>45091</v>
      </c>
      <c r="X16" s="21" t="s">
        <v>2814</v>
      </c>
    </row>
    <row r="17" spans="1:24" x14ac:dyDescent="0.2">
      <c r="A17" s="1">
        <v>16</v>
      </c>
      <c r="B17" s="1" t="s">
        <v>0</v>
      </c>
      <c r="C17" s="1" t="s">
        <v>2781</v>
      </c>
      <c r="D17" s="1" t="s">
        <v>869</v>
      </c>
      <c r="E17" s="15" t="s">
        <v>817</v>
      </c>
      <c r="F17" s="66" t="s">
        <v>884</v>
      </c>
      <c r="G17" s="24" t="s">
        <v>2802</v>
      </c>
      <c r="H17" s="15" t="s">
        <v>2788</v>
      </c>
      <c r="I17" s="16">
        <v>50</v>
      </c>
      <c r="J17" s="16" t="str">
        <f t="shared" si="2"/>
        <v>Old</v>
      </c>
      <c r="K17" s="25">
        <v>2</v>
      </c>
      <c r="L17" s="71">
        <v>1050</v>
      </c>
      <c r="M17" s="26">
        <v>500</v>
      </c>
      <c r="N17" s="39">
        <f t="shared" si="0"/>
        <v>2100</v>
      </c>
      <c r="O17" s="39">
        <f t="shared" si="1"/>
        <v>1100</v>
      </c>
      <c r="P17" s="24" t="s">
        <v>2018</v>
      </c>
      <c r="Q17" s="15" t="s">
        <v>2828</v>
      </c>
      <c r="R17" s="1" t="s">
        <v>2013</v>
      </c>
      <c r="S17" s="15" t="s">
        <v>2082</v>
      </c>
      <c r="T17" s="15" t="s">
        <v>2442</v>
      </c>
      <c r="U17" s="25" t="s">
        <v>2084</v>
      </c>
      <c r="V17" s="25" t="s">
        <v>2435</v>
      </c>
      <c r="W17" s="80">
        <v>44970</v>
      </c>
      <c r="X17" s="21" t="s">
        <v>2817</v>
      </c>
    </row>
    <row r="18" spans="1:24" x14ac:dyDescent="0.2">
      <c r="A18" s="1">
        <v>17</v>
      </c>
      <c r="B18" s="1" t="s">
        <v>2</v>
      </c>
      <c r="C18" s="1" t="s">
        <v>2781</v>
      </c>
      <c r="D18" s="1" t="s">
        <v>869</v>
      </c>
      <c r="E18" s="15" t="s">
        <v>818</v>
      </c>
      <c r="F18" s="66" t="s">
        <v>885</v>
      </c>
      <c r="G18" s="24" t="s">
        <v>2804</v>
      </c>
      <c r="H18" s="15" t="s">
        <v>2789</v>
      </c>
      <c r="I18" s="16">
        <v>39</v>
      </c>
      <c r="J18" s="16" t="str">
        <f t="shared" si="2"/>
        <v>Middle Age</v>
      </c>
      <c r="K18" s="25">
        <v>1</v>
      </c>
      <c r="L18" s="71">
        <v>670</v>
      </c>
      <c r="M18" s="26">
        <v>550</v>
      </c>
      <c r="N18" s="39">
        <f t="shared" si="0"/>
        <v>670</v>
      </c>
      <c r="O18" s="39">
        <f t="shared" si="1"/>
        <v>120</v>
      </c>
      <c r="P18" s="24" t="s">
        <v>2028</v>
      </c>
      <c r="Q18" s="15" t="s">
        <v>2024</v>
      </c>
      <c r="R18" s="1" t="s">
        <v>2013</v>
      </c>
      <c r="S18" s="15" t="s">
        <v>2082</v>
      </c>
      <c r="T18" s="15" t="s">
        <v>2442</v>
      </c>
      <c r="U18" s="25" t="s">
        <v>2089</v>
      </c>
      <c r="V18" s="25" t="s">
        <v>2434</v>
      </c>
      <c r="W18" s="80">
        <v>45093</v>
      </c>
      <c r="X18" s="21" t="s">
        <v>2814</v>
      </c>
    </row>
    <row r="19" spans="1:24" x14ac:dyDescent="0.2">
      <c r="A19" s="1">
        <v>18</v>
      </c>
      <c r="B19" s="1" t="s">
        <v>0</v>
      </c>
      <c r="C19" s="1" t="s">
        <v>2781</v>
      </c>
      <c r="D19" s="1" t="s">
        <v>869</v>
      </c>
      <c r="E19" s="15" t="s">
        <v>818</v>
      </c>
      <c r="F19" s="66" t="s">
        <v>886</v>
      </c>
      <c r="G19" s="24" t="s">
        <v>2806</v>
      </c>
      <c r="H19" s="15" t="s">
        <v>2788</v>
      </c>
      <c r="I19" s="16">
        <v>31</v>
      </c>
      <c r="J19" s="16" t="str">
        <f t="shared" si="2"/>
        <v>Young</v>
      </c>
      <c r="K19" s="25">
        <v>3</v>
      </c>
      <c r="L19" s="71">
        <v>1100</v>
      </c>
      <c r="M19" s="26">
        <v>600</v>
      </c>
      <c r="N19" s="39">
        <f t="shared" si="0"/>
        <v>3300</v>
      </c>
      <c r="O19" s="39">
        <f t="shared" si="1"/>
        <v>1500</v>
      </c>
      <c r="P19" s="24" t="s">
        <v>2015</v>
      </c>
      <c r="Q19" s="24" t="s">
        <v>2014</v>
      </c>
      <c r="R19" s="1" t="s">
        <v>2013</v>
      </c>
      <c r="S19" s="15" t="s">
        <v>2082</v>
      </c>
      <c r="T19" s="15" t="s">
        <v>2442</v>
      </c>
      <c r="U19" s="25" t="s">
        <v>2089</v>
      </c>
      <c r="V19" s="25" t="s">
        <v>2437</v>
      </c>
      <c r="W19" s="80">
        <v>45083</v>
      </c>
      <c r="X19" s="21" t="s">
        <v>2814</v>
      </c>
    </row>
    <row r="20" spans="1:24" x14ac:dyDescent="0.2">
      <c r="A20" s="1">
        <v>19</v>
      </c>
      <c r="B20" s="2" t="s">
        <v>3</v>
      </c>
      <c r="C20" s="1" t="s">
        <v>2781</v>
      </c>
      <c r="D20" s="1" t="s">
        <v>869</v>
      </c>
      <c r="E20" s="15" t="s">
        <v>822</v>
      </c>
      <c r="F20" s="66" t="s">
        <v>878</v>
      </c>
      <c r="G20" s="24" t="s">
        <v>2808</v>
      </c>
      <c r="H20" s="15" t="s">
        <v>2789</v>
      </c>
      <c r="I20" s="16">
        <v>44</v>
      </c>
      <c r="J20" s="16" t="str">
        <f t="shared" si="2"/>
        <v>Middle Age</v>
      </c>
      <c r="K20" s="25">
        <v>4</v>
      </c>
      <c r="L20" s="39">
        <v>600</v>
      </c>
      <c r="M20" s="26">
        <v>400</v>
      </c>
      <c r="N20" s="39">
        <f t="shared" si="0"/>
        <v>2400</v>
      </c>
      <c r="O20" s="39">
        <f t="shared" si="1"/>
        <v>800</v>
      </c>
      <c r="P20" s="24" t="s">
        <v>2049</v>
      </c>
      <c r="Q20" s="24" t="s">
        <v>2016</v>
      </c>
      <c r="R20" s="1" t="s">
        <v>2013</v>
      </c>
      <c r="S20" s="15" t="s">
        <v>2082</v>
      </c>
      <c r="T20" s="15" t="s">
        <v>2442</v>
      </c>
      <c r="U20" s="25" t="s">
        <v>2084</v>
      </c>
      <c r="V20" s="25" t="s">
        <v>2436</v>
      </c>
      <c r="W20" s="80">
        <v>45125</v>
      </c>
      <c r="X20" s="21" t="s">
        <v>2813</v>
      </c>
    </row>
    <row r="21" spans="1:24" x14ac:dyDescent="0.2">
      <c r="A21" s="4">
        <v>20</v>
      </c>
      <c r="B21" s="4" t="s">
        <v>1</v>
      </c>
      <c r="C21" s="1" t="s">
        <v>2781</v>
      </c>
      <c r="D21" s="1" t="s">
        <v>869</v>
      </c>
      <c r="E21" s="29" t="s">
        <v>818</v>
      </c>
      <c r="F21" s="67" t="s">
        <v>887</v>
      </c>
      <c r="G21" s="24" t="s">
        <v>2810</v>
      </c>
      <c r="H21" s="15" t="s">
        <v>2788</v>
      </c>
      <c r="I21" s="16">
        <v>26</v>
      </c>
      <c r="J21" s="16" t="str">
        <f t="shared" si="2"/>
        <v>Young</v>
      </c>
      <c r="K21" s="25">
        <v>5</v>
      </c>
      <c r="L21" s="40">
        <v>800</v>
      </c>
      <c r="M21" s="28">
        <v>350</v>
      </c>
      <c r="N21" s="39">
        <f t="shared" si="0"/>
        <v>4000</v>
      </c>
      <c r="O21" s="39">
        <f t="shared" si="1"/>
        <v>2250</v>
      </c>
      <c r="P21" s="24" t="s">
        <v>2048</v>
      </c>
      <c r="Q21" s="24" t="s">
        <v>2014</v>
      </c>
      <c r="R21" s="1" t="s">
        <v>2013</v>
      </c>
      <c r="S21" s="15" t="s">
        <v>2082</v>
      </c>
      <c r="T21" s="15" t="s">
        <v>2442</v>
      </c>
      <c r="U21" s="25" t="s">
        <v>2086</v>
      </c>
      <c r="V21" s="25" t="s">
        <v>2435</v>
      </c>
      <c r="W21" s="80">
        <v>45023</v>
      </c>
      <c r="X21" s="21" t="s">
        <v>2815</v>
      </c>
    </row>
    <row r="22" spans="1:24" x14ac:dyDescent="0.2">
      <c r="A22" s="1">
        <v>21</v>
      </c>
      <c r="B22" s="1" t="s">
        <v>2</v>
      </c>
      <c r="C22" s="1" t="s">
        <v>2781</v>
      </c>
      <c r="D22" s="1" t="s">
        <v>869</v>
      </c>
      <c r="E22" s="15" t="s">
        <v>818</v>
      </c>
      <c r="F22" s="66" t="s">
        <v>888</v>
      </c>
      <c r="G22" s="24" t="s">
        <v>2793</v>
      </c>
      <c r="H22" s="15" t="s">
        <v>2788</v>
      </c>
      <c r="I22" s="16">
        <v>48</v>
      </c>
      <c r="J22" s="16" t="str">
        <f t="shared" si="2"/>
        <v>Middle Age</v>
      </c>
      <c r="K22" s="25">
        <v>2</v>
      </c>
      <c r="L22" s="71">
        <v>850</v>
      </c>
      <c r="M22" s="26">
        <v>400</v>
      </c>
      <c r="N22" s="39">
        <f t="shared" si="0"/>
        <v>1700</v>
      </c>
      <c r="O22" s="39">
        <f t="shared" si="1"/>
        <v>900</v>
      </c>
      <c r="P22" s="24" t="s">
        <v>2056</v>
      </c>
      <c r="Q22" s="24" t="s">
        <v>2024</v>
      </c>
      <c r="R22" s="1" t="s">
        <v>2013</v>
      </c>
      <c r="S22" s="15" t="s">
        <v>2082</v>
      </c>
      <c r="T22" s="15" t="s">
        <v>2442</v>
      </c>
      <c r="U22" s="25" t="s">
        <v>2090</v>
      </c>
      <c r="V22" s="25" t="s">
        <v>2437</v>
      </c>
      <c r="W22" s="80">
        <v>45261</v>
      </c>
      <c r="X22" s="21" t="s">
        <v>2822</v>
      </c>
    </row>
    <row r="23" spans="1:24" x14ac:dyDescent="0.2">
      <c r="A23" s="3">
        <v>22</v>
      </c>
      <c r="B23" s="3" t="s">
        <v>2</v>
      </c>
      <c r="C23" s="1" t="s">
        <v>2781</v>
      </c>
      <c r="D23" s="1" t="s">
        <v>869</v>
      </c>
      <c r="E23" s="29" t="s">
        <v>818</v>
      </c>
      <c r="F23" s="67" t="s">
        <v>889</v>
      </c>
      <c r="G23" s="24" t="s">
        <v>2791</v>
      </c>
      <c r="H23" s="15" t="s">
        <v>2788</v>
      </c>
      <c r="I23" s="16">
        <v>53</v>
      </c>
      <c r="J23" s="16" t="str">
        <f t="shared" si="2"/>
        <v>Old</v>
      </c>
      <c r="K23" s="25">
        <v>3</v>
      </c>
      <c r="L23" s="40">
        <v>850</v>
      </c>
      <c r="M23" s="28">
        <v>850</v>
      </c>
      <c r="N23" s="39">
        <f t="shared" si="0"/>
        <v>2550</v>
      </c>
      <c r="O23" s="39">
        <f t="shared" si="1"/>
        <v>0</v>
      </c>
      <c r="P23" s="24" t="s">
        <v>2040</v>
      </c>
      <c r="Q23" s="15" t="s">
        <v>2014</v>
      </c>
      <c r="R23" s="1" t="s">
        <v>2013</v>
      </c>
      <c r="S23" s="15" t="s">
        <v>2082</v>
      </c>
      <c r="T23" s="15" t="s">
        <v>2442</v>
      </c>
      <c r="U23" s="25" t="s">
        <v>2087</v>
      </c>
      <c r="V23" s="25" t="s">
        <v>2436</v>
      </c>
      <c r="W23" s="80">
        <v>45131</v>
      </c>
      <c r="X23" s="21" t="s">
        <v>2813</v>
      </c>
    </row>
    <row r="24" spans="1:24" x14ac:dyDescent="0.2">
      <c r="A24" s="4">
        <v>23</v>
      </c>
      <c r="B24" s="3" t="s">
        <v>1</v>
      </c>
      <c r="C24" s="1" t="s">
        <v>2781</v>
      </c>
      <c r="D24" s="1" t="s">
        <v>869</v>
      </c>
      <c r="E24" s="29" t="s">
        <v>822</v>
      </c>
      <c r="F24" s="67" t="s">
        <v>890</v>
      </c>
      <c r="G24" s="24" t="s">
        <v>2795</v>
      </c>
      <c r="H24" s="15" t="s">
        <v>2788</v>
      </c>
      <c r="I24" s="16">
        <v>30</v>
      </c>
      <c r="J24" s="16" t="str">
        <f t="shared" si="2"/>
        <v>Young</v>
      </c>
      <c r="K24" s="25">
        <v>1</v>
      </c>
      <c r="L24" s="40">
        <v>750</v>
      </c>
      <c r="M24" s="28">
        <v>750</v>
      </c>
      <c r="N24" s="39">
        <f t="shared" si="0"/>
        <v>750</v>
      </c>
      <c r="O24" s="39">
        <f t="shared" si="1"/>
        <v>0</v>
      </c>
      <c r="P24" s="24" t="s">
        <v>2036</v>
      </c>
      <c r="Q24" s="24" t="s">
        <v>2014</v>
      </c>
      <c r="R24" s="1" t="s">
        <v>2013</v>
      </c>
      <c r="S24" s="15" t="s">
        <v>2082</v>
      </c>
      <c r="T24" s="15" t="s">
        <v>2442</v>
      </c>
      <c r="U24" s="25" t="s">
        <v>2087</v>
      </c>
      <c r="V24" s="25" t="s">
        <v>2434</v>
      </c>
      <c r="W24" s="80">
        <v>45105</v>
      </c>
      <c r="X24" s="21" t="s">
        <v>2814</v>
      </c>
    </row>
    <row r="25" spans="1:24" x14ac:dyDescent="0.2">
      <c r="A25" s="1">
        <v>24</v>
      </c>
      <c r="B25" s="2" t="s">
        <v>2</v>
      </c>
      <c r="C25" s="1" t="s">
        <v>2781</v>
      </c>
      <c r="D25" s="1" t="s">
        <v>869</v>
      </c>
      <c r="E25" s="25" t="s">
        <v>818</v>
      </c>
      <c r="F25" s="66" t="s">
        <v>891</v>
      </c>
      <c r="G25" s="24" t="s">
        <v>2797</v>
      </c>
      <c r="H25" s="15" t="s">
        <v>2788</v>
      </c>
      <c r="I25" s="16">
        <v>37</v>
      </c>
      <c r="J25" s="16" t="str">
        <f t="shared" si="2"/>
        <v>Middle Age</v>
      </c>
      <c r="K25" s="25">
        <v>4</v>
      </c>
      <c r="L25" s="39">
        <v>1000</v>
      </c>
      <c r="M25" s="26">
        <v>500</v>
      </c>
      <c r="N25" s="39">
        <f t="shared" si="0"/>
        <v>4000</v>
      </c>
      <c r="O25" s="39">
        <f t="shared" si="1"/>
        <v>2000</v>
      </c>
      <c r="P25" s="24" t="s">
        <v>2022</v>
      </c>
      <c r="Q25" s="24" t="s">
        <v>2016</v>
      </c>
      <c r="R25" s="1" t="s">
        <v>2013</v>
      </c>
      <c r="S25" s="15" t="s">
        <v>2082</v>
      </c>
      <c r="T25" s="15" t="s">
        <v>2442</v>
      </c>
      <c r="U25" s="25" t="s">
        <v>2086</v>
      </c>
      <c r="V25" s="25" t="s">
        <v>2435</v>
      </c>
      <c r="W25" s="80">
        <v>44969</v>
      </c>
      <c r="X25" s="21" t="s">
        <v>2817</v>
      </c>
    </row>
    <row r="26" spans="1:24" x14ac:dyDescent="0.2">
      <c r="A26" s="3">
        <v>25</v>
      </c>
      <c r="B26" s="4" t="s">
        <v>5</v>
      </c>
      <c r="C26" s="1" t="s">
        <v>2781</v>
      </c>
      <c r="D26" s="1" t="s">
        <v>869</v>
      </c>
      <c r="E26" s="33" t="s">
        <v>817</v>
      </c>
      <c r="F26" s="67" t="s">
        <v>892</v>
      </c>
      <c r="G26" s="24" t="s">
        <v>2799</v>
      </c>
      <c r="H26" s="15" t="s">
        <v>2789</v>
      </c>
      <c r="I26" s="16">
        <v>42</v>
      </c>
      <c r="J26" s="16" t="str">
        <f t="shared" si="2"/>
        <v>Middle Age</v>
      </c>
      <c r="K26" s="25">
        <v>5</v>
      </c>
      <c r="L26" s="41">
        <v>750</v>
      </c>
      <c r="M26" s="28">
        <v>350</v>
      </c>
      <c r="N26" s="39">
        <f t="shared" si="0"/>
        <v>3750</v>
      </c>
      <c r="O26" s="39">
        <f t="shared" si="1"/>
        <v>2000</v>
      </c>
      <c r="P26" s="24" t="s">
        <v>2039</v>
      </c>
      <c r="Q26" s="24" t="s">
        <v>2014</v>
      </c>
      <c r="R26" s="1" t="s">
        <v>2013</v>
      </c>
      <c r="S26" s="15" t="s">
        <v>2082</v>
      </c>
      <c r="T26" s="15" t="s">
        <v>2442</v>
      </c>
      <c r="U26" s="25" t="s">
        <v>2085</v>
      </c>
      <c r="V26" s="25" t="s">
        <v>2434</v>
      </c>
      <c r="W26" s="80">
        <v>44966</v>
      </c>
      <c r="X26" s="21" t="s">
        <v>2817</v>
      </c>
    </row>
    <row r="27" spans="1:24" x14ac:dyDescent="0.2">
      <c r="A27" s="3">
        <v>26</v>
      </c>
      <c r="B27" s="4" t="s">
        <v>6</v>
      </c>
      <c r="C27" s="1" t="s">
        <v>2781</v>
      </c>
      <c r="D27" s="1" t="s">
        <v>869</v>
      </c>
      <c r="E27" s="33" t="s">
        <v>818</v>
      </c>
      <c r="F27" s="67" t="s">
        <v>876</v>
      </c>
      <c r="G27" s="24" t="s">
        <v>2801</v>
      </c>
      <c r="H27" s="15" t="s">
        <v>2788</v>
      </c>
      <c r="I27" s="16">
        <v>24</v>
      </c>
      <c r="J27" s="16" t="str">
        <f t="shared" si="2"/>
        <v>Young</v>
      </c>
      <c r="K27" s="25">
        <v>3</v>
      </c>
      <c r="L27" s="41">
        <v>850</v>
      </c>
      <c r="M27" s="28">
        <v>500</v>
      </c>
      <c r="N27" s="39">
        <f t="shared" si="0"/>
        <v>2550</v>
      </c>
      <c r="O27" s="39">
        <f t="shared" si="1"/>
        <v>1050</v>
      </c>
      <c r="P27" s="24" t="s">
        <v>2034</v>
      </c>
      <c r="Q27" s="24" t="s">
        <v>2016</v>
      </c>
      <c r="R27" s="1" t="s">
        <v>2013</v>
      </c>
      <c r="S27" s="15" t="s">
        <v>2082</v>
      </c>
      <c r="T27" s="15" t="s">
        <v>2442</v>
      </c>
      <c r="U27" s="25" t="s">
        <v>2083</v>
      </c>
      <c r="V27" s="25" t="s">
        <v>2436</v>
      </c>
      <c r="W27" s="80">
        <v>44944</v>
      </c>
      <c r="X27" s="21" t="s">
        <v>2818</v>
      </c>
    </row>
    <row r="28" spans="1:24" x14ac:dyDescent="0.2">
      <c r="A28" s="3">
        <v>27</v>
      </c>
      <c r="B28" s="4" t="s">
        <v>5</v>
      </c>
      <c r="C28" s="1" t="s">
        <v>2781</v>
      </c>
      <c r="D28" s="1" t="s">
        <v>869</v>
      </c>
      <c r="E28" s="33" t="s">
        <v>818</v>
      </c>
      <c r="F28" s="67" t="s">
        <v>885</v>
      </c>
      <c r="G28" s="24" t="s">
        <v>2803</v>
      </c>
      <c r="H28" s="15" t="s">
        <v>2789</v>
      </c>
      <c r="I28" s="16">
        <v>57</v>
      </c>
      <c r="J28" s="16" t="str">
        <f t="shared" si="2"/>
        <v>Old</v>
      </c>
      <c r="K28" s="25">
        <v>2</v>
      </c>
      <c r="L28" s="41">
        <v>850</v>
      </c>
      <c r="M28" s="28">
        <v>400</v>
      </c>
      <c r="N28" s="39">
        <f t="shared" si="0"/>
        <v>1700</v>
      </c>
      <c r="O28" s="39">
        <f t="shared" si="1"/>
        <v>900</v>
      </c>
      <c r="P28" s="24" t="s">
        <v>2040</v>
      </c>
      <c r="Q28" s="15" t="s">
        <v>2014</v>
      </c>
      <c r="R28" s="1" t="s">
        <v>2013</v>
      </c>
      <c r="S28" s="15" t="s">
        <v>2082</v>
      </c>
      <c r="T28" s="15" t="s">
        <v>2442</v>
      </c>
      <c r="U28" s="25" t="s">
        <v>2087</v>
      </c>
      <c r="V28" s="25" t="s">
        <v>2437</v>
      </c>
      <c r="W28" s="80">
        <v>44949</v>
      </c>
      <c r="X28" s="21" t="s">
        <v>2818</v>
      </c>
    </row>
    <row r="29" spans="1:24" x14ac:dyDescent="0.2">
      <c r="A29" s="3">
        <v>28</v>
      </c>
      <c r="B29" s="4" t="s">
        <v>5</v>
      </c>
      <c r="C29" s="1" t="s">
        <v>2781</v>
      </c>
      <c r="D29" s="1" t="s">
        <v>869</v>
      </c>
      <c r="E29" s="33" t="s">
        <v>818</v>
      </c>
      <c r="F29" s="67" t="s">
        <v>893</v>
      </c>
      <c r="G29" s="24" t="s">
        <v>2805</v>
      </c>
      <c r="H29" s="15" t="s">
        <v>2789</v>
      </c>
      <c r="I29" s="16">
        <v>35</v>
      </c>
      <c r="J29" s="16" t="str">
        <f t="shared" si="2"/>
        <v>Young</v>
      </c>
      <c r="K29" s="25">
        <v>4</v>
      </c>
      <c r="L29" s="41">
        <v>1000</v>
      </c>
      <c r="M29" s="28">
        <v>500</v>
      </c>
      <c r="N29" s="39">
        <f t="shared" si="0"/>
        <v>4000</v>
      </c>
      <c r="O29" s="39">
        <f t="shared" si="1"/>
        <v>2000</v>
      </c>
      <c r="P29" s="24" t="s">
        <v>2040</v>
      </c>
      <c r="Q29" s="15" t="s">
        <v>2014</v>
      </c>
      <c r="R29" s="1" t="s">
        <v>2013</v>
      </c>
      <c r="S29" s="15" t="s">
        <v>2082</v>
      </c>
      <c r="T29" s="15" t="s">
        <v>2442</v>
      </c>
      <c r="U29" s="25" t="s">
        <v>2089</v>
      </c>
      <c r="V29" s="25" t="s">
        <v>2435</v>
      </c>
      <c r="W29" s="80">
        <v>45049</v>
      </c>
      <c r="X29" s="21" t="s">
        <v>2786</v>
      </c>
    </row>
    <row r="30" spans="1:24" x14ac:dyDescent="0.2">
      <c r="A30" s="3">
        <v>29</v>
      </c>
      <c r="B30" s="3" t="s">
        <v>0</v>
      </c>
      <c r="C30" s="1" t="s">
        <v>2781</v>
      </c>
      <c r="D30" s="1" t="s">
        <v>869</v>
      </c>
      <c r="E30" s="29" t="s">
        <v>818</v>
      </c>
      <c r="F30" s="67" t="s">
        <v>894</v>
      </c>
      <c r="G30" s="24" t="s">
        <v>2807</v>
      </c>
      <c r="H30" s="15" t="s">
        <v>2789</v>
      </c>
      <c r="I30" s="16">
        <v>40</v>
      </c>
      <c r="J30" s="16" t="str">
        <f t="shared" si="2"/>
        <v>Middle Age</v>
      </c>
      <c r="K30" s="25">
        <v>1</v>
      </c>
      <c r="L30" s="40">
        <v>950</v>
      </c>
      <c r="M30" s="27">
        <v>500</v>
      </c>
      <c r="N30" s="39">
        <f t="shared" si="0"/>
        <v>950</v>
      </c>
      <c r="O30" s="39">
        <f t="shared" si="1"/>
        <v>450</v>
      </c>
      <c r="P30" s="24" t="s">
        <v>2036</v>
      </c>
      <c r="Q30" s="24" t="s">
        <v>2014</v>
      </c>
      <c r="R30" s="1" t="s">
        <v>2013</v>
      </c>
      <c r="S30" s="15" t="s">
        <v>2082</v>
      </c>
      <c r="T30" s="15" t="s">
        <v>2442</v>
      </c>
      <c r="U30" s="25" t="s">
        <v>2088</v>
      </c>
      <c r="V30" s="25" t="s">
        <v>2436</v>
      </c>
      <c r="W30" s="80">
        <v>45073</v>
      </c>
      <c r="X30" s="21" t="s">
        <v>2786</v>
      </c>
    </row>
    <row r="31" spans="1:24" x14ac:dyDescent="0.2">
      <c r="A31" s="4">
        <v>30</v>
      </c>
      <c r="B31" s="4" t="s">
        <v>2</v>
      </c>
      <c r="C31" s="1" t="s">
        <v>2781</v>
      </c>
      <c r="D31" s="1" t="s">
        <v>869</v>
      </c>
      <c r="E31" s="33" t="s">
        <v>818</v>
      </c>
      <c r="F31" s="67" t="s">
        <v>882</v>
      </c>
      <c r="G31" s="24" t="s">
        <v>2809</v>
      </c>
      <c r="H31" s="15" t="s">
        <v>2788</v>
      </c>
      <c r="I31" s="16">
        <v>21</v>
      </c>
      <c r="J31" s="16" t="str">
        <f t="shared" si="2"/>
        <v>Young</v>
      </c>
      <c r="K31" s="25">
        <v>5</v>
      </c>
      <c r="L31" s="41">
        <v>850</v>
      </c>
      <c r="M31" s="28">
        <v>400</v>
      </c>
      <c r="N31" s="39">
        <f t="shared" si="0"/>
        <v>4250</v>
      </c>
      <c r="O31" s="39">
        <f t="shared" si="1"/>
        <v>2250</v>
      </c>
      <c r="P31" s="24" t="s">
        <v>2035</v>
      </c>
      <c r="Q31" s="24" t="s">
        <v>2020</v>
      </c>
      <c r="R31" s="1" t="s">
        <v>2013</v>
      </c>
      <c r="S31" s="15" t="s">
        <v>2082</v>
      </c>
      <c r="T31" s="15" t="s">
        <v>2442</v>
      </c>
      <c r="U31" s="25" t="s">
        <v>2089</v>
      </c>
      <c r="V31" s="25" t="s">
        <v>2434</v>
      </c>
      <c r="W31" s="80">
        <v>45229</v>
      </c>
      <c r="X31" s="21" t="s">
        <v>2821</v>
      </c>
    </row>
    <row r="32" spans="1:24" x14ac:dyDescent="0.2">
      <c r="A32" s="4">
        <v>31</v>
      </c>
      <c r="B32" s="4" t="s">
        <v>5</v>
      </c>
      <c r="C32" s="1" t="s">
        <v>2781</v>
      </c>
      <c r="D32" s="1" t="s">
        <v>869</v>
      </c>
      <c r="E32" s="33" t="s">
        <v>818</v>
      </c>
      <c r="F32" s="67" t="s">
        <v>895</v>
      </c>
      <c r="G32" s="24" t="s">
        <v>2794</v>
      </c>
      <c r="H32" s="15" t="s">
        <v>2788</v>
      </c>
      <c r="I32" s="16">
        <v>59</v>
      </c>
      <c r="J32" s="16" t="str">
        <f t="shared" si="2"/>
        <v>Old</v>
      </c>
      <c r="K32" s="25">
        <v>2</v>
      </c>
      <c r="L32" s="41">
        <v>1000</v>
      </c>
      <c r="M32" s="28">
        <v>500</v>
      </c>
      <c r="N32" s="39">
        <f t="shared" si="0"/>
        <v>2000</v>
      </c>
      <c r="O32" s="39">
        <f t="shared" si="1"/>
        <v>1000</v>
      </c>
      <c r="P32" s="24" t="s">
        <v>2058</v>
      </c>
      <c r="Q32" s="24" t="s">
        <v>2020</v>
      </c>
      <c r="R32" s="1" t="s">
        <v>2013</v>
      </c>
      <c r="S32" s="15" t="s">
        <v>2082</v>
      </c>
      <c r="T32" s="15" t="s">
        <v>2442</v>
      </c>
      <c r="U32" s="25" t="s">
        <v>2089</v>
      </c>
      <c r="V32" s="25" t="s">
        <v>2437</v>
      </c>
      <c r="W32" s="80">
        <v>45029</v>
      </c>
      <c r="X32" s="21" t="s">
        <v>2815</v>
      </c>
    </row>
    <row r="33" spans="1:24" x14ac:dyDescent="0.2">
      <c r="A33" s="4">
        <v>32</v>
      </c>
      <c r="B33" s="4" t="s">
        <v>5</v>
      </c>
      <c r="C33" s="1" t="s">
        <v>2781</v>
      </c>
      <c r="D33" s="1" t="s">
        <v>869</v>
      </c>
      <c r="E33" s="33" t="s">
        <v>818</v>
      </c>
      <c r="F33" s="67" t="s">
        <v>896</v>
      </c>
      <c r="G33" s="24" t="s">
        <v>2792</v>
      </c>
      <c r="H33" s="15" t="s">
        <v>2788</v>
      </c>
      <c r="I33" s="16">
        <v>32</v>
      </c>
      <c r="J33" s="16" t="str">
        <f t="shared" si="2"/>
        <v>Young</v>
      </c>
      <c r="K33" s="25">
        <v>3</v>
      </c>
      <c r="L33" s="41">
        <v>850</v>
      </c>
      <c r="M33" s="28">
        <v>850</v>
      </c>
      <c r="N33" s="39">
        <f t="shared" si="0"/>
        <v>2550</v>
      </c>
      <c r="O33" s="39">
        <f t="shared" si="1"/>
        <v>0</v>
      </c>
      <c r="P33" s="24" t="s">
        <v>2036</v>
      </c>
      <c r="Q33" s="24" t="s">
        <v>2014</v>
      </c>
      <c r="R33" s="1" t="s">
        <v>2013</v>
      </c>
      <c r="S33" s="15" t="s">
        <v>2082</v>
      </c>
      <c r="T33" s="15" t="s">
        <v>2442</v>
      </c>
      <c r="U33" s="25" t="s">
        <v>2089</v>
      </c>
      <c r="V33" s="25" t="s">
        <v>2435</v>
      </c>
      <c r="W33" s="80">
        <v>44997</v>
      </c>
      <c r="X33" s="21" t="s">
        <v>2816</v>
      </c>
    </row>
    <row r="34" spans="1:24" x14ac:dyDescent="0.2">
      <c r="A34" s="4">
        <v>33</v>
      </c>
      <c r="B34" s="4" t="s">
        <v>0</v>
      </c>
      <c r="C34" s="1" t="s">
        <v>2781</v>
      </c>
      <c r="D34" s="1" t="s">
        <v>869</v>
      </c>
      <c r="E34" s="33" t="s">
        <v>818</v>
      </c>
      <c r="F34" s="67" t="s">
        <v>897</v>
      </c>
      <c r="G34" s="24" t="s">
        <v>2796</v>
      </c>
      <c r="H34" s="15" t="s">
        <v>2788</v>
      </c>
      <c r="I34" s="16">
        <v>46</v>
      </c>
      <c r="J34" s="16" t="str">
        <f t="shared" si="2"/>
        <v>Middle Age</v>
      </c>
      <c r="K34" s="25">
        <v>4</v>
      </c>
      <c r="L34" s="41">
        <v>950</v>
      </c>
      <c r="M34" s="28">
        <v>500</v>
      </c>
      <c r="N34" s="39">
        <f t="shared" si="0"/>
        <v>3800</v>
      </c>
      <c r="O34" s="39">
        <f t="shared" si="1"/>
        <v>1800</v>
      </c>
      <c r="P34" s="24" t="s">
        <v>2019</v>
      </c>
      <c r="Q34" s="24" t="s">
        <v>2014</v>
      </c>
      <c r="R34" s="1" t="s">
        <v>2013</v>
      </c>
      <c r="S34" s="15" t="s">
        <v>2082</v>
      </c>
      <c r="T34" s="15" t="s">
        <v>2442</v>
      </c>
      <c r="U34" s="25" t="s">
        <v>2089</v>
      </c>
      <c r="V34" s="25" t="s">
        <v>2434</v>
      </c>
      <c r="W34" s="80">
        <v>45257</v>
      </c>
      <c r="X34" s="21" t="s">
        <v>2823</v>
      </c>
    </row>
    <row r="35" spans="1:24" x14ac:dyDescent="0.2">
      <c r="A35" s="2">
        <v>34</v>
      </c>
      <c r="B35" s="2" t="s">
        <v>5</v>
      </c>
      <c r="C35" s="1" t="s">
        <v>2781</v>
      </c>
      <c r="D35" s="1" t="s">
        <v>869</v>
      </c>
      <c r="E35" s="25" t="s">
        <v>817</v>
      </c>
      <c r="F35" s="66" t="s">
        <v>898</v>
      </c>
      <c r="G35" s="24" t="s">
        <v>2798</v>
      </c>
      <c r="H35" s="15" t="s">
        <v>2788</v>
      </c>
      <c r="I35" s="16">
        <v>54</v>
      </c>
      <c r="J35" s="16" t="str">
        <f t="shared" si="2"/>
        <v>Old</v>
      </c>
      <c r="K35" s="25">
        <v>1</v>
      </c>
      <c r="L35" s="39">
        <v>700</v>
      </c>
      <c r="M35" s="26">
        <v>400</v>
      </c>
      <c r="N35" s="39">
        <f t="shared" si="0"/>
        <v>700</v>
      </c>
      <c r="O35" s="39">
        <f t="shared" si="1"/>
        <v>300</v>
      </c>
      <c r="P35" s="24" t="s">
        <v>2028</v>
      </c>
      <c r="Q35" s="15" t="s">
        <v>2024</v>
      </c>
      <c r="R35" s="1" t="s">
        <v>2013</v>
      </c>
      <c r="S35" s="15" t="s">
        <v>2082</v>
      </c>
      <c r="T35" s="15" t="s">
        <v>2442</v>
      </c>
      <c r="U35" s="25" t="s">
        <v>2085</v>
      </c>
      <c r="V35" s="25" t="s">
        <v>2436</v>
      </c>
      <c r="W35" s="80">
        <v>45226</v>
      </c>
      <c r="X35" s="21" t="s">
        <v>2821</v>
      </c>
    </row>
    <row r="36" spans="1:24" x14ac:dyDescent="0.2">
      <c r="A36" s="1">
        <v>35</v>
      </c>
      <c r="B36" s="1" t="s">
        <v>6</v>
      </c>
      <c r="C36" s="1" t="s">
        <v>2781</v>
      </c>
      <c r="D36" s="1" t="s">
        <v>869</v>
      </c>
      <c r="E36" s="15" t="s">
        <v>823</v>
      </c>
      <c r="F36" s="66" t="s">
        <v>895</v>
      </c>
      <c r="G36" s="24" t="s">
        <v>2800</v>
      </c>
      <c r="H36" s="15" t="s">
        <v>2788</v>
      </c>
      <c r="I36" s="16">
        <v>25</v>
      </c>
      <c r="J36" s="16" t="str">
        <f t="shared" si="2"/>
        <v>Young</v>
      </c>
      <c r="K36" s="25">
        <v>5</v>
      </c>
      <c r="L36" s="42">
        <v>750</v>
      </c>
      <c r="M36" s="15">
        <v>750</v>
      </c>
      <c r="N36" s="39">
        <f t="shared" si="0"/>
        <v>3750</v>
      </c>
      <c r="O36" s="39">
        <f t="shared" si="1"/>
        <v>0</v>
      </c>
      <c r="P36" s="24" t="s">
        <v>2045</v>
      </c>
      <c r="Q36" s="24" t="s">
        <v>2014</v>
      </c>
      <c r="R36" s="1" t="s">
        <v>2013</v>
      </c>
      <c r="S36" s="15" t="s">
        <v>2082</v>
      </c>
      <c r="T36" s="15" t="s">
        <v>2442</v>
      </c>
      <c r="U36" s="25" t="s">
        <v>2088</v>
      </c>
      <c r="V36" s="25" t="s">
        <v>2437</v>
      </c>
      <c r="W36" s="80">
        <v>45053</v>
      </c>
      <c r="X36" s="21" t="s">
        <v>2786</v>
      </c>
    </row>
    <row r="37" spans="1:24" x14ac:dyDescent="0.2">
      <c r="A37" s="1">
        <v>36</v>
      </c>
      <c r="B37" s="2" t="s">
        <v>5</v>
      </c>
      <c r="C37" s="1" t="s">
        <v>2781</v>
      </c>
      <c r="D37" s="1" t="s">
        <v>869</v>
      </c>
      <c r="E37" s="15" t="s">
        <v>817</v>
      </c>
      <c r="F37" s="66" t="s">
        <v>899</v>
      </c>
      <c r="G37" s="24" t="s">
        <v>2802</v>
      </c>
      <c r="H37" s="15" t="s">
        <v>2788</v>
      </c>
      <c r="I37" s="16">
        <v>43</v>
      </c>
      <c r="J37" s="16" t="str">
        <f t="shared" si="2"/>
        <v>Middle Age</v>
      </c>
      <c r="K37" s="25">
        <v>3</v>
      </c>
      <c r="L37" s="42">
        <v>850</v>
      </c>
      <c r="M37" s="15">
        <v>350</v>
      </c>
      <c r="N37" s="39">
        <f t="shared" si="0"/>
        <v>2550</v>
      </c>
      <c r="O37" s="39">
        <f t="shared" si="1"/>
        <v>1500</v>
      </c>
      <c r="P37" s="24" t="s">
        <v>2015</v>
      </c>
      <c r="Q37" s="24" t="s">
        <v>2014</v>
      </c>
      <c r="R37" s="1" t="s">
        <v>2013</v>
      </c>
      <c r="S37" s="15" t="s">
        <v>2082</v>
      </c>
      <c r="T37" s="15" t="s">
        <v>2442</v>
      </c>
      <c r="U37" s="25" t="s">
        <v>2087</v>
      </c>
      <c r="V37" s="25" t="s">
        <v>2435</v>
      </c>
      <c r="W37" s="80">
        <v>45065</v>
      </c>
      <c r="X37" s="21" t="s">
        <v>2786</v>
      </c>
    </row>
    <row r="38" spans="1:24" x14ac:dyDescent="0.2">
      <c r="A38" s="1">
        <v>37</v>
      </c>
      <c r="B38" s="5" t="s">
        <v>5</v>
      </c>
      <c r="C38" s="1" t="s">
        <v>2781</v>
      </c>
      <c r="D38" s="1" t="s">
        <v>869</v>
      </c>
      <c r="E38" s="15" t="s">
        <v>817</v>
      </c>
      <c r="F38" s="66" t="s">
        <v>900</v>
      </c>
      <c r="G38" s="24" t="s">
        <v>2804</v>
      </c>
      <c r="H38" s="15" t="s">
        <v>2789</v>
      </c>
      <c r="I38" s="16">
        <v>58</v>
      </c>
      <c r="J38" s="16" t="str">
        <f t="shared" si="2"/>
        <v>Old</v>
      </c>
      <c r="K38" s="25">
        <v>2</v>
      </c>
      <c r="L38" s="42">
        <v>870</v>
      </c>
      <c r="M38" s="15">
        <v>400</v>
      </c>
      <c r="N38" s="39">
        <f t="shared" si="0"/>
        <v>1740</v>
      </c>
      <c r="O38" s="39">
        <f t="shared" si="1"/>
        <v>940</v>
      </c>
      <c r="P38" s="24" t="s">
        <v>2045</v>
      </c>
      <c r="Q38" s="24" t="s">
        <v>2014</v>
      </c>
      <c r="R38" s="1" t="s">
        <v>2013</v>
      </c>
      <c r="S38" s="15" t="s">
        <v>2082</v>
      </c>
      <c r="T38" s="15" t="s">
        <v>2442</v>
      </c>
      <c r="U38" s="25" t="s">
        <v>2090</v>
      </c>
      <c r="V38" s="25" t="s">
        <v>2437</v>
      </c>
      <c r="W38" s="80">
        <v>45089</v>
      </c>
      <c r="X38" s="21" t="s">
        <v>2814</v>
      </c>
    </row>
    <row r="39" spans="1:24" x14ac:dyDescent="0.2">
      <c r="A39" s="1">
        <v>38</v>
      </c>
      <c r="B39" s="1" t="s">
        <v>5</v>
      </c>
      <c r="C39" s="1" t="s">
        <v>2781</v>
      </c>
      <c r="D39" s="1" t="s">
        <v>869</v>
      </c>
      <c r="E39" s="15" t="s">
        <v>817</v>
      </c>
      <c r="F39" s="66" t="s">
        <v>900</v>
      </c>
      <c r="G39" s="24" t="s">
        <v>2806</v>
      </c>
      <c r="H39" s="15" t="s">
        <v>2789</v>
      </c>
      <c r="I39" s="16">
        <v>20</v>
      </c>
      <c r="J39" s="16" t="str">
        <f t="shared" si="2"/>
        <v>Young</v>
      </c>
      <c r="K39" s="25">
        <v>4</v>
      </c>
      <c r="L39" s="42">
        <v>870</v>
      </c>
      <c r="M39" s="15">
        <v>400</v>
      </c>
      <c r="N39" s="39">
        <f t="shared" si="0"/>
        <v>3480</v>
      </c>
      <c r="O39" s="39">
        <f t="shared" si="1"/>
        <v>1880</v>
      </c>
      <c r="P39" s="24" t="s">
        <v>2035</v>
      </c>
      <c r="Q39" s="24" t="s">
        <v>2020</v>
      </c>
      <c r="R39" s="1" t="s">
        <v>2013</v>
      </c>
      <c r="S39" s="15" t="s">
        <v>2082</v>
      </c>
      <c r="T39" s="15" t="s">
        <v>2442</v>
      </c>
      <c r="U39" s="25" t="s">
        <v>2089</v>
      </c>
      <c r="V39" s="25" t="s">
        <v>2436</v>
      </c>
      <c r="W39" s="80">
        <v>45132</v>
      </c>
      <c r="X39" s="21" t="s">
        <v>2813</v>
      </c>
    </row>
    <row r="40" spans="1:24" x14ac:dyDescent="0.2">
      <c r="A40" s="1">
        <v>39</v>
      </c>
      <c r="B40" s="1" t="s">
        <v>2</v>
      </c>
      <c r="C40" s="1" t="s">
        <v>2781</v>
      </c>
      <c r="D40" s="1" t="s">
        <v>869</v>
      </c>
      <c r="E40" s="15" t="s">
        <v>817</v>
      </c>
      <c r="F40" s="66" t="s">
        <v>887</v>
      </c>
      <c r="G40" s="24" t="s">
        <v>2808</v>
      </c>
      <c r="H40" s="15" t="s">
        <v>2788</v>
      </c>
      <c r="I40" s="16">
        <v>49</v>
      </c>
      <c r="J40" s="16" t="str">
        <f t="shared" si="2"/>
        <v>Middle Age</v>
      </c>
      <c r="K40" s="25">
        <v>1</v>
      </c>
      <c r="L40" s="42">
        <v>720</v>
      </c>
      <c r="M40" s="15">
        <v>350</v>
      </c>
      <c r="N40" s="39">
        <f t="shared" si="0"/>
        <v>720</v>
      </c>
      <c r="O40" s="39">
        <f t="shared" si="1"/>
        <v>370</v>
      </c>
      <c r="P40" s="24" t="s">
        <v>2056</v>
      </c>
      <c r="Q40" s="24" t="s">
        <v>2024</v>
      </c>
      <c r="R40" s="1" t="s">
        <v>2013</v>
      </c>
      <c r="S40" s="15" t="s">
        <v>2082</v>
      </c>
      <c r="T40" s="15" t="s">
        <v>2442</v>
      </c>
      <c r="U40" s="25" t="s">
        <v>2087</v>
      </c>
      <c r="V40" s="25" t="s">
        <v>2434</v>
      </c>
      <c r="W40" s="80">
        <v>45247</v>
      </c>
      <c r="X40" s="21" t="s">
        <v>2823</v>
      </c>
    </row>
    <row r="41" spans="1:24" x14ac:dyDescent="0.2">
      <c r="A41" s="1">
        <v>40</v>
      </c>
      <c r="B41" s="1" t="s">
        <v>5</v>
      </c>
      <c r="C41" s="1" t="s">
        <v>2781</v>
      </c>
      <c r="D41" s="1" t="s">
        <v>869</v>
      </c>
      <c r="E41" s="15" t="s">
        <v>818</v>
      </c>
      <c r="F41" s="66" t="s">
        <v>900</v>
      </c>
      <c r="G41" s="24" t="s">
        <v>2810</v>
      </c>
      <c r="H41" s="15" t="s">
        <v>2789</v>
      </c>
      <c r="I41" s="16">
        <v>34</v>
      </c>
      <c r="J41" s="16" t="str">
        <f t="shared" si="2"/>
        <v>Young</v>
      </c>
      <c r="K41" s="25">
        <v>5</v>
      </c>
      <c r="L41" s="42">
        <v>850</v>
      </c>
      <c r="M41" s="15">
        <v>400</v>
      </c>
      <c r="N41" s="39">
        <f t="shared" si="0"/>
        <v>4250</v>
      </c>
      <c r="O41" s="39">
        <f t="shared" si="1"/>
        <v>2250</v>
      </c>
      <c r="P41" s="24" t="s">
        <v>2043</v>
      </c>
      <c r="Q41" s="24" t="s">
        <v>2016</v>
      </c>
      <c r="R41" s="1" t="s">
        <v>2013</v>
      </c>
      <c r="S41" s="15" t="s">
        <v>2082</v>
      </c>
      <c r="T41" s="15" t="s">
        <v>2442</v>
      </c>
      <c r="U41" s="25" t="s">
        <v>2084</v>
      </c>
      <c r="V41" s="25" t="s">
        <v>2435</v>
      </c>
      <c r="W41" s="80">
        <v>45153</v>
      </c>
      <c r="X41" s="21" t="s">
        <v>2819</v>
      </c>
    </row>
    <row r="42" spans="1:24" x14ac:dyDescent="0.2">
      <c r="A42" s="1">
        <v>41</v>
      </c>
      <c r="B42" s="1" t="s">
        <v>0</v>
      </c>
      <c r="C42" s="1" t="s">
        <v>2781</v>
      </c>
      <c r="D42" s="1" t="s">
        <v>869</v>
      </c>
      <c r="E42" s="15" t="s">
        <v>817</v>
      </c>
      <c r="F42" s="66" t="s">
        <v>885</v>
      </c>
      <c r="G42" s="24" t="s">
        <v>2793</v>
      </c>
      <c r="H42" s="15" t="s">
        <v>2789</v>
      </c>
      <c r="I42" s="16">
        <v>27</v>
      </c>
      <c r="J42" s="16" t="str">
        <f t="shared" si="2"/>
        <v>Young</v>
      </c>
      <c r="K42" s="25">
        <v>2</v>
      </c>
      <c r="L42" s="42">
        <v>950</v>
      </c>
      <c r="M42" s="15">
        <v>400</v>
      </c>
      <c r="N42" s="39">
        <f t="shared" si="0"/>
        <v>1900</v>
      </c>
      <c r="O42" s="39">
        <f t="shared" si="1"/>
        <v>1100</v>
      </c>
      <c r="P42" s="24" t="s">
        <v>2027</v>
      </c>
      <c r="Q42" s="24" t="s">
        <v>2014</v>
      </c>
      <c r="R42" s="1" t="s">
        <v>2013</v>
      </c>
      <c r="S42" s="15" t="s">
        <v>2082</v>
      </c>
      <c r="T42" s="15" t="s">
        <v>2442</v>
      </c>
      <c r="U42" s="25" t="s">
        <v>2088</v>
      </c>
      <c r="V42" s="25" t="s">
        <v>2434</v>
      </c>
      <c r="W42" s="80">
        <v>45264</v>
      </c>
      <c r="X42" s="21" t="s">
        <v>2822</v>
      </c>
    </row>
    <row r="43" spans="1:24" x14ac:dyDescent="0.2">
      <c r="A43" s="1">
        <v>42</v>
      </c>
      <c r="B43" s="1" t="s">
        <v>7</v>
      </c>
      <c r="C43" s="1" t="s">
        <v>2781</v>
      </c>
      <c r="D43" s="1" t="s">
        <v>869</v>
      </c>
      <c r="E43" s="15" t="s">
        <v>824</v>
      </c>
      <c r="F43" s="66" t="s">
        <v>901</v>
      </c>
      <c r="G43" s="24" t="s">
        <v>2791</v>
      </c>
      <c r="H43" s="15" t="s">
        <v>2789</v>
      </c>
      <c r="I43" s="16">
        <v>45</v>
      </c>
      <c r="J43" s="16" t="str">
        <f t="shared" si="2"/>
        <v>Middle Age</v>
      </c>
      <c r="K43" s="25">
        <v>3</v>
      </c>
      <c r="L43" s="42">
        <v>950</v>
      </c>
      <c r="M43" s="15">
        <v>500</v>
      </c>
      <c r="N43" s="39">
        <f t="shared" si="0"/>
        <v>2850</v>
      </c>
      <c r="O43" s="39">
        <f t="shared" si="1"/>
        <v>1350</v>
      </c>
      <c r="P43" s="24" t="s">
        <v>2033</v>
      </c>
      <c r="Q43" s="24" t="s">
        <v>2016</v>
      </c>
      <c r="R43" s="1" t="s">
        <v>2013</v>
      </c>
      <c r="S43" s="15" t="s">
        <v>2082</v>
      </c>
      <c r="T43" s="15" t="s">
        <v>2442</v>
      </c>
      <c r="U43" s="25" t="s">
        <v>2090</v>
      </c>
      <c r="V43" s="25" t="s">
        <v>2437</v>
      </c>
      <c r="W43" s="80">
        <v>44943</v>
      </c>
      <c r="X43" s="21" t="s">
        <v>2818</v>
      </c>
    </row>
    <row r="44" spans="1:24" x14ac:dyDescent="0.2">
      <c r="A44" s="1">
        <v>43</v>
      </c>
      <c r="B44" s="1" t="s">
        <v>5</v>
      </c>
      <c r="C44" s="1" t="s">
        <v>2781</v>
      </c>
      <c r="D44" s="1" t="s">
        <v>869</v>
      </c>
      <c r="E44" s="33" t="s">
        <v>824</v>
      </c>
      <c r="F44" s="66" t="s">
        <v>902</v>
      </c>
      <c r="G44" s="24" t="s">
        <v>2795</v>
      </c>
      <c r="H44" s="15" t="s">
        <v>2789</v>
      </c>
      <c r="I44" s="16">
        <v>52</v>
      </c>
      <c r="J44" s="16" t="str">
        <f t="shared" si="2"/>
        <v>Old</v>
      </c>
      <c r="K44" s="25">
        <v>4</v>
      </c>
      <c r="L44" s="42">
        <v>790</v>
      </c>
      <c r="M44" s="15">
        <v>400</v>
      </c>
      <c r="N44" s="39">
        <f t="shared" si="0"/>
        <v>3160</v>
      </c>
      <c r="O44" s="39">
        <f t="shared" si="1"/>
        <v>1560</v>
      </c>
      <c r="P44" s="24" t="s">
        <v>2042</v>
      </c>
      <c r="Q44" s="15" t="s">
        <v>2828</v>
      </c>
      <c r="R44" s="1" t="s">
        <v>2013</v>
      </c>
      <c r="S44" s="15" t="s">
        <v>2082</v>
      </c>
      <c r="T44" s="15" t="s">
        <v>2442</v>
      </c>
      <c r="U44" s="25" t="s">
        <v>2085</v>
      </c>
      <c r="V44" s="25" t="s">
        <v>2436</v>
      </c>
      <c r="W44" s="80">
        <v>45199</v>
      </c>
      <c r="X44" s="21" t="s">
        <v>2820</v>
      </c>
    </row>
    <row r="45" spans="1:24" x14ac:dyDescent="0.2">
      <c r="A45" s="1">
        <v>44</v>
      </c>
      <c r="B45" s="1" t="s">
        <v>2</v>
      </c>
      <c r="C45" s="1" t="s">
        <v>2781</v>
      </c>
      <c r="D45" s="1" t="s">
        <v>869</v>
      </c>
      <c r="E45" s="15" t="s">
        <v>817</v>
      </c>
      <c r="F45" s="66" t="s">
        <v>903</v>
      </c>
      <c r="G45" s="24" t="s">
        <v>2797</v>
      </c>
      <c r="H45" s="15" t="s">
        <v>2788</v>
      </c>
      <c r="I45" s="16">
        <v>23</v>
      </c>
      <c r="J45" s="16" t="str">
        <f t="shared" si="2"/>
        <v>Young</v>
      </c>
      <c r="K45" s="25">
        <v>1</v>
      </c>
      <c r="L45" s="42">
        <v>750</v>
      </c>
      <c r="M45" s="15">
        <v>350</v>
      </c>
      <c r="N45" s="39">
        <f t="shared" si="0"/>
        <v>750</v>
      </c>
      <c r="O45" s="39">
        <f t="shared" si="1"/>
        <v>400</v>
      </c>
      <c r="P45" s="24" t="s">
        <v>2062</v>
      </c>
      <c r="Q45" s="15" t="s">
        <v>2828</v>
      </c>
      <c r="R45" s="1" t="s">
        <v>2013</v>
      </c>
      <c r="S45" s="15" t="s">
        <v>2082</v>
      </c>
      <c r="T45" s="15" t="s">
        <v>2442</v>
      </c>
      <c r="U45" s="25" t="s">
        <v>2087</v>
      </c>
      <c r="V45" s="25" t="s">
        <v>2435</v>
      </c>
      <c r="W45" s="80">
        <v>44963</v>
      </c>
      <c r="X45" s="21" t="s">
        <v>2817</v>
      </c>
    </row>
    <row r="46" spans="1:24" x14ac:dyDescent="0.2">
      <c r="A46" s="1">
        <v>45</v>
      </c>
      <c r="B46" s="1" t="s">
        <v>7</v>
      </c>
      <c r="C46" s="1" t="s">
        <v>2781</v>
      </c>
      <c r="D46" s="1" t="s">
        <v>869</v>
      </c>
      <c r="E46" s="15" t="s">
        <v>818</v>
      </c>
      <c r="F46" s="66" t="s">
        <v>882</v>
      </c>
      <c r="G46" s="24" t="s">
        <v>2799</v>
      </c>
      <c r="H46" s="15" t="s">
        <v>2788</v>
      </c>
      <c r="I46" s="16">
        <v>38</v>
      </c>
      <c r="J46" s="16" t="str">
        <f t="shared" si="2"/>
        <v>Middle Age</v>
      </c>
      <c r="K46" s="25">
        <v>5</v>
      </c>
      <c r="L46" s="42">
        <v>950</v>
      </c>
      <c r="M46" s="15">
        <v>500</v>
      </c>
      <c r="N46" s="39">
        <f t="shared" si="0"/>
        <v>4750</v>
      </c>
      <c r="O46" s="39">
        <f t="shared" si="1"/>
        <v>2250</v>
      </c>
      <c r="P46" s="24" t="s">
        <v>2046</v>
      </c>
      <c r="Q46" s="24" t="s">
        <v>2016</v>
      </c>
      <c r="R46" s="1" t="s">
        <v>2013</v>
      </c>
      <c r="S46" s="15" t="s">
        <v>2082</v>
      </c>
      <c r="T46" s="15" t="s">
        <v>2442</v>
      </c>
      <c r="U46" s="25" t="s">
        <v>2087</v>
      </c>
      <c r="V46" s="25" t="s">
        <v>2436</v>
      </c>
      <c r="W46" s="80">
        <v>45142</v>
      </c>
      <c r="X46" s="21" t="s">
        <v>2819</v>
      </c>
    </row>
    <row r="47" spans="1:24" x14ac:dyDescent="0.2">
      <c r="A47" s="1">
        <v>46</v>
      </c>
      <c r="B47" s="1" t="s">
        <v>8</v>
      </c>
      <c r="C47" s="1" t="s">
        <v>2781</v>
      </c>
      <c r="D47" s="1" t="s">
        <v>869</v>
      </c>
      <c r="E47" s="15" t="s">
        <v>818</v>
      </c>
      <c r="F47" s="66" t="s">
        <v>904</v>
      </c>
      <c r="G47" s="24" t="s">
        <v>2801</v>
      </c>
      <c r="H47" s="15" t="s">
        <v>2788</v>
      </c>
      <c r="I47" s="16">
        <v>41</v>
      </c>
      <c r="J47" s="16" t="str">
        <f t="shared" si="2"/>
        <v>Middle Age</v>
      </c>
      <c r="K47" s="25">
        <v>3</v>
      </c>
      <c r="L47" s="42">
        <v>800</v>
      </c>
      <c r="M47" s="15">
        <v>400</v>
      </c>
      <c r="N47" s="39">
        <f t="shared" si="0"/>
        <v>2400</v>
      </c>
      <c r="O47" s="39">
        <f t="shared" si="1"/>
        <v>1200</v>
      </c>
      <c r="P47" s="24" t="s">
        <v>2037</v>
      </c>
      <c r="Q47" s="24" t="s">
        <v>2014</v>
      </c>
      <c r="R47" s="1" t="s">
        <v>2013</v>
      </c>
      <c r="S47" s="15" t="s">
        <v>2082</v>
      </c>
      <c r="T47" s="15" t="s">
        <v>2442</v>
      </c>
      <c r="U47" s="25" t="s">
        <v>2084</v>
      </c>
      <c r="V47" s="25" t="s">
        <v>2434</v>
      </c>
      <c r="W47" s="80">
        <v>45050</v>
      </c>
      <c r="X47" s="21" t="s">
        <v>2786</v>
      </c>
    </row>
    <row r="48" spans="1:24" x14ac:dyDescent="0.2">
      <c r="A48" s="1">
        <v>47</v>
      </c>
      <c r="B48" s="1" t="s">
        <v>5</v>
      </c>
      <c r="C48" s="1" t="s">
        <v>2781</v>
      </c>
      <c r="D48" s="1" t="s">
        <v>869</v>
      </c>
      <c r="E48" s="15" t="s">
        <v>823</v>
      </c>
      <c r="F48" s="66" t="s">
        <v>905</v>
      </c>
      <c r="G48" s="24" t="s">
        <v>2803</v>
      </c>
      <c r="H48" s="15" t="s">
        <v>2788</v>
      </c>
      <c r="I48" s="16">
        <v>29</v>
      </c>
      <c r="J48" s="16" t="str">
        <f t="shared" si="2"/>
        <v>Young</v>
      </c>
      <c r="K48" s="25">
        <v>2</v>
      </c>
      <c r="L48" s="42">
        <v>650</v>
      </c>
      <c r="M48" s="15">
        <v>350</v>
      </c>
      <c r="N48" s="39">
        <f t="shared" si="0"/>
        <v>1300</v>
      </c>
      <c r="O48" s="39">
        <f t="shared" si="1"/>
        <v>600</v>
      </c>
      <c r="P48" s="24" t="s">
        <v>2041</v>
      </c>
      <c r="Q48" s="24" t="s">
        <v>2016</v>
      </c>
      <c r="R48" s="1" t="s">
        <v>2013</v>
      </c>
      <c r="S48" s="15" t="s">
        <v>2082</v>
      </c>
      <c r="T48" s="15" t="s">
        <v>2442</v>
      </c>
      <c r="U48" s="25" t="s">
        <v>2084</v>
      </c>
      <c r="V48" s="25" t="s">
        <v>2437</v>
      </c>
      <c r="W48" s="80">
        <v>44945</v>
      </c>
      <c r="X48" s="21" t="s">
        <v>2818</v>
      </c>
    </row>
    <row r="49" spans="1:24" x14ac:dyDescent="0.2">
      <c r="A49" s="1">
        <v>48</v>
      </c>
      <c r="B49" s="1" t="s">
        <v>2</v>
      </c>
      <c r="C49" s="1" t="s">
        <v>2781</v>
      </c>
      <c r="D49" s="1" t="s">
        <v>869</v>
      </c>
      <c r="E49" s="15" t="s">
        <v>818</v>
      </c>
      <c r="F49" s="66" t="s">
        <v>870</v>
      </c>
      <c r="G49" s="24" t="s">
        <v>2805</v>
      </c>
      <c r="H49" s="15" t="s">
        <v>2788</v>
      </c>
      <c r="I49" s="16">
        <v>60</v>
      </c>
      <c r="J49" s="16" t="str">
        <f t="shared" si="2"/>
        <v>Old</v>
      </c>
      <c r="K49" s="25">
        <v>4</v>
      </c>
      <c r="L49" s="42">
        <v>850</v>
      </c>
      <c r="M49" s="15">
        <v>400</v>
      </c>
      <c r="N49" s="39">
        <f t="shared" si="0"/>
        <v>3400</v>
      </c>
      <c r="O49" s="39">
        <f t="shared" si="1"/>
        <v>1800</v>
      </c>
      <c r="P49" s="24" t="s">
        <v>2055</v>
      </c>
      <c r="Q49" s="24" t="s">
        <v>2014</v>
      </c>
      <c r="R49" s="1" t="s">
        <v>2013</v>
      </c>
      <c r="S49" s="15" t="s">
        <v>2082</v>
      </c>
      <c r="T49" s="15" t="s">
        <v>2442</v>
      </c>
      <c r="U49" s="25" t="s">
        <v>2087</v>
      </c>
      <c r="V49" s="25" t="s">
        <v>2435</v>
      </c>
      <c r="W49" s="80">
        <v>45080</v>
      </c>
      <c r="X49" s="21" t="s">
        <v>2814</v>
      </c>
    </row>
    <row r="50" spans="1:24" x14ac:dyDescent="0.2">
      <c r="A50" s="1">
        <v>49</v>
      </c>
      <c r="B50" s="1" t="s">
        <v>2</v>
      </c>
      <c r="C50" s="1" t="s">
        <v>2781</v>
      </c>
      <c r="D50" s="1" t="s">
        <v>869</v>
      </c>
      <c r="E50" s="15" t="s">
        <v>824</v>
      </c>
      <c r="F50" s="66" t="s">
        <v>906</v>
      </c>
      <c r="G50" s="24" t="s">
        <v>2807</v>
      </c>
      <c r="H50" s="15" t="s">
        <v>2788</v>
      </c>
      <c r="I50" s="16">
        <v>33</v>
      </c>
      <c r="J50" s="16" t="str">
        <f t="shared" si="2"/>
        <v>Young</v>
      </c>
      <c r="K50" s="25">
        <v>1</v>
      </c>
      <c r="L50" s="42">
        <v>1000</v>
      </c>
      <c r="M50" s="15">
        <v>500</v>
      </c>
      <c r="N50" s="39">
        <f t="shared" si="0"/>
        <v>1000</v>
      </c>
      <c r="O50" s="39">
        <f t="shared" si="1"/>
        <v>500</v>
      </c>
      <c r="P50" s="24" t="s">
        <v>2027</v>
      </c>
      <c r="Q50" s="24" t="s">
        <v>2014</v>
      </c>
      <c r="R50" s="1" t="s">
        <v>2013</v>
      </c>
      <c r="S50" s="15" t="s">
        <v>2082</v>
      </c>
      <c r="T50" s="15" t="s">
        <v>2442</v>
      </c>
      <c r="U50" s="25" t="s">
        <v>2084</v>
      </c>
      <c r="V50" s="25" t="s">
        <v>2434</v>
      </c>
      <c r="W50" s="80">
        <v>45132</v>
      </c>
      <c r="X50" s="21" t="s">
        <v>2813</v>
      </c>
    </row>
    <row r="51" spans="1:24" x14ac:dyDescent="0.2">
      <c r="A51" s="1">
        <v>50</v>
      </c>
      <c r="B51" s="1" t="s">
        <v>5</v>
      </c>
      <c r="C51" s="1" t="s">
        <v>2781</v>
      </c>
      <c r="D51" s="1" t="s">
        <v>869</v>
      </c>
      <c r="E51" s="15" t="s">
        <v>818</v>
      </c>
      <c r="F51" s="66" t="s">
        <v>870</v>
      </c>
      <c r="G51" s="24" t="s">
        <v>2809</v>
      </c>
      <c r="H51" s="15" t="s">
        <v>2788</v>
      </c>
      <c r="I51" s="16">
        <v>22</v>
      </c>
      <c r="J51" s="16" t="str">
        <f t="shared" si="2"/>
        <v>Young</v>
      </c>
      <c r="K51" s="25">
        <v>5</v>
      </c>
      <c r="L51" s="42">
        <v>850</v>
      </c>
      <c r="M51" s="15">
        <v>400</v>
      </c>
      <c r="N51" s="39">
        <f t="shared" si="0"/>
        <v>4250</v>
      </c>
      <c r="O51" s="39">
        <f t="shared" si="1"/>
        <v>2250</v>
      </c>
      <c r="P51" s="24" t="s">
        <v>2059</v>
      </c>
      <c r="Q51" s="24" t="s">
        <v>2016</v>
      </c>
      <c r="R51" s="1" t="s">
        <v>2013</v>
      </c>
      <c r="S51" s="15" t="s">
        <v>2082</v>
      </c>
      <c r="T51" s="15" t="s">
        <v>2442</v>
      </c>
      <c r="U51" s="25" t="s">
        <v>2083</v>
      </c>
      <c r="V51" s="25" t="s">
        <v>2436</v>
      </c>
      <c r="W51" s="80">
        <v>45205</v>
      </c>
      <c r="X51" s="21" t="s">
        <v>2821</v>
      </c>
    </row>
    <row r="52" spans="1:24" x14ac:dyDescent="0.2">
      <c r="A52" s="1">
        <v>51</v>
      </c>
      <c r="B52" s="1" t="s">
        <v>5</v>
      </c>
      <c r="C52" s="1" t="s">
        <v>2781</v>
      </c>
      <c r="D52" s="1" t="s">
        <v>869</v>
      </c>
      <c r="E52" s="15" t="s">
        <v>824</v>
      </c>
      <c r="F52" s="66" t="s">
        <v>901</v>
      </c>
      <c r="G52" s="24" t="s">
        <v>2794</v>
      </c>
      <c r="H52" s="15" t="s">
        <v>2789</v>
      </c>
      <c r="I52" s="16">
        <v>47</v>
      </c>
      <c r="J52" s="16" t="str">
        <f t="shared" si="2"/>
        <v>Middle Age</v>
      </c>
      <c r="K52" s="25">
        <v>3</v>
      </c>
      <c r="L52" s="42">
        <v>1000</v>
      </c>
      <c r="M52" s="15">
        <v>500</v>
      </c>
      <c r="N52" s="39">
        <f t="shared" si="0"/>
        <v>3000</v>
      </c>
      <c r="O52" s="39">
        <f t="shared" si="1"/>
        <v>1500</v>
      </c>
      <c r="P52" s="24" t="s">
        <v>2047</v>
      </c>
      <c r="Q52" s="24" t="s">
        <v>2024</v>
      </c>
      <c r="R52" s="1" t="s">
        <v>2013</v>
      </c>
      <c r="S52" s="15" t="s">
        <v>2082</v>
      </c>
      <c r="T52" s="15" t="s">
        <v>2442</v>
      </c>
      <c r="U52" s="25" t="s">
        <v>2087</v>
      </c>
      <c r="V52" s="25" t="s">
        <v>2437</v>
      </c>
      <c r="W52" s="80">
        <v>45281</v>
      </c>
      <c r="X52" s="21" t="s">
        <v>2822</v>
      </c>
    </row>
    <row r="53" spans="1:24" x14ac:dyDescent="0.2">
      <c r="A53" s="1">
        <v>52</v>
      </c>
      <c r="B53" s="1" t="s">
        <v>6</v>
      </c>
      <c r="C53" s="1" t="s">
        <v>2781</v>
      </c>
      <c r="D53" s="1" t="s">
        <v>869</v>
      </c>
      <c r="E53" s="15" t="s">
        <v>818</v>
      </c>
      <c r="F53" s="66" t="s">
        <v>907</v>
      </c>
      <c r="G53" s="24" t="s">
        <v>2792</v>
      </c>
      <c r="H53" s="15" t="s">
        <v>2789</v>
      </c>
      <c r="I53" s="16">
        <v>55</v>
      </c>
      <c r="J53" s="16" t="str">
        <f t="shared" si="2"/>
        <v>Old</v>
      </c>
      <c r="K53" s="25">
        <v>1</v>
      </c>
      <c r="L53" s="42">
        <v>750</v>
      </c>
      <c r="M53" s="15">
        <v>400</v>
      </c>
      <c r="N53" s="39">
        <f t="shared" si="0"/>
        <v>750</v>
      </c>
      <c r="O53" s="39">
        <f t="shared" si="1"/>
        <v>350</v>
      </c>
      <c r="P53" s="24" t="s">
        <v>2025</v>
      </c>
      <c r="Q53" s="24" t="s">
        <v>2024</v>
      </c>
      <c r="R53" s="1" t="s">
        <v>2013</v>
      </c>
      <c r="S53" s="15" t="s">
        <v>2082</v>
      </c>
      <c r="T53" s="15" t="s">
        <v>2442</v>
      </c>
      <c r="U53" s="25" t="s">
        <v>2083</v>
      </c>
      <c r="V53" s="25" t="s">
        <v>2435</v>
      </c>
      <c r="W53" s="80">
        <v>44999</v>
      </c>
      <c r="X53" s="21" t="s">
        <v>2816</v>
      </c>
    </row>
    <row r="54" spans="1:24" x14ac:dyDescent="0.2">
      <c r="A54" s="1">
        <v>53</v>
      </c>
      <c r="B54" s="1" t="s">
        <v>1</v>
      </c>
      <c r="C54" s="1" t="s">
        <v>2781</v>
      </c>
      <c r="D54" s="1" t="s">
        <v>869</v>
      </c>
      <c r="E54" s="15" t="s">
        <v>817</v>
      </c>
      <c r="F54" s="66" t="s">
        <v>908</v>
      </c>
      <c r="G54" s="24" t="s">
        <v>2796</v>
      </c>
      <c r="H54" s="15" t="s">
        <v>2788</v>
      </c>
      <c r="I54" s="16">
        <v>36</v>
      </c>
      <c r="J54" s="16" t="str">
        <f t="shared" si="2"/>
        <v>Middle Age</v>
      </c>
      <c r="K54" s="25">
        <v>2</v>
      </c>
      <c r="L54" s="42">
        <v>680</v>
      </c>
      <c r="M54" s="15">
        <v>350</v>
      </c>
      <c r="N54" s="39">
        <f t="shared" si="0"/>
        <v>1360</v>
      </c>
      <c r="O54" s="39">
        <f t="shared" si="1"/>
        <v>660</v>
      </c>
      <c r="P54" s="24" t="s">
        <v>2060</v>
      </c>
      <c r="Q54" s="24" t="s">
        <v>2024</v>
      </c>
      <c r="R54" s="1" t="s">
        <v>2013</v>
      </c>
      <c r="S54" s="15" t="s">
        <v>2082</v>
      </c>
      <c r="T54" s="15" t="s">
        <v>2442</v>
      </c>
      <c r="U54" s="25" t="s">
        <v>2087</v>
      </c>
      <c r="V54" s="25" t="s">
        <v>2434</v>
      </c>
      <c r="W54" s="80">
        <v>45013</v>
      </c>
      <c r="X54" s="21" t="s">
        <v>2816</v>
      </c>
    </row>
    <row r="55" spans="1:24" x14ac:dyDescent="0.2">
      <c r="A55" s="1">
        <v>54</v>
      </c>
      <c r="B55" s="1" t="s">
        <v>2</v>
      </c>
      <c r="C55" s="1" t="s">
        <v>2781</v>
      </c>
      <c r="D55" s="1" t="s">
        <v>869</v>
      </c>
      <c r="E55" s="15" t="s">
        <v>817</v>
      </c>
      <c r="F55" s="66" t="s">
        <v>908</v>
      </c>
      <c r="G55" s="24" t="s">
        <v>2798</v>
      </c>
      <c r="H55" s="15" t="s">
        <v>2788</v>
      </c>
      <c r="I55" s="16">
        <v>28</v>
      </c>
      <c r="J55" s="16" t="str">
        <f t="shared" si="2"/>
        <v>Young</v>
      </c>
      <c r="K55" s="25">
        <v>4</v>
      </c>
      <c r="L55" s="42">
        <v>720</v>
      </c>
      <c r="M55" s="15">
        <v>350</v>
      </c>
      <c r="N55" s="39">
        <f t="shared" si="0"/>
        <v>2880</v>
      </c>
      <c r="O55" s="39">
        <f t="shared" si="1"/>
        <v>1480</v>
      </c>
      <c r="P55" s="24" t="s">
        <v>2038</v>
      </c>
      <c r="Q55" s="15" t="s">
        <v>2016</v>
      </c>
      <c r="R55" s="1" t="s">
        <v>2013</v>
      </c>
      <c r="S55" s="15" t="s">
        <v>2082</v>
      </c>
      <c r="T55" s="15" t="s">
        <v>2442</v>
      </c>
      <c r="U55" s="25" t="s">
        <v>2086</v>
      </c>
      <c r="V55" s="25" t="s">
        <v>2436</v>
      </c>
      <c r="W55" s="80">
        <v>45221</v>
      </c>
      <c r="X55" s="21" t="s">
        <v>2821</v>
      </c>
    </row>
    <row r="56" spans="1:24" x14ac:dyDescent="0.2">
      <c r="A56" s="1">
        <v>55</v>
      </c>
      <c r="B56" s="1" t="s">
        <v>2</v>
      </c>
      <c r="C56" s="1" t="s">
        <v>2781</v>
      </c>
      <c r="D56" s="1" t="s">
        <v>869</v>
      </c>
      <c r="E56" s="15" t="s">
        <v>817</v>
      </c>
      <c r="F56" s="66" t="s">
        <v>908</v>
      </c>
      <c r="G56" s="24" t="s">
        <v>2800</v>
      </c>
      <c r="H56" s="15" t="s">
        <v>2788</v>
      </c>
      <c r="I56" s="16">
        <v>50</v>
      </c>
      <c r="J56" s="16" t="str">
        <f t="shared" si="2"/>
        <v>Old</v>
      </c>
      <c r="K56" s="25">
        <v>5</v>
      </c>
      <c r="L56" s="42">
        <v>720</v>
      </c>
      <c r="M56" s="15">
        <v>350</v>
      </c>
      <c r="N56" s="39">
        <f t="shared" si="0"/>
        <v>3600</v>
      </c>
      <c r="O56" s="39">
        <f t="shared" si="1"/>
        <v>1850</v>
      </c>
      <c r="P56" s="24" t="s">
        <v>2049</v>
      </c>
      <c r="Q56" s="24" t="s">
        <v>2016</v>
      </c>
      <c r="R56" s="1" t="s">
        <v>2013</v>
      </c>
      <c r="S56" s="15" t="s">
        <v>2082</v>
      </c>
      <c r="T56" s="15" t="s">
        <v>2442</v>
      </c>
      <c r="U56" s="25" t="s">
        <v>2085</v>
      </c>
      <c r="V56" s="25" t="s">
        <v>2437</v>
      </c>
      <c r="W56" s="80">
        <v>45163</v>
      </c>
      <c r="X56" s="21" t="s">
        <v>2819</v>
      </c>
    </row>
    <row r="57" spans="1:24" x14ac:dyDescent="0.2">
      <c r="A57" s="1">
        <v>56</v>
      </c>
      <c r="B57" s="1" t="s">
        <v>2</v>
      </c>
      <c r="C57" s="1" t="s">
        <v>2781</v>
      </c>
      <c r="D57" s="1" t="s">
        <v>869</v>
      </c>
      <c r="E57" s="15" t="s">
        <v>817</v>
      </c>
      <c r="F57" s="66" t="s">
        <v>887</v>
      </c>
      <c r="G57" s="24" t="s">
        <v>2802</v>
      </c>
      <c r="H57" s="15" t="s">
        <v>2788</v>
      </c>
      <c r="I57" s="16">
        <v>39</v>
      </c>
      <c r="J57" s="16" t="str">
        <f t="shared" si="2"/>
        <v>Middle Age</v>
      </c>
      <c r="K57" s="25">
        <v>2</v>
      </c>
      <c r="L57" s="42">
        <v>790</v>
      </c>
      <c r="M57" s="15">
        <v>350</v>
      </c>
      <c r="N57" s="39">
        <f t="shared" si="0"/>
        <v>1580</v>
      </c>
      <c r="O57" s="39">
        <f t="shared" si="1"/>
        <v>880</v>
      </c>
      <c r="P57" s="24" t="s">
        <v>2043</v>
      </c>
      <c r="Q57" s="24" t="s">
        <v>2016</v>
      </c>
      <c r="R57" s="1" t="s">
        <v>2013</v>
      </c>
      <c r="S57" s="15" t="s">
        <v>2082</v>
      </c>
      <c r="T57" s="15" t="s">
        <v>2442</v>
      </c>
      <c r="U57" s="25" t="s">
        <v>2084</v>
      </c>
      <c r="V57" s="25" t="s">
        <v>2435</v>
      </c>
      <c r="W57" s="80">
        <v>45174</v>
      </c>
      <c r="X57" s="21" t="s">
        <v>2820</v>
      </c>
    </row>
    <row r="58" spans="1:24" x14ac:dyDescent="0.2">
      <c r="A58" s="1">
        <v>57</v>
      </c>
      <c r="B58" s="1" t="s">
        <v>3</v>
      </c>
      <c r="C58" s="1" t="s">
        <v>2781</v>
      </c>
      <c r="D58" s="1" t="s">
        <v>869</v>
      </c>
      <c r="E58" s="15" t="s">
        <v>822</v>
      </c>
      <c r="F58" s="66" t="s">
        <v>887</v>
      </c>
      <c r="G58" s="24" t="s">
        <v>2804</v>
      </c>
      <c r="H58" s="15" t="s">
        <v>2788</v>
      </c>
      <c r="I58" s="16">
        <v>31</v>
      </c>
      <c r="J58" s="16" t="str">
        <f t="shared" si="2"/>
        <v>Young</v>
      </c>
      <c r="K58" s="25">
        <v>3</v>
      </c>
      <c r="L58" s="42">
        <v>700</v>
      </c>
      <c r="M58" s="15">
        <v>350</v>
      </c>
      <c r="N58" s="39">
        <f t="shared" si="0"/>
        <v>2100</v>
      </c>
      <c r="O58" s="39">
        <f t="shared" si="1"/>
        <v>1050</v>
      </c>
      <c r="P58" s="24" t="s">
        <v>2054</v>
      </c>
      <c r="Q58" s="24" t="s">
        <v>2016</v>
      </c>
      <c r="R58" s="1" t="s">
        <v>2013</v>
      </c>
      <c r="S58" s="15" t="s">
        <v>2082</v>
      </c>
      <c r="T58" s="15" t="s">
        <v>2442</v>
      </c>
      <c r="U58" s="25" t="s">
        <v>2083</v>
      </c>
      <c r="V58" s="25" t="s">
        <v>2436</v>
      </c>
      <c r="W58" s="80">
        <v>45179</v>
      </c>
      <c r="X58" s="21" t="s">
        <v>2820</v>
      </c>
    </row>
    <row r="59" spans="1:24" x14ac:dyDescent="0.2">
      <c r="A59" s="1">
        <v>58</v>
      </c>
      <c r="B59" s="1" t="s">
        <v>2</v>
      </c>
      <c r="C59" s="1" t="s">
        <v>2781</v>
      </c>
      <c r="D59" s="1" t="s">
        <v>869</v>
      </c>
      <c r="E59" s="15" t="s">
        <v>824</v>
      </c>
      <c r="F59" s="66" t="s">
        <v>909</v>
      </c>
      <c r="G59" s="24" t="s">
        <v>2806</v>
      </c>
      <c r="H59" s="15" t="s">
        <v>2789</v>
      </c>
      <c r="I59" s="16">
        <v>44</v>
      </c>
      <c r="J59" s="16" t="str">
        <f t="shared" si="2"/>
        <v>Middle Age</v>
      </c>
      <c r="K59" s="25">
        <v>1</v>
      </c>
      <c r="L59" s="42">
        <v>850</v>
      </c>
      <c r="M59" s="15">
        <v>400</v>
      </c>
      <c r="N59" s="39">
        <f t="shared" si="0"/>
        <v>850</v>
      </c>
      <c r="O59" s="39">
        <f t="shared" si="1"/>
        <v>450</v>
      </c>
      <c r="P59" s="24" t="s">
        <v>2051</v>
      </c>
      <c r="Q59" s="15" t="s">
        <v>2828</v>
      </c>
      <c r="R59" s="1" t="s">
        <v>2013</v>
      </c>
      <c r="S59" s="15" t="s">
        <v>2082</v>
      </c>
      <c r="T59" s="15" t="s">
        <v>2442</v>
      </c>
      <c r="U59" s="25" t="s">
        <v>2088</v>
      </c>
      <c r="V59" s="25" t="s">
        <v>2434</v>
      </c>
      <c r="W59" s="80">
        <v>45281</v>
      </c>
      <c r="X59" s="21" t="s">
        <v>2822</v>
      </c>
    </row>
    <row r="60" spans="1:24" x14ac:dyDescent="0.2">
      <c r="A60" s="1">
        <v>59</v>
      </c>
      <c r="B60" s="1" t="s">
        <v>5</v>
      </c>
      <c r="C60" s="1" t="s">
        <v>2781</v>
      </c>
      <c r="D60" s="1" t="s">
        <v>869</v>
      </c>
      <c r="E60" s="15" t="s">
        <v>824</v>
      </c>
      <c r="F60" s="66" t="s">
        <v>910</v>
      </c>
      <c r="G60" s="24" t="s">
        <v>2808</v>
      </c>
      <c r="H60" s="15" t="s">
        <v>2788</v>
      </c>
      <c r="I60" s="16">
        <v>26</v>
      </c>
      <c r="J60" s="16" t="str">
        <f t="shared" si="2"/>
        <v>Young</v>
      </c>
      <c r="K60" s="25">
        <v>4</v>
      </c>
      <c r="L60" s="42">
        <v>1000</v>
      </c>
      <c r="M60" s="15">
        <v>500</v>
      </c>
      <c r="N60" s="39">
        <f t="shared" si="0"/>
        <v>4000</v>
      </c>
      <c r="O60" s="39">
        <f t="shared" si="1"/>
        <v>2000</v>
      </c>
      <c r="P60" s="24" t="s">
        <v>2030</v>
      </c>
      <c r="Q60" s="24" t="s">
        <v>2024</v>
      </c>
      <c r="R60" s="1" t="s">
        <v>2013</v>
      </c>
      <c r="S60" s="15" t="s">
        <v>2082</v>
      </c>
      <c r="T60" s="15" t="s">
        <v>2442</v>
      </c>
      <c r="U60" s="25" t="s">
        <v>2084</v>
      </c>
      <c r="V60" s="25" t="s">
        <v>2437</v>
      </c>
      <c r="W60" s="80">
        <v>45011</v>
      </c>
      <c r="X60" s="21" t="s">
        <v>2816</v>
      </c>
    </row>
    <row r="61" spans="1:24" x14ac:dyDescent="0.2">
      <c r="A61" s="1">
        <v>60</v>
      </c>
      <c r="B61" s="1" t="s">
        <v>5</v>
      </c>
      <c r="C61" s="1" t="s">
        <v>2781</v>
      </c>
      <c r="D61" s="1" t="s">
        <v>869</v>
      </c>
      <c r="E61" s="15" t="s">
        <v>818</v>
      </c>
      <c r="F61" s="66" t="s">
        <v>911</v>
      </c>
      <c r="G61" s="24" t="s">
        <v>2810</v>
      </c>
      <c r="H61" s="15" t="s">
        <v>2788</v>
      </c>
      <c r="I61" s="16">
        <v>48</v>
      </c>
      <c r="J61" s="16" t="str">
        <f t="shared" si="2"/>
        <v>Middle Age</v>
      </c>
      <c r="K61" s="25">
        <v>5</v>
      </c>
      <c r="L61" s="42">
        <v>900</v>
      </c>
      <c r="M61" s="15">
        <v>500</v>
      </c>
      <c r="N61" s="39">
        <f t="shared" si="0"/>
        <v>4500</v>
      </c>
      <c r="O61" s="39">
        <f t="shared" si="1"/>
        <v>2000</v>
      </c>
      <c r="P61" s="24" t="s">
        <v>2028</v>
      </c>
      <c r="Q61" s="15" t="s">
        <v>2024</v>
      </c>
      <c r="R61" s="1" t="s">
        <v>2013</v>
      </c>
      <c r="S61" s="15" t="s">
        <v>2082</v>
      </c>
      <c r="T61" s="15" t="s">
        <v>2442</v>
      </c>
      <c r="U61" s="25" t="s">
        <v>2090</v>
      </c>
      <c r="V61" s="25" t="s">
        <v>2435</v>
      </c>
      <c r="W61" s="80">
        <v>45151</v>
      </c>
      <c r="X61" s="21" t="s">
        <v>2819</v>
      </c>
    </row>
    <row r="62" spans="1:24" x14ac:dyDescent="0.2">
      <c r="A62" s="1">
        <v>61</v>
      </c>
      <c r="B62" s="1" t="s">
        <v>9</v>
      </c>
      <c r="C62" s="1" t="s">
        <v>2781</v>
      </c>
      <c r="D62" s="1" t="s">
        <v>869</v>
      </c>
      <c r="E62" s="15" t="s">
        <v>824</v>
      </c>
      <c r="F62" s="66" t="s">
        <v>912</v>
      </c>
      <c r="G62" s="24" t="s">
        <v>2793</v>
      </c>
      <c r="H62" s="15" t="s">
        <v>2788</v>
      </c>
      <c r="I62" s="16">
        <v>53</v>
      </c>
      <c r="J62" s="16" t="str">
        <f t="shared" si="2"/>
        <v>Old</v>
      </c>
      <c r="K62" s="25">
        <v>3</v>
      </c>
      <c r="L62" s="42">
        <v>640</v>
      </c>
      <c r="M62" s="15">
        <v>350</v>
      </c>
      <c r="N62" s="39">
        <f t="shared" si="0"/>
        <v>1920</v>
      </c>
      <c r="O62" s="39">
        <f t="shared" si="1"/>
        <v>870</v>
      </c>
      <c r="P62" s="24" t="s">
        <v>2045</v>
      </c>
      <c r="Q62" s="24" t="s">
        <v>2014</v>
      </c>
      <c r="R62" s="1" t="s">
        <v>2013</v>
      </c>
      <c r="S62" s="15" t="s">
        <v>2082</v>
      </c>
      <c r="T62" s="15" t="s">
        <v>2442</v>
      </c>
      <c r="U62" s="25" t="s">
        <v>2087</v>
      </c>
      <c r="V62" s="25" t="s">
        <v>2434</v>
      </c>
      <c r="W62" s="80">
        <v>45204</v>
      </c>
      <c r="X62" s="21" t="s">
        <v>2821</v>
      </c>
    </row>
    <row r="63" spans="1:24" x14ac:dyDescent="0.2">
      <c r="A63" s="1">
        <v>62</v>
      </c>
      <c r="B63" s="1" t="s">
        <v>9</v>
      </c>
      <c r="C63" s="1" t="s">
        <v>2781</v>
      </c>
      <c r="D63" s="1" t="s">
        <v>869</v>
      </c>
      <c r="E63" s="15" t="s">
        <v>824</v>
      </c>
      <c r="F63" s="68" t="s">
        <v>912</v>
      </c>
      <c r="G63" s="24" t="s">
        <v>2791</v>
      </c>
      <c r="H63" s="15" t="s">
        <v>2788</v>
      </c>
      <c r="I63" s="16">
        <v>30</v>
      </c>
      <c r="J63" s="16" t="str">
        <f t="shared" si="2"/>
        <v>Young</v>
      </c>
      <c r="K63" s="25">
        <v>2</v>
      </c>
      <c r="L63" s="42">
        <v>640</v>
      </c>
      <c r="M63" s="15">
        <v>350</v>
      </c>
      <c r="N63" s="39">
        <f t="shared" si="0"/>
        <v>1280</v>
      </c>
      <c r="O63" s="39">
        <f t="shared" si="1"/>
        <v>580</v>
      </c>
      <c r="P63" s="24" t="s">
        <v>2031</v>
      </c>
      <c r="Q63" s="24" t="s">
        <v>2016</v>
      </c>
      <c r="R63" s="1" t="s">
        <v>2013</v>
      </c>
      <c r="S63" s="15" t="s">
        <v>2082</v>
      </c>
      <c r="T63" s="15" t="s">
        <v>2442</v>
      </c>
      <c r="U63" s="25" t="s">
        <v>2086</v>
      </c>
      <c r="V63" s="25" t="s">
        <v>2436</v>
      </c>
      <c r="W63" s="80">
        <v>44950</v>
      </c>
      <c r="X63" s="21" t="s">
        <v>2818</v>
      </c>
    </row>
    <row r="64" spans="1:24" x14ac:dyDescent="0.2">
      <c r="A64" s="1">
        <v>63</v>
      </c>
      <c r="B64" s="1" t="s">
        <v>0</v>
      </c>
      <c r="C64" s="1" t="s">
        <v>2781</v>
      </c>
      <c r="D64" s="1" t="s">
        <v>869</v>
      </c>
      <c r="E64" s="15" t="s">
        <v>817</v>
      </c>
      <c r="F64" s="68" t="s">
        <v>912</v>
      </c>
      <c r="G64" s="24" t="s">
        <v>2795</v>
      </c>
      <c r="H64" s="15" t="s">
        <v>2788</v>
      </c>
      <c r="I64" s="16">
        <v>37</v>
      </c>
      <c r="J64" s="16" t="str">
        <f t="shared" si="2"/>
        <v>Middle Age</v>
      </c>
      <c r="K64" s="25">
        <v>4</v>
      </c>
      <c r="L64" s="42">
        <v>810</v>
      </c>
      <c r="M64" s="15">
        <v>400</v>
      </c>
      <c r="N64" s="39">
        <f t="shared" si="0"/>
        <v>3240</v>
      </c>
      <c r="O64" s="39">
        <f t="shared" si="1"/>
        <v>1640</v>
      </c>
      <c r="P64" s="24" t="s">
        <v>2034</v>
      </c>
      <c r="Q64" s="24" t="s">
        <v>2016</v>
      </c>
      <c r="R64" s="1" t="s">
        <v>2013</v>
      </c>
      <c r="S64" s="15" t="s">
        <v>2082</v>
      </c>
      <c r="T64" s="15" t="s">
        <v>2442</v>
      </c>
      <c r="U64" s="25" t="s">
        <v>2085</v>
      </c>
      <c r="V64" s="25" t="s">
        <v>2437</v>
      </c>
      <c r="W64" s="80">
        <v>45281</v>
      </c>
      <c r="X64" s="21" t="s">
        <v>2822</v>
      </c>
    </row>
    <row r="65" spans="1:24" x14ac:dyDescent="0.2">
      <c r="A65" s="1">
        <v>64</v>
      </c>
      <c r="B65" s="1" t="s">
        <v>5</v>
      </c>
      <c r="C65" s="1" t="s">
        <v>2781</v>
      </c>
      <c r="D65" s="1" t="s">
        <v>869</v>
      </c>
      <c r="E65" s="15" t="s">
        <v>824</v>
      </c>
      <c r="F65" s="66" t="s">
        <v>903</v>
      </c>
      <c r="G65" s="24" t="s">
        <v>2797</v>
      </c>
      <c r="H65" s="15" t="s">
        <v>2788</v>
      </c>
      <c r="I65" s="16">
        <v>42</v>
      </c>
      <c r="J65" s="16" t="str">
        <f t="shared" si="2"/>
        <v>Middle Age</v>
      </c>
      <c r="K65" s="25">
        <v>1</v>
      </c>
      <c r="L65" s="42">
        <v>1000</v>
      </c>
      <c r="M65" s="15">
        <v>500</v>
      </c>
      <c r="N65" s="39">
        <f t="shared" si="0"/>
        <v>1000</v>
      </c>
      <c r="O65" s="39">
        <f t="shared" si="1"/>
        <v>500</v>
      </c>
      <c r="P65" s="24" t="s">
        <v>2034</v>
      </c>
      <c r="Q65" s="24" t="s">
        <v>2016</v>
      </c>
      <c r="R65" s="1" t="s">
        <v>2013</v>
      </c>
      <c r="S65" s="15" t="s">
        <v>2082</v>
      </c>
      <c r="T65" s="15" t="s">
        <v>2442</v>
      </c>
      <c r="U65" s="25" t="s">
        <v>2087</v>
      </c>
      <c r="V65" s="25" t="s">
        <v>2435</v>
      </c>
      <c r="W65" s="80">
        <v>44953</v>
      </c>
      <c r="X65" s="21" t="s">
        <v>2818</v>
      </c>
    </row>
    <row r="66" spans="1:24" x14ac:dyDescent="0.2">
      <c r="A66" s="1">
        <v>65</v>
      </c>
      <c r="B66" s="1" t="s">
        <v>8</v>
      </c>
      <c r="C66" s="1" t="s">
        <v>2781</v>
      </c>
      <c r="D66" s="1" t="s">
        <v>869</v>
      </c>
      <c r="E66" s="15" t="s">
        <v>823</v>
      </c>
      <c r="F66" s="66" t="s">
        <v>879</v>
      </c>
      <c r="G66" s="24" t="s">
        <v>2799</v>
      </c>
      <c r="H66" s="15" t="s">
        <v>2788</v>
      </c>
      <c r="I66" s="16">
        <v>24</v>
      </c>
      <c r="J66" s="16" t="str">
        <f t="shared" si="2"/>
        <v>Young</v>
      </c>
      <c r="K66" s="25">
        <v>5</v>
      </c>
      <c r="L66" s="42">
        <v>600</v>
      </c>
      <c r="M66" s="15">
        <v>280</v>
      </c>
      <c r="N66" s="39">
        <f t="shared" ref="N66:N129" si="3">L66*K66</f>
        <v>3000</v>
      </c>
      <c r="O66" s="39">
        <f t="shared" ref="O66:O129" si="4">N66-(M66*K66)</f>
        <v>1600</v>
      </c>
      <c r="P66" s="24" t="s">
        <v>2044</v>
      </c>
      <c r="Q66" s="24" t="s">
        <v>2020</v>
      </c>
      <c r="R66" s="1" t="s">
        <v>2013</v>
      </c>
      <c r="S66" s="15" t="s">
        <v>2082</v>
      </c>
      <c r="T66" s="15" t="s">
        <v>2442</v>
      </c>
      <c r="U66" s="25" t="s">
        <v>2085</v>
      </c>
      <c r="V66" s="25" t="s">
        <v>2434</v>
      </c>
      <c r="W66" s="80">
        <v>44964</v>
      </c>
      <c r="X66" s="21" t="s">
        <v>2817</v>
      </c>
    </row>
    <row r="67" spans="1:24" x14ac:dyDescent="0.2">
      <c r="A67" s="1">
        <v>66</v>
      </c>
      <c r="B67" s="1" t="s">
        <v>5</v>
      </c>
      <c r="C67" s="1" t="s">
        <v>2781</v>
      </c>
      <c r="D67" s="1" t="s">
        <v>869</v>
      </c>
      <c r="E67" s="15" t="s">
        <v>824</v>
      </c>
      <c r="F67" s="66" t="s">
        <v>913</v>
      </c>
      <c r="G67" s="24" t="s">
        <v>2801</v>
      </c>
      <c r="H67" s="15" t="s">
        <v>2789</v>
      </c>
      <c r="I67" s="16">
        <v>57</v>
      </c>
      <c r="J67" s="16" t="str">
        <f t="shared" ref="J67:J130" si="5">IF(I67&lt;=35,"Young",IF(I67&lt;=49,"Middle Age",IF(I67&gt;=50,"Old")))</f>
        <v>Old</v>
      </c>
      <c r="K67" s="25">
        <v>2</v>
      </c>
      <c r="L67" s="42">
        <v>850</v>
      </c>
      <c r="M67" s="15">
        <v>400</v>
      </c>
      <c r="N67" s="39">
        <f t="shared" si="3"/>
        <v>1700</v>
      </c>
      <c r="O67" s="39">
        <f t="shared" si="4"/>
        <v>900</v>
      </c>
      <c r="P67" s="24" t="s">
        <v>2023</v>
      </c>
      <c r="Q67" s="15" t="s">
        <v>2828</v>
      </c>
      <c r="R67" s="1" t="s">
        <v>2013</v>
      </c>
      <c r="S67" s="15" t="s">
        <v>2082</v>
      </c>
      <c r="T67" s="15" t="s">
        <v>2442</v>
      </c>
      <c r="U67" s="25" t="s">
        <v>2087</v>
      </c>
      <c r="V67" s="25" t="s">
        <v>2436</v>
      </c>
      <c r="W67" s="80">
        <v>44978</v>
      </c>
      <c r="X67" s="21" t="s">
        <v>2817</v>
      </c>
    </row>
    <row r="68" spans="1:24" x14ac:dyDescent="0.2">
      <c r="A68" s="1">
        <v>67</v>
      </c>
      <c r="B68" s="1" t="s">
        <v>2</v>
      </c>
      <c r="C68" s="1" t="s">
        <v>2781</v>
      </c>
      <c r="D68" s="1" t="s">
        <v>869</v>
      </c>
      <c r="E68" s="15" t="s">
        <v>817</v>
      </c>
      <c r="F68" s="66" t="s">
        <v>914</v>
      </c>
      <c r="G68" s="24" t="s">
        <v>2803</v>
      </c>
      <c r="H68" s="15" t="s">
        <v>2789</v>
      </c>
      <c r="I68" s="16">
        <v>35</v>
      </c>
      <c r="J68" s="16" t="str">
        <f t="shared" si="5"/>
        <v>Young</v>
      </c>
      <c r="K68" s="25">
        <v>3</v>
      </c>
      <c r="L68" s="42">
        <v>790</v>
      </c>
      <c r="M68" s="15">
        <v>350</v>
      </c>
      <c r="N68" s="39">
        <f t="shared" si="3"/>
        <v>2370</v>
      </c>
      <c r="O68" s="39">
        <f t="shared" si="4"/>
        <v>1320</v>
      </c>
      <c r="P68" s="24" t="s">
        <v>2060</v>
      </c>
      <c r="Q68" s="24" t="s">
        <v>2024</v>
      </c>
      <c r="R68" s="1" t="s">
        <v>2013</v>
      </c>
      <c r="S68" s="15" t="s">
        <v>2082</v>
      </c>
      <c r="T68" s="15" t="s">
        <v>2442</v>
      </c>
      <c r="U68" s="25" t="s">
        <v>2086</v>
      </c>
      <c r="V68" s="25" t="s">
        <v>2437</v>
      </c>
      <c r="W68" s="80">
        <v>45168</v>
      </c>
      <c r="X68" s="21" t="s">
        <v>2819</v>
      </c>
    </row>
    <row r="69" spans="1:24" x14ac:dyDescent="0.2">
      <c r="A69" s="1">
        <v>68</v>
      </c>
      <c r="B69" s="1" t="s">
        <v>0</v>
      </c>
      <c r="C69" s="1" t="s">
        <v>2781</v>
      </c>
      <c r="D69" s="1" t="s">
        <v>869</v>
      </c>
      <c r="E69" s="15" t="s">
        <v>817</v>
      </c>
      <c r="F69" s="68" t="s">
        <v>887</v>
      </c>
      <c r="G69" s="24" t="s">
        <v>2805</v>
      </c>
      <c r="H69" s="15" t="s">
        <v>2788</v>
      </c>
      <c r="I69" s="16">
        <v>40</v>
      </c>
      <c r="J69" s="16" t="str">
        <f t="shared" si="5"/>
        <v>Middle Age</v>
      </c>
      <c r="K69" s="25">
        <v>4</v>
      </c>
      <c r="L69" s="42">
        <v>880</v>
      </c>
      <c r="M69" s="15">
        <v>400</v>
      </c>
      <c r="N69" s="39">
        <f t="shared" si="3"/>
        <v>3520</v>
      </c>
      <c r="O69" s="39">
        <f t="shared" si="4"/>
        <v>1920</v>
      </c>
      <c r="P69" s="24" t="s">
        <v>2028</v>
      </c>
      <c r="Q69" s="15" t="s">
        <v>2024</v>
      </c>
      <c r="R69" s="1" t="s">
        <v>2013</v>
      </c>
      <c r="S69" s="15" t="s">
        <v>2082</v>
      </c>
      <c r="T69" s="15" t="s">
        <v>2442</v>
      </c>
      <c r="U69" s="25" t="s">
        <v>2086</v>
      </c>
      <c r="V69" s="25" t="s">
        <v>2435</v>
      </c>
      <c r="W69" s="80">
        <v>45288</v>
      </c>
      <c r="X69" s="21" t="s">
        <v>2822</v>
      </c>
    </row>
    <row r="70" spans="1:24" x14ac:dyDescent="0.2">
      <c r="A70" s="1">
        <v>69</v>
      </c>
      <c r="B70" s="1" t="s">
        <v>5</v>
      </c>
      <c r="C70" s="1" t="s">
        <v>2781</v>
      </c>
      <c r="D70" s="1" t="s">
        <v>869</v>
      </c>
      <c r="E70" s="15" t="s">
        <v>824</v>
      </c>
      <c r="F70" s="66" t="s">
        <v>910</v>
      </c>
      <c r="G70" s="24" t="s">
        <v>2807</v>
      </c>
      <c r="H70" s="15" t="s">
        <v>2788</v>
      </c>
      <c r="I70" s="16">
        <v>21</v>
      </c>
      <c r="J70" s="16" t="str">
        <f t="shared" si="5"/>
        <v>Young</v>
      </c>
      <c r="K70" s="25">
        <v>1</v>
      </c>
      <c r="L70" s="42">
        <v>850</v>
      </c>
      <c r="M70" s="15">
        <v>400</v>
      </c>
      <c r="N70" s="39">
        <f t="shared" si="3"/>
        <v>850</v>
      </c>
      <c r="O70" s="39">
        <f t="shared" si="4"/>
        <v>450</v>
      </c>
      <c r="P70" s="24" t="s">
        <v>2030</v>
      </c>
      <c r="Q70" s="24" t="s">
        <v>2024</v>
      </c>
      <c r="R70" s="1" t="s">
        <v>2013</v>
      </c>
      <c r="S70" s="15" t="s">
        <v>2082</v>
      </c>
      <c r="T70" s="15" t="s">
        <v>2442</v>
      </c>
      <c r="U70" s="25" t="s">
        <v>2090</v>
      </c>
      <c r="V70" s="25" t="s">
        <v>2436</v>
      </c>
      <c r="W70" s="80">
        <v>45017</v>
      </c>
      <c r="X70" s="21" t="s">
        <v>2815</v>
      </c>
    </row>
    <row r="71" spans="1:24" x14ac:dyDescent="0.2">
      <c r="A71" s="3">
        <v>70</v>
      </c>
      <c r="B71" s="3" t="s">
        <v>1</v>
      </c>
      <c r="C71" s="1" t="s">
        <v>2781</v>
      </c>
      <c r="D71" s="1" t="s">
        <v>869</v>
      </c>
      <c r="E71" s="29" t="s">
        <v>817</v>
      </c>
      <c r="F71" s="67" t="s">
        <v>871</v>
      </c>
      <c r="G71" s="24" t="s">
        <v>2809</v>
      </c>
      <c r="H71" s="15" t="s">
        <v>2788</v>
      </c>
      <c r="I71" s="16">
        <v>59</v>
      </c>
      <c r="J71" s="16" t="str">
        <f t="shared" si="5"/>
        <v>Old</v>
      </c>
      <c r="K71" s="25">
        <v>5</v>
      </c>
      <c r="L71" s="43">
        <v>650</v>
      </c>
      <c r="M71" s="29">
        <v>280</v>
      </c>
      <c r="N71" s="39">
        <f t="shared" si="3"/>
        <v>3250</v>
      </c>
      <c r="O71" s="39">
        <f t="shared" si="4"/>
        <v>1850</v>
      </c>
      <c r="P71" s="24" t="s">
        <v>2059</v>
      </c>
      <c r="Q71" s="24" t="s">
        <v>2016</v>
      </c>
      <c r="R71" s="1" t="s">
        <v>2013</v>
      </c>
      <c r="S71" s="15" t="s">
        <v>2082</v>
      </c>
      <c r="T71" s="15" t="s">
        <v>2442</v>
      </c>
      <c r="U71" s="25" t="s">
        <v>2088</v>
      </c>
      <c r="V71" s="25" t="s">
        <v>2434</v>
      </c>
      <c r="W71" s="80">
        <v>45134</v>
      </c>
      <c r="X71" s="21" t="s">
        <v>2813</v>
      </c>
    </row>
    <row r="72" spans="1:24" x14ac:dyDescent="0.2">
      <c r="A72" s="1">
        <v>71</v>
      </c>
      <c r="B72" s="1" t="s">
        <v>5</v>
      </c>
      <c r="C72" s="1" t="s">
        <v>2781</v>
      </c>
      <c r="D72" s="1" t="s">
        <v>869</v>
      </c>
      <c r="E72" s="15" t="s">
        <v>823</v>
      </c>
      <c r="F72" s="66" t="s">
        <v>910</v>
      </c>
      <c r="G72" s="24" t="s">
        <v>2794</v>
      </c>
      <c r="H72" s="15" t="s">
        <v>2788</v>
      </c>
      <c r="I72" s="16">
        <v>32</v>
      </c>
      <c r="J72" s="16" t="str">
        <f t="shared" si="5"/>
        <v>Young</v>
      </c>
      <c r="K72" s="25">
        <v>3</v>
      </c>
      <c r="L72" s="42">
        <v>850</v>
      </c>
      <c r="M72" s="15">
        <v>350</v>
      </c>
      <c r="N72" s="39">
        <f t="shared" si="3"/>
        <v>2550</v>
      </c>
      <c r="O72" s="39">
        <f t="shared" si="4"/>
        <v>1500</v>
      </c>
      <c r="P72" s="24" t="s">
        <v>2022</v>
      </c>
      <c r="Q72" s="24" t="s">
        <v>2016</v>
      </c>
      <c r="R72" s="1" t="s">
        <v>2013</v>
      </c>
      <c r="S72" s="15" t="s">
        <v>2082</v>
      </c>
      <c r="T72" s="15" t="s">
        <v>2442</v>
      </c>
      <c r="U72" s="25" t="s">
        <v>2084</v>
      </c>
      <c r="V72" s="25" t="s">
        <v>2437</v>
      </c>
      <c r="W72" s="80">
        <v>45109</v>
      </c>
      <c r="X72" s="21" t="s">
        <v>2813</v>
      </c>
    </row>
    <row r="73" spans="1:24" x14ac:dyDescent="0.2">
      <c r="A73" s="1">
        <v>72</v>
      </c>
      <c r="B73" s="1" t="s">
        <v>5</v>
      </c>
      <c r="C73" s="1" t="s">
        <v>2781</v>
      </c>
      <c r="D73" s="1" t="s">
        <v>869</v>
      </c>
      <c r="E73" s="15" t="s">
        <v>824</v>
      </c>
      <c r="F73" s="66" t="s">
        <v>903</v>
      </c>
      <c r="G73" s="24" t="s">
        <v>2792</v>
      </c>
      <c r="H73" s="15" t="s">
        <v>2788</v>
      </c>
      <c r="I73" s="16">
        <v>46</v>
      </c>
      <c r="J73" s="16" t="str">
        <f t="shared" si="5"/>
        <v>Middle Age</v>
      </c>
      <c r="K73" s="25">
        <v>2</v>
      </c>
      <c r="L73" s="42">
        <v>750</v>
      </c>
      <c r="M73" s="15">
        <v>380</v>
      </c>
      <c r="N73" s="39">
        <f t="shared" si="3"/>
        <v>1500</v>
      </c>
      <c r="O73" s="39">
        <f t="shared" si="4"/>
        <v>740</v>
      </c>
      <c r="P73" s="24" t="s">
        <v>2048</v>
      </c>
      <c r="Q73" s="24" t="s">
        <v>2014</v>
      </c>
      <c r="R73" s="1" t="s">
        <v>2013</v>
      </c>
      <c r="S73" s="15" t="s">
        <v>2082</v>
      </c>
      <c r="T73" s="15" t="s">
        <v>2442</v>
      </c>
      <c r="U73" s="25" t="s">
        <v>2086</v>
      </c>
      <c r="V73" s="25" t="s">
        <v>2435</v>
      </c>
      <c r="W73" s="80">
        <v>45250</v>
      </c>
      <c r="X73" s="21" t="s">
        <v>2823</v>
      </c>
    </row>
    <row r="74" spans="1:24" x14ac:dyDescent="0.2">
      <c r="A74" s="3">
        <v>73</v>
      </c>
      <c r="B74" s="3" t="s">
        <v>6</v>
      </c>
      <c r="C74" s="1" t="s">
        <v>2781</v>
      </c>
      <c r="D74" s="1" t="s">
        <v>869</v>
      </c>
      <c r="E74" s="29" t="s">
        <v>818</v>
      </c>
      <c r="F74" s="67" t="s">
        <v>915</v>
      </c>
      <c r="G74" s="24" t="s">
        <v>2796</v>
      </c>
      <c r="H74" s="15" t="s">
        <v>2788</v>
      </c>
      <c r="I74" s="16">
        <v>54</v>
      </c>
      <c r="J74" s="16" t="str">
        <f t="shared" si="5"/>
        <v>Old</v>
      </c>
      <c r="K74" s="25">
        <v>4</v>
      </c>
      <c r="L74" s="43">
        <v>850</v>
      </c>
      <c r="M74" s="29">
        <v>400</v>
      </c>
      <c r="N74" s="39">
        <f t="shared" si="3"/>
        <v>3400</v>
      </c>
      <c r="O74" s="39">
        <f t="shared" si="4"/>
        <v>1800</v>
      </c>
      <c r="P74" s="24" t="s">
        <v>2033</v>
      </c>
      <c r="Q74" s="24" t="s">
        <v>2016</v>
      </c>
      <c r="R74" s="1" t="s">
        <v>2013</v>
      </c>
      <c r="S74" s="15" t="s">
        <v>2082</v>
      </c>
      <c r="T74" s="15" t="s">
        <v>2442</v>
      </c>
      <c r="U74" s="25" t="s">
        <v>2089</v>
      </c>
      <c r="V74" s="25" t="s">
        <v>2434</v>
      </c>
      <c r="W74" s="80">
        <v>45174</v>
      </c>
      <c r="X74" s="21" t="s">
        <v>2820</v>
      </c>
    </row>
    <row r="75" spans="1:24" x14ac:dyDescent="0.2">
      <c r="A75" s="3">
        <v>74</v>
      </c>
      <c r="B75" s="3" t="s">
        <v>0</v>
      </c>
      <c r="C75" s="1" t="s">
        <v>2781</v>
      </c>
      <c r="D75" s="1" t="s">
        <v>869</v>
      </c>
      <c r="E75" s="29" t="s">
        <v>818</v>
      </c>
      <c r="F75" s="67" t="s">
        <v>916</v>
      </c>
      <c r="G75" s="24" t="s">
        <v>2798</v>
      </c>
      <c r="H75" s="15" t="s">
        <v>2789</v>
      </c>
      <c r="I75" s="16">
        <v>25</v>
      </c>
      <c r="J75" s="16" t="str">
        <f t="shared" si="5"/>
        <v>Young</v>
      </c>
      <c r="K75" s="25">
        <v>1</v>
      </c>
      <c r="L75" s="43">
        <v>950</v>
      </c>
      <c r="M75" s="29">
        <v>500</v>
      </c>
      <c r="N75" s="39">
        <f t="shared" si="3"/>
        <v>950</v>
      </c>
      <c r="O75" s="39">
        <f t="shared" si="4"/>
        <v>450</v>
      </c>
      <c r="P75" s="24" t="s">
        <v>2033</v>
      </c>
      <c r="Q75" s="24" t="s">
        <v>2016</v>
      </c>
      <c r="R75" s="1" t="s">
        <v>2013</v>
      </c>
      <c r="S75" s="15" t="s">
        <v>2082</v>
      </c>
      <c r="T75" s="15" t="s">
        <v>2442</v>
      </c>
      <c r="U75" s="25" t="s">
        <v>2089</v>
      </c>
      <c r="V75" s="25" t="s">
        <v>2436</v>
      </c>
      <c r="W75" s="80">
        <v>45161</v>
      </c>
      <c r="X75" s="21" t="s">
        <v>2819</v>
      </c>
    </row>
    <row r="76" spans="1:24" x14ac:dyDescent="0.2">
      <c r="A76" s="3">
        <v>75</v>
      </c>
      <c r="B76" s="3" t="s">
        <v>6</v>
      </c>
      <c r="C76" s="1" t="s">
        <v>2781</v>
      </c>
      <c r="D76" s="1" t="s">
        <v>869</v>
      </c>
      <c r="E76" s="29" t="s">
        <v>818</v>
      </c>
      <c r="F76" s="67" t="s">
        <v>901</v>
      </c>
      <c r="G76" s="24" t="s">
        <v>2800</v>
      </c>
      <c r="H76" s="15" t="s">
        <v>2789</v>
      </c>
      <c r="I76" s="16">
        <v>43</v>
      </c>
      <c r="J76" s="16" t="str">
        <f t="shared" si="5"/>
        <v>Middle Age</v>
      </c>
      <c r="K76" s="25">
        <v>5</v>
      </c>
      <c r="L76" s="43">
        <v>900</v>
      </c>
      <c r="M76" s="29">
        <v>500</v>
      </c>
      <c r="N76" s="39">
        <f t="shared" si="3"/>
        <v>4500</v>
      </c>
      <c r="O76" s="39">
        <f t="shared" si="4"/>
        <v>2000</v>
      </c>
      <c r="P76" s="24" t="s">
        <v>2030</v>
      </c>
      <c r="Q76" s="24" t="s">
        <v>2024</v>
      </c>
      <c r="R76" s="1" t="s">
        <v>2013</v>
      </c>
      <c r="S76" s="15" t="s">
        <v>2082</v>
      </c>
      <c r="T76" s="15" t="s">
        <v>2442</v>
      </c>
      <c r="U76" s="25" t="s">
        <v>2084</v>
      </c>
      <c r="V76" s="25" t="s">
        <v>2437</v>
      </c>
      <c r="W76" s="80">
        <v>45043</v>
      </c>
      <c r="X76" s="21" t="s">
        <v>2815</v>
      </c>
    </row>
    <row r="77" spans="1:24" x14ac:dyDescent="0.2">
      <c r="A77" s="3">
        <v>76</v>
      </c>
      <c r="B77" s="3" t="s">
        <v>0</v>
      </c>
      <c r="C77" s="1" t="s">
        <v>2781</v>
      </c>
      <c r="D77" s="1" t="s">
        <v>869</v>
      </c>
      <c r="E77" s="29" t="s">
        <v>824</v>
      </c>
      <c r="F77" s="67" t="s">
        <v>917</v>
      </c>
      <c r="G77" s="24" t="s">
        <v>2802</v>
      </c>
      <c r="H77" s="15" t="s">
        <v>2789</v>
      </c>
      <c r="I77" s="16">
        <v>58</v>
      </c>
      <c r="J77" s="16" t="str">
        <f t="shared" si="5"/>
        <v>Old</v>
      </c>
      <c r="K77" s="25">
        <v>2</v>
      </c>
      <c r="L77" s="43">
        <v>950</v>
      </c>
      <c r="M77" s="29">
        <v>500</v>
      </c>
      <c r="N77" s="39">
        <f t="shared" si="3"/>
        <v>1900</v>
      </c>
      <c r="O77" s="39">
        <f t="shared" si="4"/>
        <v>900</v>
      </c>
      <c r="P77" s="24" t="s">
        <v>2019</v>
      </c>
      <c r="Q77" s="24" t="s">
        <v>2014</v>
      </c>
      <c r="R77" s="1" t="s">
        <v>2013</v>
      </c>
      <c r="S77" s="15" t="s">
        <v>2082</v>
      </c>
      <c r="T77" s="15" t="s">
        <v>2442</v>
      </c>
      <c r="U77" s="25" t="s">
        <v>2088</v>
      </c>
      <c r="V77" s="25" t="s">
        <v>2435</v>
      </c>
      <c r="W77" s="80">
        <v>45215</v>
      </c>
      <c r="X77" s="21" t="s">
        <v>2821</v>
      </c>
    </row>
    <row r="78" spans="1:24" x14ac:dyDescent="0.2">
      <c r="A78" s="3">
        <v>77</v>
      </c>
      <c r="B78" s="3" t="s">
        <v>6</v>
      </c>
      <c r="C78" s="1" t="s">
        <v>2781</v>
      </c>
      <c r="D78" s="1" t="s">
        <v>869</v>
      </c>
      <c r="E78" s="29" t="s">
        <v>818</v>
      </c>
      <c r="F78" s="67" t="s">
        <v>918</v>
      </c>
      <c r="G78" s="24" t="s">
        <v>2804</v>
      </c>
      <c r="H78" s="15" t="s">
        <v>2789</v>
      </c>
      <c r="I78" s="16">
        <v>20</v>
      </c>
      <c r="J78" s="16" t="str">
        <f t="shared" si="5"/>
        <v>Young</v>
      </c>
      <c r="K78" s="25">
        <v>3</v>
      </c>
      <c r="L78" s="43">
        <v>750</v>
      </c>
      <c r="M78" s="29">
        <v>400</v>
      </c>
      <c r="N78" s="39">
        <f t="shared" si="3"/>
        <v>2250</v>
      </c>
      <c r="O78" s="39">
        <f t="shared" si="4"/>
        <v>1050</v>
      </c>
      <c r="P78" s="24" t="s">
        <v>2027</v>
      </c>
      <c r="Q78" s="24" t="s">
        <v>2014</v>
      </c>
      <c r="R78" s="1" t="s">
        <v>2013</v>
      </c>
      <c r="S78" s="15" t="s">
        <v>2082</v>
      </c>
      <c r="T78" s="15" t="s">
        <v>2442</v>
      </c>
      <c r="U78" s="25" t="s">
        <v>2088</v>
      </c>
      <c r="V78" s="25" t="s">
        <v>2436</v>
      </c>
      <c r="W78" s="80">
        <v>45061</v>
      </c>
      <c r="X78" s="21" t="s">
        <v>2786</v>
      </c>
    </row>
    <row r="79" spans="1:24" x14ac:dyDescent="0.2">
      <c r="A79" s="3">
        <v>78</v>
      </c>
      <c r="B79" s="3" t="s">
        <v>11</v>
      </c>
      <c r="C79" s="1" t="s">
        <v>2781</v>
      </c>
      <c r="D79" s="1" t="s">
        <v>869</v>
      </c>
      <c r="E79" s="29" t="s">
        <v>818</v>
      </c>
      <c r="F79" s="67" t="s">
        <v>919</v>
      </c>
      <c r="G79" s="24" t="s">
        <v>2806</v>
      </c>
      <c r="H79" s="15" t="s">
        <v>2788</v>
      </c>
      <c r="I79" s="16">
        <v>49</v>
      </c>
      <c r="J79" s="16" t="str">
        <f t="shared" si="5"/>
        <v>Middle Age</v>
      </c>
      <c r="K79" s="25">
        <v>4</v>
      </c>
      <c r="L79" s="43">
        <v>750</v>
      </c>
      <c r="M79" s="29">
        <v>400</v>
      </c>
      <c r="N79" s="39">
        <f t="shared" si="3"/>
        <v>3000</v>
      </c>
      <c r="O79" s="39">
        <f t="shared" si="4"/>
        <v>1400</v>
      </c>
      <c r="P79" s="24" t="s">
        <v>2019</v>
      </c>
      <c r="Q79" s="24" t="s">
        <v>2014</v>
      </c>
      <c r="R79" s="1" t="s">
        <v>2013</v>
      </c>
      <c r="S79" s="15" t="s">
        <v>2082</v>
      </c>
      <c r="T79" s="15" t="s">
        <v>2442</v>
      </c>
      <c r="U79" s="25" t="s">
        <v>2090</v>
      </c>
      <c r="V79" s="25" t="s">
        <v>2434</v>
      </c>
      <c r="W79" s="80">
        <v>45010</v>
      </c>
      <c r="X79" s="21" t="s">
        <v>2816</v>
      </c>
    </row>
    <row r="80" spans="1:24" x14ac:dyDescent="0.2">
      <c r="A80" s="3">
        <v>79</v>
      </c>
      <c r="B80" s="3" t="s">
        <v>2</v>
      </c>
      <c r="C80" s="1" t="s">
        <v>2781</v>
      </c>
      <c r="D80" s="1" t="s">
        <v>869</v>
      </c>
      <c r="E80" s="29" t="s">
        <v>818</v>
      </c>
      <c r="F80" s="67" t="s">
        <v>918</v>
      </c>
      <c r="G80" s="24" t="s">
        <v>2808</v>
      </c>
      <c r="H80" s="15" t="s">
        <v>2789</v>
      </c>
      <c r="I80" s="24">
        <v>25</v>
      </c>
      <c r="J80" s="16" t="str">
        <f t="shared" si="5"/>
        <v>Young</v>
      </c>
      <c r="K80" s="25">
        <v>1</v>
      </c>
      <c r="L80" s="43">
        <v>850</v>
      </c>
      <c r="M80" s="29">
        <v>400</v>
      </c>
      <c r="N80" s="39">
        <f t="shared" si="3"/>
        <v>850</v>
      </c>
      <c r="O80" s="39">
        <f t="shared" si="4"/>
        <v>450</v>
      </c>
      <c r="P80" s="24" t="s">
        <v>2056</v>
      </c>
      <c r="Q80" s="24" t="s">
        <v>2024</v>
      </c>
      <c r="R80" s="1" t="s">
        <v>2013</v>
      </c>
      <c r="S80" s="15" t="s">
        <v>2082</v>
      </c>
      <c r="T80" s="15" t="s">
        <v>2442</v>
      </c>
      <c r="U80" s="25" t="s">
        <v>2090</v>
      </c>
      <c r="V80" s="25" t="s">
        <v>2437</v>
      </c>
      <c r="W80" s="80">
        <v>45103</v>
      </c>
      <c r="X80" s="21" t="s">
        <v>2814</v>
      </c>
    </row>
    <row r="81" spans="1:24" x14ac:dyDescent="0.2">
      <c r="A81" s="3">
        <v>80</v>
      </c>
      <c r="B81" s="3" t="s">
        <v>5</v>
      </c>
      <c r="C81" s="1" t="s">
        <v>2781</v>
      </c>
      <c r="D81" s="1" t="s">
        <v>869</v>
      </c>
      <c r="E81" s="29" t="s">
        <v>818</v>
      </c>
      <c r="F81" s="67" t="s">
        <v>915</v>
      </c>
      <c r="G81" s="24" t="s">
        <v>2810</v>
      </c>
      <c r="H81" s="15" t="s">
        <v>2788</v>
      </c>
      <c r="I81" s="24">
        <v>31</v>
      </c>
      <c r="J81" s="16" t="str">
        <f t="shared" si="5"/>
        <v>Young</v>
      </c>
      <c r="K81" s="25">
        <v>5</v>
      </c>
      <c r="L81" s="43">
        <v>890</v>
      </c>
      <c r="M81" s="29">
        <v>400</v>
      </c>
      <c r="N81" s="39">
        <f t="shared" si="3"/>
        <v>4450</v>
      </c>
      <c r="O81" s="39">
        <f t="shared" si="4"/>
        <v>2450</v>
      </c>
      <c r="P81" s="24" t="s">
        <v>2032</v>
      </c>
      <c r="Q81" s="15" t="s">
        <v>2016</v>
      </c>
      <c r="R81" s="1" t="s">
        <v>2013</v>
      </c>
      <c r="S81" s="15" t="s">
        <v>2082</v>
      </c>
      <c r="T81" s="15" t="s">
        <v>2442</v>
      </c>
      <c r="U81" s="25" t="s">
        <v>2089</v>
      </c>
      <c r="V81" s="25" t="s">
        <v>2435</v>
      </c>
      <c r="W81" s="80">
        <v>45196</v>
      </c>
      <c r="X81" s="21" t="s">
        <v>2820</v>
      </c>
    </row>
    <row r="82" spans="1:24" x14ac:dyDescent="0.2">
      <c r="A82" s="1">
        <v>81</v>
      </c>
      <c r="B82" s="1" t="s">
        <v>7</v>
      </c>
      <c r="C82" s="1" t="s">
        <v>2781</v>
      </c>
      <c r="D82" s="1" t="s">
        <v>869</v>
      </c>
      <c r="E82" s="15" t="s">
        <v>818</v>
      </c>
      <c r="F82" s="66" t="s">
        <v>920</v>
      </c>
      <c r="G82" s="24" t="s">
        <v>2793</v>
      </c>
      <c r="H82" s="15" t="s">
        <v>2789</v>
      </c>
      <c r="I82" s="24">
        <v>56</v>
      </c>
      <c r="J82" s="16" t="str">
        <f t="shared" si="5"/>
        <v>Old</v>
      </c>
      <c r="K82" s="25">
        <v>3</v>
      </c>
      <c r="L82" s="42">
        <v>950</v>
      </c>
      <c r="M82" s="15">
        <v>500</v>
      </c>
      <c r="N82" s="39">
        <f t="shared" si="3"/>
        <v>2850</v>
      </c>
      <c r="O82" s="39">
        <f t="shared" si="4"/>
        <v>1350</v>
      </c>
      <c r="P82" s="24" t="s">
        <v>2049</v>
      </c>
      <c r="Q82" s="24" t="s">
        <v>2016</v>
      </c>
      <c r="R82" s="1" t="s">
        <v>2013</v>
      </c>
      <c r="S82" s="15" t="s">
        <v>2082</v>
      </c>
      <c r="T82" s="15" t="s">
        <v>2442</v>
      </c>
      <c r="U82" s="25" t="s">
        <v>2087</v>
      </c>
      <c r="V82" s="25" t="s">
        <v>2434</v>
      </c>
      <c r="W82" s="80">
        <v>45218</v>
      </c>
      <c r="X82" s="21" t="s">
        <v>2821</v>
      </c>
    </row>
    <row r="83" spans="1:24" x14ac:dyDescent="0.2">
      <c r="A83" s="3">
        <v>82</v>
      </c>
      <c r="B83" s="3" t="s">
        <v>12</v>
      </c>
      <c r="C83" s="1" t="s">
        <v>2781</v>
      </c>
      <c r="D83" s="1" t="s">
        <v>869</v>
      </c>
      <c r="E83" s="29" t="s">
        <v>824</v>
      </c>
      <c r="F83" s="67" t="s">
        <v>921</v>
      </c>
      <c r="G83" s="24" t="s">
        <v>2791</v>
      </c>
      <c r="H83" s="15" t="s">
        <v>2789</v>
      </c>
      <c r="I83" s="24">
        <v>42</v>
      </c>
      <c r="J83" s="16" t="str">
        <f t="shared" si="5"/>
        <v>Middle Age</v>
      </c>
      <c r="K83" s="25">
        <v>2</v>
      </c>
      <c r="L83" s="43">
        <v>890</v>
      </c>
      <c r="M83" s="29">
        <v>400</v>
      </c>
      <c r="N83" s="39">
        <f t="shared" si="3"/>
        <v>1780</v>
      </c>
      <c r="O83" s="39">
        <f t="shared" si="4"/>
        <v>980</v>
      </c>
      <c r="P83" s="24" t="s">
        <v>2058</v>
      </c>
      <c r="Q83" s="24" t="s">
        <v>2020</v>
      </c>
      <c r="R83" s="1" t="s">
        <v>2013</v>
      </c>
      <c r="S83" s="15" t="s">
        <v>2082</v>
      </c>
      <c r="T83" s="15" t="s">
        <v>2442</v>
      </c>
      <c r="U83" s="25" t="s">
        <v>2086</v>
      </c>
      <c r="V83" s="25" t="s">
        <v>2436</v>
      </c>
      <c r="W83" s="80">
        <v>44992</v>
      </c>
      <c r="X83" s="21" t="s">
        <v>2816</v>
      </c>
    </row>
    <row r="84" spans="1:24" x14ac:dyDescent="0.2">
      <c r="A84" s="3">
        <v>83</v>
      </c>
      <c r="B84" s="3" t="s">
        <v>13</v>
      </c>
      <c r="C84" s="1" t="s">
        <v>2781</v>
      </c>
      <c r="D84" s="1" t="s">
        <v>869</v>
      </c>
      <c r="E84" s="29" t="s">
        <v>818</v>
      </c>
      <c r="F84" s="67" t="s">
        <v>922</v>
      </c>
      <c r="G84" s="24" t="s">
        <v>2795</v>
      </c>
      <c r="H84" s="15" t="s">
        <v>2788</v>
      </c>
      <c r="I84" s="24">
        <v>34</v>
      </c>
      <c r="J84" s="16" t="str">
        <f t="shared" si="5"/>
        <v>Young</v>
      </c>
      <c r="K84" s="25">
        <v>4</v>
      </c>
      <c r="L84" s="43">
        <v>940</v>
      </c>
      <c r="M84" s="29">
        <v>450</v>
      </c>
      <c r="N84" s="39">
        <f t="shared" si="3"/>
        <v>3760</v>
      </c>
      <c r="O84" s="39">
        <f t="shared" si="4"/>
        <v>1960</v>
      </c>
      <c r="P84" s="24" t="s">
        <v>2021</v>
      </c>
      <c r="Q84" s="24" t="s">
        <v>2020</v>
      </c>
      <c r="R84" s="1" t="s">
        <v>2013</v>
      </c>
      <c r="S84" s="15" t="s">
        <v>2082</v>
      </c>
      <c r="T84" s="15" t="s">
        <v>2442</v>
      </c>
      <c r="U84" s="25" t="s">
        <v>2090</v>
      </c>
      <c r="V84" s="25" t="s">
        <v>2437</v>
      </c>
      <c r="W84" s="80">
        <v>44972</v>
      </c>
      <c r="X84" s="21" t="s">
        <v>2817</v>
      </c>
    </row>
    <row r="85" spans="1:24" x14ac:dyDescent="0.2">
      <c r="A85" s="3">
        <v>84</v>
      </c>
      <c r="B85" s="3" t="s">
        <v>5</v>
      </c>
      <c r="C85" s="1" t="s">
        <v>2781</v>
      </c>
      <c r="D85" s="1" t="s">
        <v>869</v>
      </c>
      <c r="E85" s="29" t="s">
        <v>824</v>
      </c>
      <c r="F85" s="67" t="s">
        <v>923</v>
      </c>
      <c r="G85" s="24" t="s">
        <v>2797</v>
      </c>
      <c r="H85" s="15" t="s">
        <v>2788</v>
      </c>
      <c r="I85" s="24">
        <v>23</v>
      </c>
      <c r="J85" s="16" t="str">
        <f t="shared" si="5"/>
        <v>Young</v>
      </c>
      <c r="K85" s="25">
        <v>1</v>
      </c>
      <c r="L85" s="43">
        <v>890</v>
      </c>
      <c r="M85" s="29">
        <v>400</v>
      </c>
      <c r="N85" s="39">
        <f t="shared" si="3"/>
        <v>890</v>
      </c>
      <c r="O85" s="39">
        <f t="shared" si="4"/>
        <v>490</v>
      </c>
      <c r="P85" s="24" t="s">
        <v>2039</v>
      </c>
      <c r="Q85" s="24" t="s">
        <v>2014</v>
      </c>
      <c r="R85" s="1" t="s">
        <v>2013</v>
      </c>
      <c r="S85" s="15" t="s">
        <v>2082</v>
      </c>
      <c r="T85" s="15" t="s">
        <v>2442</v>
      </c>
      <c r="U85" s="25" t="s">
        <v>2090</v>
      </c>
      <c r="V85" s="25" t="s">
        <v>2435</v>
      </c>
      <c r="W85" s="80">
        <v>45165</v>
      </c>
      <c r="X85" s="21" t="s">
        <v>2819</v>
      </c>
    </row>
    <row r="86" spans="1:24" x14ac:dyDescent="0.2">
      <c r="A86" s="3">
        <v>85</v>
      </c>
      <c r="B86" s="3" t="s">
        <v>12</v>
      </c>
      <c r="C86" s="1" t="s">
        <v>2781</v>
      </c>
      <c r="D86" s="1" t="s">
        <v>869</v>
      </c>
      <c r="E86" s="29" t="s">
        <v>817</v>
      </c>
      <c r="F86" s="67" t="s">
        <v>924</v>
      </c>
      <c r="G86" s="24" t="s">
        <v>2799</v>
      </c>
      <c r="H86" s="15" t="s">
        <v>2789</v>
      </c>
      <c r="I86" s="24">
        <v>56</v>
      </c>
      <c r="J86" s="16" t="str">
        <f t="shared" si="5"/>
        <v>Old</v>
      </c>
      <c r="K86" s="25">
        <v>5</v>
      </c>
      <c r="L86" s="43">
        <v>890</v>
      </c>
      <c r="M86" s="29">
        <v>400</v>
      </c>
      <c r="N86" s="39">
        <f t="shared" si="3"/>
        <v>4450</v>
      </c>
      <c r="O86" s="39">
        <f t="shared" si="4"/>
        <v>2450</v>
      </c>
      <c r="P86" s="24" t="s">
        <v>2056</v>
      </c>
      <c r="Q86" s="24" t="s">
        <v>2024</v>
      </c>
      <c r="R86" s="1" t="s">
        <v>2013</v>
      </c>
      <c r="S86" s="15" t="s">
        <v>2082</v>
      </c>
      <c r="T86" s="15" t="s">
        <v>2442</v>
      </c>
      <c r="U86" s="25" t="s">
        <v>2090</v>
      </c>
      <c r="V86" s="25" t="s">
        <v>2434</v>
      </c>
      <c r="W86" s="80">
        <v>45083</v>
      </c>
      <c r="X86" s="21" t="s">
        <v>2814</v>
      </c>
    </row>
    <row r="87" spans="1:24" x14ac:dyDescent="0.2">
      <c r="A87" s="3">
        <v>86</v>
      </c>
      <c r="B87" s="3" t="s">
        <v>8</v>
      </c>
      <c r="C87" s="1" t="s">
        <v>2781</v>
      </c>
      <c r="D87" s="1" t="s">
        <v>869</v>
      </c>
      <c r="E87" s="29" t="s">
        <v>824</v>
      </c>
      <c r="F87" s="67" t="s">
        <v>925</v>
      </c>
      <c r="G87" s="24" t="s">
        <v>2801</v>
      </c>
      <c r="H87" s="15" t="s">
        <v>2788</v>
      </c>
      <c r="I87" s="24">
        <v>24</v>
      </c>
      <c r="J87" s="16" t="str">
        <f t="shared" si="5"/>
        <v>Young</v>
      </c>
      <c r="K87" s="25">
        <v>2</v>
      </c>
      <c r="L87" s="43">
        <v>642</v>
      </c>
      <c r="M87" s="29">
        <v>320</v>
      </c>
      <c r="N87" s="39">
        <f t="shared" si="3"/>
        <v>1284</v>
      </c>
      <c r="O87" s="39">
        <f t="shared" si="4"/>
        <v>644</v>
      </c>
      <c r="P87" s="24" t="s">
        <v>2033</v>
      </c>
      <c r="Q87" s="24" t="s">
        <v>2016</v>
      </c>
      <c r="R87" s="1" t="s">
        <v>2013</v>
      </c>
      <c r="S87" s="15" t="s">
        <v>2082</v>
      </c>
      <c r="T87" s="15" t="s">
        <v>2442</v>
      </c>
      <c r="U87" s="25" t="s">
        <v>2087</v>
      </c>
      <c r="V87" s="25" t="s">
        <v>2436</v>
      </c>
      <c r="W87" s="80">
        <v>45218</v>
      </c>
      <c r="X87" s="21" t="s">
        <v>2821</v>
      </c>
    </row>
    <row r="88" spans="1:24" x14ac:dyDescent="0.2">
      <c r="A88" s="3">
        <v>87</v>
      </c>
      <c r="B88" s="3" t="s">
        <v>8</v>
      </c>
      <c r="C88" s="1" t="s">
        <v>2781</v>
      </c>
      <c r="D88" s="1" t="s">
        <v>869</v>
      </c>
      <c r="E88" s="29" t="s">
        <v>824</v>
      </c>
      <c r="F88" s="69" t="s">
        <v>904</v>
      </c>
      <c r="G88" s="24" t="s">
        <v>2803</v>
      </c>
      <c r="H88" s="15" t="s">
        <v>2788</v>
      </c>
      <c r="I88" s="24">
        <v>64</v>
      </c>
      <c r="J88" s="16" t="str">
        <f t="shared" si="5"/>
        <v>Old</v>
      </c>
      <c r="K88" s="25">
        <v>3</v>
      </c>
      <c r="L88" s="43">
        <v>642</v>
      </c>
      <c r="M88" s="29">
        <v>320</v>
      </c>
      <c r="N88" s="39">
        <f t="shared" si="3"/>
        <v>1926</v>
      </c>
      <c r="O88" s="39">
        <f t="shared" si="4"/>
        <v>966</v>
      </c>
      <c r="P88" s="24" t="s">
        <v>2061</v>
      </c>
      <c r="Q88" s="24" t="s">
        <v>2014</v>
      </c>
      <c r="R88" s="1" t="s">
        <v>2013</v>
      </c>
      <c r="S88" s="15" t="s">
        <v>2082</v>
      </c>
      <c r="T88" s="15" t="s">
        <v>2442</v>
      </c>
      <c r="U88" s="25" t="s">
        <v>2090</v>
      </c>
      <c r="V88" s="25" t="s">
        <v>2437</v>
      </c>
      <c r="W88" s="80">
        <v>45210</v>
      </c>
      <c r="X88" s="21" t="s">
        <v>2821</v>
      </c>
    </row>
    <row r="89" spans="1:24" x14ac:dyDescent="0.2">
      <c r="A89" s="1">
        <v>88</v>
      </c>
      <c r="B89" s="1" t="s">
        <v>5</v>
      </c>
      <c r="C89" s="1" t="s">
        <v>2781</v>
      </c>
      <c r="D89" s="1" t="s">
        <v>869</v>
      </c>
      <c r="E89" s="15" t="s">
        <v>824</v>
      </c>
      <c r="F89" s="66" t="s">
        <v>926</v>
      </c>
      <c r="G89" s="24" t="s">
        <v>2805</v>
      </c>
      <c r="H89" s="15" t="s">
        <v>2788</v>
      </c>
      <c r="I89" s="24">
        <v>64</v>
      </c>
      <c r="J89" s="16" t="str">
        <f t="shared" si="5"/>
        <v>Old</v>
      </c>
      <c r="K89" s="25">
        <v>4</v>
      </c>
      <c r="L89" s="42">
        <v>890</v>
      </c>
      <c r="M89" s="15">
        <v>400</v>
      </c>
      <c r="N89" s="39">
        <f t="shared" si="3"/>
        <v>3560</v>
      </c>
      <c r="O89" s="39">
        <f t="shared" si="4"/>
        <v>1960</v>
      </c>
      <c r="P89" s="24" t="s">
        <v>2028</v>
      </c>
      <c r="Q89" s="15" t="s">
        <v>2024</v>
      </c>
      <c r="R89" s="1" t="s">
        <v>2013</v>
      </c>
      <c r="S89" s="15" t="s">
        <v>2082</v>
      </c>
      <c r="T89" s="15" t="s">
        <v>2442</v>
      </c>
      <c r="U89" s="25" t="s">
        <v>2084</v>
      </c>
      <c r="V89" s="25" t="s">
        <v>2435</v>
      </c>
      <c r="W89" s="80">
        <v>44953</v>
      </c>
      <c r="X89" s="21" t="s">
        <v>2818</v>
      </c>
    </row>
    <row r="90" spans="1:24" x14ac:dyDescent="0.2">
      <c r="A90" s="1">
        <v>89</v>
      </c>
      <c r="B90" s="1" t="s">
        <v>7</v>
      </c>
      <c r="C90" s="1" t="s">
        <v>2781</v>
      </c>
      <c r="D90" s="1" t="s">
        <v>869</v>
      </c>
      <c r="E90" s="15" t="s">
        <v>817</v>
      </c>
      <c r="F90" s="66" t="s">
        <v>927</v>
      </c>
      <c r="G90" s="24" t="s">
        <v>2807</v>
      </c>
      <c r="H90" s="15" t="s">
        <v>2789</v>
      </c>
      <c r="I90" s="24">
        <v>23</v>
      </c>
      <c r="J90" s="16" t="str">
        <f t="shared" si="5"/>
        <v>Young</v>
      </c>
      <c r="K90" s="25">
        <v>1</v>
      </c>
      <c r="L90" s="42">
        <v>990</v>
      </c>
      <c r="M90" s="15">
        <v>400</v>
      </c>
      <c r="N90" s="39">
        <f t="shared" si="3"/>
        <v>990</v>
      </c>
      <c r="O90" s="39">
        <f t="shared" si="4"/>
        <v>590</v>
      </c>
      <c r="P90" s="24" t="s">
        <v>2023</v>
      </c>
      <c r="Q90" s="15" t="s">
        <v>2828</v>
      </c>
      <c r="R90" s="1" t="s">
        <v>2013</v>
      </c>
      <c r="S90" s="15" t="s">
        <v>2082</v>
      </c>
      <c r="T90" s="15" t="s">
        <v>2442</v>
      </c>
      <c r="U90" s="25" t="s">
        <v>2086</v>
      </c>
      <c r="V90" s="25" t="s">
        <v>2436</v>
      </c>
      <c r="W90" s="80">
        <v>45280</v>
      </c>
      <c r="X90" s="21" t="s">
        <v>2822</v>
      </c>
    </row>
    <row r="91" spans="1:24" x14ac:dyDescent="0.2">
      <c r="A91" s="3">
        <v>90</v>
      </c>
      <c r="B91" s="3" t="s">
        <v>5</v>
      </c>
      <c r="C91" s="1" t="s">
        <v>2781</v>
      </c>
      <c r="D91" s="1" t="s">
        <v>869</v>
      </c>
      <c r="E91" s="29" t="s">
        <v>818</v>
      </c>
      <c r="F91" s="66" t="s">
        <v>877</v>
      </c>
      <c r="G91" s="24" t="s">
        <v>2809</v>
      </c>
      <c r="H91" s="15" t="s">
        <v>2789</v>
      </c>
      <c r="I91" s="24">
        <v>19</v>
      </c>
      <c r="J91" s="16" t="str">
        <f t="shared" si="5"/>
        <v>Young</v>
      </c>
      <c r="K91" s="25">
        <v>5</v>
      </c>
      <c r="L91" s="43">
        <v>800</v>
      </c>
      <c r="M91" s="29">
        <v>400</v>
      </c>
      <c r="N91" s="39">
        <f t="shared" si="3"/>
        <v>4000</v>
      </c>
      <c r="O91" s="39">
        <f t="shared" si="4"/>
        <v>2000</v>
      </c>
      <c r="P91" s="24" t="s">
        <v>2021</v>
      </c>
      <c r="Q91" s="24" t="s">
        <v>2020</v>
      </c>
      <c r="R91" s="1" t="s">
        <v>2013</v>
      </c>
      <c r="S91" s="15" t="s">
        <v>2082</v>
      </c>
      <c r="T91" s="15" t="s">
        <v>2442</v>
      </c>
      <c r="U91" s="25" t="s">
        <v>2089</v>
      </c>
      <c r="V91" s="25" t="s">
        <v>2434</v>
      </c>
      <c r="W91" s="80">
        <v>45205</v>
      </c>
      <c r="X91" s="21" t="s">
        <v>2821</v>
      </c>
    </row>
    <row r="92" spans="1:24" x14ac:dyDescent="0.2">
      <c r="A92" s="3">
        <v>91</v>
      </c>
      <c r="B92" s="3" t="s">
        <v>2</v>
      </c>
      <c r="C92" s="1" t="s">
        <v>2781</v>
      </c>
      <c r="D92" s="1" t="s">
        <v>869</v>
      </c>
      <c r="E92" s="29" t="s">
        <v>817</v>
      </c>
      <c r="F92" s="66" t="s">
        <v>878</v>
      </c>
      <c r="G92" s="24" t="s">
        <v>2794</v>
      </c>
      <c r="H92" s="15" t="s">
        <v>2789</v>
      </c>
      <c r="I92" s="24">
        <v>21</v>
      </c>
      <c r="J92" s="16" t="str">
        <f t="shared" si="5"/>
        <v>Young</v>
      </c>
      <c r="K92" s="25">
        <v>3</v>
      </c>
      <c r="L92" s="43">
        <v>890</v>
      </c>
      <c r="M92" s="29">
        <v>350</v>
      </c>
      <c r="N92" s="39">
        <f t="shared" si="3"/>
        <v>2670</v>
      </c>
      <c r="O92" s="39">
        <f t="shared" si="4"/>
        <v>1620</v>
      </c>
      <c r="P92" s="24" t="s">
        <v>2040</v>
      </c>
      <c r="Q92" s="15" t="s">
        <v>2014</v>
      </c>
      <c r="R92" s="1" t="s">
        <v>2013</v>
      </c>
      <c r="S92" s="15" t="s">
        <v>2082</v>
      </c>
      <c r="T92" s="15" t="s">
        <v>2442</v>
      </c>
      <c r="U92" s="25" t="s">
        <v>2087</v>
      </c>
      <c r="V92" s="25" t="s">
        <v>2437</v>
      </c>
      <c r="W92" s="80">
        <v>45074</v>
      </c>
      <c r="X92" s="21" t="s">
        <v>2786</v>
      </c>
    </row>
    <row r="93" spans="1:24" x14ac:dyDescent="0.2">
      <c r="A93" s="1">
        <v>92</v>
      </c>
      <c r="B93" s="1" t="s">
        <v>13</v>
      </c>
      <c r="C93" s="1" t="s">
        <v>2781</v>
      </c>
      <c r="D93" s="1" t="s">
        <v>869</v>
      </c>
      <c r="E93" s="15" t="s">
        <v>824</v>
      </c>
      <c r="F93" s="66" t="s">
        <v>926</v>
      </c>
      <c r="G93" s="24" t="s">
        <v>2792</v>
      </c>
      <c r="H93" s="15" t="s">
        <v>2788</v>
      </c>
      <c r="I93" s="24">
        <v>56</v>
      </c>
      <c r="J93" s="16" t="str">
        <f t="shared" si="5"/>
        <v>Old</v>
      </c>
      <c r="K93" s="25">
        <v>2</v>
      </c>
      <c r="L93" s="42">
        <v>940</v>
      </c>
      <c r="M93" s="15">
        <v>420</v>
      </c>
      <c r="N93" s="39">
        <f t="shared" si="3"/>
        <v>1880</v>
      </c>
      <c r="O93" s="39">
        <f t="shared" si="4"/>
        <v>1040</v>
      </c>
      <c r="P93" s="24" t="s">
        <v>2021</v>
      </c>
      <c r="Q93" s="24" t="s">
        <v>2020</v>
      </c>
      <c r="R93" s="1" t="s">
        <v>2013</v>
      </c>
      <c r="S93" s="15" t="s">
        <v>2082</v>
      </c>
      <c r="T93" s="15" t="s">
        <v>2442</v>
      </c>
      <c r="U93" s="25" t="s">
        <v>2086</v>
      </c>
      <c r="V93" s="25" t="s">
        <v>2435</v>
      </c>
      <c r="W93" s="80">
        <v>45133</v>
      </c>
      <c r="X93" s="21" t="s">
        <v>2813</v>
      </c>
    </row>
    <row r="94" spans="1:24" x14ac:dyDescent="0.2">
      <c r="A94" s="3">
        <v>93</v>
      </c>
      <c r="B94" s="3" t="s">
        <v>14</v>
      </c>
      <c r="C94" s="1" t="s">
        <v>2781</v>
      </c>
      <c r="D94" s="1" t="s">
        <v>869</v>
      </c>
      <c r="E94" s="29" t="s">
        <v>824</v>
      </c>
      <c r="F94" s="66" t="s">
        <v>880</v>
      </c>
      <c r="G94" s="24" t="s">
        <v>2796</v>
      </c>
      <c r="H94" s="15" t="s">
        <v>2789</v>
      </c>
      <c r="I94" s="24">
        <v>34</v>
      </c>
      <c r="J94" s="16" t="str">
        <f t="shared" si="5"/>
        <v>Young</v>
      </c>
      <c r="K94" s="25">
        <v>4</v>
      </c>
      <c r="L94" s="43">
        <v>375</v>
      </c>
      <c r="M94" s="29">
        <v>150</v>
      </c>
      <c r="N94" s="39">
        <f t="shared" si="3"/>
        <v>1500</v>
      </c>
      <c r="O94" s="39">
        <f t="shared" si="4"/>
        <v>900</v>
      </c>
      <c r="P94" s="24" t="s">
        <v>2025</v>
      </c>
      <c r="Q94" s="24" t="s">
        <v>2024</v>
      </c>
      <c r="R94" s="1" t="s">
        <v>2013</v>
      </c>
      <c r="S94" s="15" t="s">
        <v>2082</v>
      </c>
      <c r="T94" s="15" t="s">
        <v>2442</v>
      </c>
      <c r="U94" s="25" t="s">
        <v>2083</v>
      </c>
      <c r="V94" s="25" t="s">
        <v>2434</v>
      </c>
      <c r="W94" s="80">
        <v>45108</v>
      </c>
      <c r="X94" s="21" t="s">
        <v>2813</v>
      </c>
    </row>
    <row r="95" spans="1:24" x14ac:dyDescent="0.2">
      <c r="A95" s="1">
        <v>94</v>
      </c>
      <c r="B95" s="1" t="s">
        <v>5</v>
      </c>
      <c r="C95" s="1" t="s">
        <v>2781</v>
      </c>
      <c r="D95" s="1" t="s">
        <v>869</v>
      </c>
      <c r="E95" s="15" t="s">
        <v>817</v>
      </c>
      <c r="F95" s="66" t="s">
        <v>881</v>
      </c>
      <c r="G95" s="24" t="s">
        <v>2798</v>
      </c>
      <c r="H95" s="15" t="s">
        <v>2789</v>
      </c>
      <c r="I95" s="24">
        <v>64</v>
      </c>
      <c r="J95" s="16" t="str">
        <f t="shared" si="5"/>
        <v>Old</v>
      </c>
      <c r="K95" s="25">
        <v>1</v>
      </c>
      <c r="L95" s="42">
        <v>890</v>
      </c>
      <c r="M95" s="15">
        <v>350</v>
      </c>
      <c r="N95" s="39">
        <f t="shared" si="3"/>
        <v>890</v>
      </c>
      <c r="O95" s="39">
        <f t="shared" si="4"/>
        <v>540</v>
      </c>
      <c r="P95" s="24" t="s">
        <v>2032</v>
      </c>
      <c r="Q95" s="15" t="s">
        <v>2016</v>
      </c>
      <c r="R95" s="1" t="s">
        <v>2013</v>
      </c>
      <c r="S95" s="15" t="s">
        <v>2082</v>
      </c>
      <c r="T95" s="15" t="s">
        <v>2442</v>
      </c>
      <c r="U95" s="25" t="s">
        <v>2086</v>
      </c>
      <c r="V95" s="25" t="s">
        <v>2436</v>
      </c>
      <c r="W95" s="80">
        <v>45246</v>
      </c>
      <c r="X95" s="21" t="s">
        <v>2823</v>
      </c>
    </row>
    <row r="96" spans="1:24" x14ac:dyDescent="0.2">
      <c r="A96" s="1">
        <v>95</v>
      </c>
      <c r="B96" s="1" t="s">
        <v>0</v>
      </c>
      <c r="C96" s="1" t="s">
        <v>2781</v>
      </c>
      <c r="D96" s="1" t="s">
        <v>869</v>
      </c>
      <c r="E96" s="15" t="s">
        <v>824</v>
      </c>
      <c r="F96" s="66" t="s">
        <v>882</v>
      </c>
      <c r="G96" s="24" t="s">
        <v>2800</v>
      </c>
      <c r="H96" s="15" t="s">
        <v>2788</v>
      </c>
      <c r="I96" s="24">
        <v>78</v>
      </c>
      <c r="J96" s="16" t="str">
        <f t="shared" si="5"/>
        <v>Old</v>
      </c>
      <c r="K96" s="25">
        <v>5</v>
      </c>
      <c r="L96" s="42">
        <v>990</v>
      </c>
      <c r="M96" s="15">
        <v>450</v>
      </c>
      <c r="N96" s="39">
        <f t="shared" si="3"/>
        <v>4950</v>
      </c>
      <c r="O96" s="39">
        <f t="shared" si="4"/>
        <v>2700</v>
      </c>
      <c r="P96" s="24" t="s">
        <v>2033</v>
      </c>
      <c r="Q96" s="24" t="s">
        <v>2016</v>
      </c>
      <c r="R96" s="1" t="s">
        <v>2013</v>
      </c>
      <c r="S96" s="15" t="s">
        <v>2082</v>
      </c>
      <c r="T96" s="15" t="s">
        <v>2442</v>
      </c>
      <c r="U96" s="25" t="s">
        <v>2083</v>
      </c>
      <c r="V96" s="25" t="s">
        <v>2437</v>
      </c>
      <c r="W96" s="80">
        <v>45075</v>
      </c>
      <c r="X96" s="21" t="s">
        <v>2786</v>
      </c>
    </row>
    <row r="97" spans="1:24" x14ac:dyDescent="0.2">
      <c r="A97" s="1">
        <v>96</v>
      </c>
      <c r="B97" s="1" t="s">
        <v>5</v>
      </c>
      <c r="C97" s="1" t="s">
        <v>2781</v>
      </c>
      <c r="D97" s="1" t="s">
        <v>869</v>
      </c>
      <c r="E97" s="15" t="s">
        <v>824</v>
      </c>
      <c r="F97" s="66" t="s">
        <v>881</v>
      </c>
      <c r="G97" s="24" t="s">
        <v>2802</v>
      </c>
      <c r="H97" s="15" t="s">
        <v>2789</v>
      </c>
      <c r="I97" s="24">
        <v>54</v>
      </c>
      <c r="J97" s="16" t="str">
        <f t="shared" si="5"/>
        <v>Old</v>
      </c>
      <c r="K97" s="25">
        <v>2</v>
      </c>
      <c r="L97" s="42">
        <v>1040</v>
      </c>
      <c r="M97" s="15">
        <v>500</v>
      </c>
      <c r="N97" s="39">
        <f t="shared" si="3"/>
        <v>2080</v>
      </c>
      <c r="O97" s="39">
        <f t="shared" si="4"/>
        <v>1080</v>
      </c>
      <c r="P97" s="24" t="s">
        <v>2035</v>
      </c>
      <c r="Q97" s="24" t="s">
        <v>2020</v>
      </c>
      <c r="R97" s="1" t="s">
        <v>2013</v>
      </c>
      <c r="S97" s="15" t="s">
        <v>2082</v>
      </c>
      <c r="T97" s="15" t="s">
        <v>2442</v>
      </c>
      <c r="U97" s="25" t="s">
        <v>2088</v>
      </c>
      <c r="V97" s="25" t="s">
        <v>2435</v>
      </c>
      <c r="W97" s="80">
        <v>45098</v>
      </c>
      <c r="X97" s="21" t="s">
        <v>2814</v>
      </c>
    </row>
    <row r="98" spans="1:24" x14ac:dyDescent="0.2">
      <c r="A98" s="1">
        <v>97</v>
      </c>
      <c r="B98" s="1" t="s">
        <v>2</v>
      </c>
      <c r="C98" s="1" t="s">
        <v>2781</v>
      </c>
      <c r="D98" s="1" t="s">
        <v>869</v>
      </c>
      <c r="E98" s="15" t="s">
        <v>817</v>
      </c>
      <c r="F98" s="66" t="s">
        <v>883</v>
      </c>
      <c r="G98" s="24" t="s">
        <v>2804</v>
      </c>
      <c r="H98" s="15" t="s">
        <v>2788</v>
      </c>
      <c r="I98" s="24">
        <v>32</v>
      </c>
      <c r="J98" s="16" t="str">
        <f t="shared" si="5"/>
        <v>Young</v>
      </c>
      <c r="K98" s="25">
        <v>3</v>
      </c>
      <c r="L98" s="42">
        <v>970</v>
      </c>
      <c r="M98" s="15">
        <v>500</v>
      </c>
      <c r="N98" s="39">
        <f t="shared" si="3"/>
        <v>2910</v>
      </c>
      <c r="O98" s="39">
        <f t="shared" si="4"/>
        <v>1410</v>
      </c>
      <c r="P98" s="24" t="s">
        <v>2041</v>
      </c>
      <c r="Q98" s="24" t="s">
        <v>2016</v>
      </c>
      <c r="R98" s="1" t="s">
        <v>2013</v>
      </c>
      <c r="S98" s="15" t="s">
        <v>2082</v>
      </c>
      <c r="T98" s="15" t="s">
        <v>2442</v>
      </c>
      <c r="U98" s="25" t="s">
        <v>2087</v>
      </c>
      <c r="V98" s="25" t="s">
        <v>2434</v>
      </c>
      <c r="W98" s="80">
        <v>44997</v>
      </c>
      <c r="X98" s="21" t="s">
        <v>2816</v>
      </c>
    </row>
    <row r="99" spans="1:24" x14ac:dyDescent="0.2">
      <c r="A99" s="1">
        <v>98</v>
      </c>
      <c r="B99" s="1" t="s">
        <v>13</v>
      </c>
      <c r="C99" s="1" t="s">
        <v>2781</v>
      </c>
      <c r="D99" s="1" t="s">
        <v>869</v>
      </c>
      <c r="E99" s="15" t="s">
        <v>824</v>
      </c>
      <c r="F99" s="66" t="s">
        <v>884</v>
      </c>
      <c r="G99" s="24" t="s">
        <v>2806</v>
      </c>
      <c r="H99" s="15" t="s">
        <v>2788</v>
      </c>
      <c r="I99" s="16">
        <v>24</v>
      </c>
      <c r="J99" s="16" t="str">
        <f t="shared" si="5"/>
        <v>Young</v>
      </c>
      <c r="K99" s="25">
        <v>4</v>
      </c>
      <c r="L99" s="42">
        <v>940</v>
      </c>
      <c r="M99" s="15">
        <v>420</v>
      </c>
      <c r="N99" s="39">
        <f t="shared" si="3"/>
        <v>3760</v>
      </c>
      <c r="O99" s="39">
        <f t="shared" si="4"/>
        <v>2080</v>
      </c>
      <c r="P99" s="24" t="s">
        <v>2048</v>
      </c>
      <c r="Q99" s="24" t="s">
        <v>2014</v>
      </c>
      <c r="R99" s="1" t="s">
        <v>2013</v>
      </c>
      <c r="S99" s="15" t="s">
        <v>2082</v>
      </c>
      <c r="T99" s="15" t="s">
        <v>2442</v>
      </c>
      <c r="U99" s="25" t="s">
        <v>2086</v>
      </c>
      <c r="V99" s="25" t="s">
        <v>2436</v>
      </c>
      <c r="W99" s="80">
        <v>45050</v>
      </c>
      <c r="X99" s="21" t="s">
        <v>2786</v>
      </c>
    </row>
    <row r="100" spans="1:24" x14ac:dyDescent="0.2">
      <c r="A100" s="1">
        <v>99</v>
      </c>
      <c r="B100" s="1" t="s">
        <v>2</v>
      </c>
      <c r="C100" s="1" t="s">
        <v>2781</v>
      </c>
      <c r="D100" s="1" t="s">
        <v>869</v>
      </c>
      <c r="E100" s="15" t="s">
        <v>824</v>
      </c>
      <c r="F100" s="66" t="s">
        <v>885</v>
      </c>
      <c r="G100" s="24" t="s">
        <v>2808</v>
      </c>
      <c r="H100" s="15" t="s">
        <v>2789</v>
      </c>
      <c r="I100" s="16">
        <v>57</v>
      </c>
      <c r="J100" s="16" t="str">
        <f t="shared" si="5"/>
        <v>Old</v>
      </c>
      <c r="K100" s="25">
        <v>1</v>
      </c>
      <c r="L100" s="42">
        <v>890</v>
      </c>
      <c r="M100" s="15">
        <v>400</v>
      </c>
      <c r="N100" s="39">
        <f t="shared" si="3"/>
        <v>890</v>
      </c>
      <c r="O100" s="39">
        <f t="shared" si="4"/>
        <v>490</v>
      </c>
      <c r="P100" s="24" t="s">
        <v>2047</v>
      </c>
      <c r="Q100" s="24" t="s">
        <v>2024</v>
      </c>
      <c r="R100" s="1" t="s">
        <v>2013</v>
      </c>
      <c r="S100" s="15" t="s">
        <v>2082</v>
      </c>
      <c r="T100" s="15" t="s">
        <v>2442</v>
      </c>
      <c r="U100" s="25" t="s">
        <v>2083</v>
      </c>
      <c r="V100" s="25" t="s">
        <v>2437</v>
      </c>
      <c r="W100" s="80">
        <v>44942</v>
      </c>
      <c r="X100" s="21" t="s">
        <v>2818</v>
      </c>
    </row>
    <row r="101" spans="1:24" x14ac:dyDescent="0.2">
      <c r="A101" s="1">
        <v>100</v>
      </c>
      <c r="B101" s="1" t="s">
        <v>13</v>
      </c>
      <c r="C101" s="1" t="s">
        <v>2781</v>
      </c>
      <c r="D101" s="1" t="s">
        <v>869</v>
      </c>
      <c r="E101" s="15" t="s">
        <v>824</v>
      </c>
      <c r="F101" s="66" t="s">
        <v>886</v>
      </c>
      <c r="G101" s="24" t="s">
        <v>2810</v>
      </c>
      <c r="H101" s="15" t="s">
        <v>2788</v>
      </c>
      <c r="I101" s="16">
        <v>35</v>
      </c>
      <c r="J101" s="16" t="str">
        <f t="shared" si="5"/>
        <v>Young</v>
      </c>
      <c r="K101" s="25">
        <v>5</v>
      </c>
      <c r="L101" s="42">
        <v>672</v>
      </c>
      <c r="M101" s="15">
        <v>380</v>
      </c>
      <c r="N101" s="39">
        <f t="shared" si="3"/>
        <v>3360</v>
      </c>
      <c r="O101" s="39">
        <f t="shared" si="4"/>
        <v>1460</v>
      </c>
      <c r="P101" s="24" t="s">
        <v>2036</v>
      </c>
      <c r="Q101" s="24" t="s">
        <v>2014</v>
      </c>
      <c r="R101" s="1" t="s">
        <v>2013</v>
      </c>
      <c r="S101" s="15" t="s">
        <v>2082</v>
      </c>
      <c r="T101" s="15" t="s">
        <v>2442</v>
      </c>
      <c r="U101" s="25" t="s">
        <v>2088</v>
      </c>
      <c r="V101" s="25" t="s">
        <v>2435</v>
      </c>
      <c r="W101" s="80">
        <v>45204</v>
      </c>
      <c r="X101" s="21" t="s">
        <v>2821</v>
      </c>
    </row>
    <row r="102" spans="1:24" x14ac:dyDescent="0.2">
      <c r="A102" s="1">
        <v>101</v>
      </c>
      <c r="B102" s="1" t="s">
        <v>13</v>
      </c>
      <c r="C102" s="1" t="s">
        <v>2781</v>
      </c>
      <c r="D102" s="1" t="s">
        <v>869</v>
      </c>
      <c r="E102" s="15" t="s">
        <v>817</v>
      </c>
      <c r="F102" s="66" t="s">
        <v>878</v>
      </c>
      <c r="G102" s="24" t="s">
        <v>2793</v>
      </c>
      <c r="H102" s="15" t="s">
        <v>2789</v>
      </c>
      <c r="I102" s="16">
        <v>40</v>
      </c>
      <c r="J102" s="16" t="str">
        <f t="shared" si="5"/>
        <v>Middle Age</v>
      </c>
      <c r="K102" s="25">
        <v>3</v>
      </c>
      <c r="L102" s="42">
        <v>672</v>
      </c>
      <c r="M102" s="15">
        <v>330</v>
      </c>
      <c r="N102" s="39">
        <f t="shared" si="3"/>
        <v>2016</v>
      </c>
      <c r="O102" s="39">
        <f t="shared" si="4"/>
        <v>1026</v>
      </c>
      <c r="P102" s="24" t="s">
        <v>2029</v>
      </c>
      <c r="Q102" s="24" t="s">
        <v>2016</v>
      </c>
      <c r="R102" s="1" t="s">
        <v>2013</v>
      </c>
      <c r="S102" s="15" t="s">
        <v>2082</v>
      </c>
      <c r="T102" s="15" t="s">
        <v>2442</v>
      </c>
      <c r="U102" s="25" t="s">
        <v>2088</v>
      </c>
      <c r="V102" s="25" t="s">
        <v>2436</v>
      </c>
      <c r="W102" s="80">
        <v>45286</v>
      </c>
      <c r="X102" s="21" t="s">
        <v>2822</v>
      </c>
    </row>
    <row r="103" spans="1:24" x14ac:dyDescent="0.2">
      <c r="A103" s="1">
        <v>102</v>
      </c>
      <c r="B103" s="1" t="s">
        <v>13</v>
      </c>
      <c r="C103" s="1" t="s">
        <v>2781</v>
      </c>
      <c r="D103" s="1" t="s">
        <v>869</v>
      </c>
      <c r="E103" s="15" t="s">
        <v>818</v>
      </c>
      <c r="F103" s="67" t="s">
        <v>887</v>
      </c>
      <c r="G103" s="24" t="s">
        <v>2791</v>
      </c>
      <c r="H103" s="15" t="s">
        <v>2788</v>
      </c>
      <c r="I103" s="16">
        <v>21</v>
      </c>
      <c r="J103" s="16" t="str">
        <f t="shared" si="5"/>
        <v>Young</v>
      </c>
      <c r="K103" s="25">
        <v>2</v>
      </c>
      <c r="L103" s="42">
        <v>672</v>
      </c>
      <c r="M103" s="15">
        <v>380</v>
      </c>
      <c r="N103" s="39">
        <f t="shared" si="3"/>
        <v>1344</v>
      </c>
      <c r="O103" s="39">
        <f t="shared" si="4"/>
        <v>584</v>
      </c>
      <c r="P103" s="24" t="s">
        <v>2041</v>
      </c>
      <c r="Q103" s="24" t="s">
        <v>2016</v>
      </c>
      <c r="R103" s="1" t="s">
        <v>2013</v>
      </c>
      <c r="S103" s="15" t="s">
        <v>2082</v>
      </c>
      <c r="T103" s="15" t="s">
        <v>2442</v>
      </c>
      <c r="U103" s="25" t="s">
        <v>2086</v>
      </c>
      <c r="V103" s="25" t="s">
        <v>2434</v>
      </c>
      <c r="W103" s="80">
        <v>44990</v>
      </c>
      <c r="X103" s="21" t="s">
        <v>2816</v>
      </c>
    </row>
    <row r="104" spans="1:24" x14ac:dyDescent="0.2">
      <c r="A104" s="1">
        <v>103</v>
      </c>
      <c r="B104" s="1" t="s">
        <v>0</v>
      </c>
      <c r="C104" s="1" t="s">
        <v>2781</v>
      </c>
      <c r="D104" s="1" t="s">
        <v>869</v>
      </c>
      <c r="E104" s="15" t="s">
        <v>824</v>
      </c>
      <c r="F104" s="66" t="s">
        <v>888</v>
      </c>
      <c r="G104" s="24" t="s">
        <v>2795</v>
      </c>
      <c r="H104" s="15" t="s">
        <v>2788</v>
      </c>
      <c r="I104" s="16">
        <v>59</v>
      </c>
      <c r="J104" s="16" t="str">
        <f t="shared" si="5"/>
        <v>Old</v>
      </c>
      <c r="K104" s="25">
        <v>4</v>
      </c>
      <c r="L104" s="42">
        <v>990</v>
      </c>
      <c r="M104" s="15">
        <v>500</v>
      </c>
      <c r="N104" s="39">
        <f t="shared" si="3"/>
        <v>3960</v>
      </c>
      <c r="O104" s="39">
        <f t="shared" si="4"/>
        <v>1960</v>
      </c>
      <c r="P104" s="24" t="s">
        <v>2046</v>
      </c>
      <c r="Q104" s="24" t="s">
        <v>2016</v>
      </c>
      <c r="R104" s="1" t="s">
        <v>2013</v>
      </c>
      <c r="S104" s="15" t="s">
        <v>2082</v>
      </c>
      <c r="T104" s="15" t="s">
        <v>2442</v>
      </c>
      <c r="U104" s="25" t="s">
        <v>2088</v>
      </c>
      <c r="V104" s="25" t="s">
        <v>2437</v>
      </c>
      <c r="W104" s="80">
        <v>45174</v>
      </c>
      <c r="X104" s="21" t="s">
        <v>2820</v>
      </c>
    </row>
    <row r="105" spans="1:24" x14ac:dyDescent="0.2">
      <c r="A105" s="1">
        <v>104</v>
      </c>
      <c r="B105" s="1" t="s">
        <v>13</v>
      </c>
      <c r="C105" s="1" t="s">
        <v>2781</v>
      </c>
      <c r="D105" s="1" t="s">
        <v>869</v>
      </c>
      <c r="E105" s="15" t="s">
        <v>818</v>
      </c>
      <c r="F105" s="67" t="s">
        <v>889</v>
      </c>
      <c r="G105" s="24" t="s">
        <v>2797</v>
      </c>
      <c r="H105" s="15" t="s">
        <v>2788</v>
      </c>
      <c r="I105" s="16">
        <v>32</v>
      </c>
      <c r="J105" s="16" t="str">
        <f t="shared" si="5"/>
        <v>Young</v>
      </c>
      <c r="K105" s="25">
        <v>1</v>
      </c>
      <c r="L105" s="42">
        <v>790</v>
      </c>
      <c r="M105" s="15">
        <v>380</v>
      </c>
      <c r="N105" s="39">
        <f t="shared" si="3"/>
        <v>790</v>
      </c>
      <c r="O105" s="39">
        <f t="shared" si="4"/>
        <v>410</v>
      </c>
      <c r="P105" s="24" t="s">
        <v>2032</v>
      </c>
      <c r="Q105" s="15" t="s">
        <v>2016</v>
      </c>
      <c r="R105" s="1" t="s">
        <v>2013</v>
      </c>
      <c r="S105" s="15" t="s">
        <v>2082</v>
      </c>
      <c r="T105" s="15" t="s">
        <v>2442</v>
      </c>
      <c r="U105" s="25" t="s">
        <v>2086</v>
      </c>
      <c r="V105" s="25" t="s">
        <v>2435</v>
      </c>
      <c r="W105" s="80">
        <v>45160</v>
      </c>
      <c r="X105" s="21" t="s">
        <v>2819</v>
      </c>
    </row>
    <row r="106" spans="1:24" x14ac:dyDescent="0.2">
      <c r="A106" s="1">
        <v>105</v>
      </c>
      <c r="B106" s="1" t="s">
        <v>5</v>
      </c>
      <c r="C106" s="1" t="s">
        <v>2781</v>
      </c>
      <c r="D106" s="1" t="s">
        <v>869</v>
      </c>
      <c r="E106" s="15" t="s">
        <v>822</v>
      </c>
      <c r="F106" s="67" t="s">
        <v>890</v>
      </c>
      <c r="G106" s="24" t="s">
        <v>2799</v>
      </c>
      <c r="H106" s="15" t="s">
        <v>2788</v>
      </c>
      <c r="I106" s="16">
        <v>46</v>
      </c>
      <c r="J106" s="16" t="str">
        <f t="shared" si="5"/>
        <v>Middle Age</v>
      </c>
      <c r="K106" s="25">
        <v>5</v>
      </c>
      <c r="L106" s="42">
        <v>890</v>
      </c>
      <c r="M106" s="15">
        <v>350</v>
      </c>
      <c r="N106" s="39">
        <f t="shared" si="3"/>
        <v>4450</v>
      </c>
      <c r="O106" s="39">
        <f t="shared" si="4"/>
        <v>2700</v>
      </c>
      <c r="P106" s="24" t="s">
        <v>2043</v>
      </c>
      <c r="Q106" s="24" t="s">
        <v>2016</v>
      </c>
      <c r="R106" s="1" t="s">
        <v>2013</v>
      </c>
      <c r="S106" s="15" t="s">
        <v>2082</v>
      </c>
      <c r="T106" s="15" t="s">
        <v>2442</v>
      </c>
      <c r="U106" s="25" t="s">
        <v>2087</v>
      </c>
      <c r="V106" s="25" t="s">
        <v>2434</v>
      </c>
      <c r="W106" s="80">
        <v>45277</v>
      </c>
      <c r="X106" s="21" t="s">
        <v>2822</v>
      </c>
    </row>
    <row r="107" spans="1:24" x14ac:dyDescent="0.2">
      <c r="A107" s="1">
        <v>106</v>
      </c>
      <c r="B107" s="1" t="s">
        <v>7</v>
      </c>
      <c r="C107" s="1" t="s">
        <v>2781</v>
      </c>
      <c r="D107" s="1" t="s">
        <v>869</v>
      </c>
      <c r="E107" s="15" t="s">
        <v>817</v>
      </c>
      <c r="F107" s="66" t="s">
        <v>891</v>
      </c>
      <c r="G107" s="24" t="s">
        <v>2801</v>
      </c>
      <c r="H107" s="15" t="s">
        <v>2788</v>
      </c>
      <c r="I107" s="16">
        <v>54</v>
      </c>
      <c r="J107" s="16" t="str">
        <f t="shared" si="5"/>
        <v>Old</v>
      </c>
      <c r="K107" s="25">
        <v>2</v>
      </c>
      <c r="L107" s="42">
        <v>990</v>
      </c>
      <c r="M107" s="15">
        <v>400</v>
      </c>
      <c r="N107" s="39">
        <f t="shared" si="3"/>
        <v>1980</v>
      </c>
      <c r="O107" s="39">
        <f t="shared" si="4"/>
        <v>1180</v>
      </c>
      <c r="P107" s="24" t="s">
        <v>2040</v>
      </c>
      <c r="Q107" s="15" t="s">
        <v>2014</v>
      </c>
      <c r="R107" s="1" t="s">
        <v>2013</v>
      </c>
      <c r="S107" s="15" t="s">
        <v>2082</v>
      </c>
      <c r="T107" s="15" t="s">
        <v>2442</v>
      </c>
      <c r="U107" s="25" t="s">
        <v>2084</v>
      </c>
      <c r="V107" s="25" t="s">
        <v>2436</v>
      </c>
      <c r="W107" s="80">
        <v>45059</v>
      </c>
      <c r="X107" s="21" t="s">
        <v>2786</v>
      </c>
    </row>
    <row r="108" spans="1:24" x14ac:dyDescent="0.2">
      <c r="A108" s="1">
        <v>107</v>
      </c>
      <c r="B108" s="1" t="s">
        <v>0</v>
      </c>
      <c r="C108" s="1" t="s">
        <v>2781</v>
      </c>
      <c r="D108" s="1" t="s">
        <v>869</v>
      </c>
      <c r="E108" s="15" t="s">
        <v>824</v>
      </c>
      <c r="F108" s="67" t="s">
        <v>892</v>
      </c>
      <c r="G108" s="24" t="s">
        <v>2803</v>
      </c>
      <c r="H108" s="15" t="s">
        <v>2789</v>
      </c>
      <c r="I108" s="16">
        <v>25</v>
      </c>
      <c r="J108" s="16" t="str">
        <f t="shared" si="5"/>
        <v>Young</v>
      </c>
      <c r="K108" s="25">
        <v>3</v>
      </c>
      <c r="L108" s="42">
        <v>990</v>
      </c>
      <c r="M108" s="15">
        <v>500</v>
      </c>
      <c r="N108" s="39">
        <f t="shared" si="3"/>
        <v>2970</v>
      </c>
      <c r="O108" s="39">
        <f t="shared" si="4"/>
        <v>1470</v>
      </c>
      <c r="P108" s="24" t="s">
        <v>2051</v>
      </c>
      <c r="Q108" s="15" t="s">
        <v>2828</v>
      </c>
      <c r="R108" s="1" t="s">
        <v>2013</v>
      </c>
      <c r="S108" s="15" t="s">
        <v>2082</v>
      </c>
      <c r="T108" s="15" t="s">
        <v>2442</v>
      </c>
      <c r="U108" s="25" t="s">
        <v>2085</v>
      </c>
      <c r="V108" s="25" t="s">
        <v>2437</v>
      </c>
      <c r="W108" s="80">
        <v>44939</v>
      </c>
      <c r="X108" s="21" t="s">
        <v>2818</v>
      </c>
    </row>
    <row r="109" spans="1:24" x14ac:dyDescent="0.2">
      <c r="A109" s="1">
        <v>108</v>
      </c>
      <c r="B109" s="1" t="s">
        <v>5</v>
      </c>
      <c r="C109" s="1" t="s">
        <v>2781</v>
      </c>
      <c r="D109" s="1" t="s">
        <v>869</v>
      </c>
      <c r="E109" s="15" t="s">
        <v>824</v>
      </c>
      <c r="F109" s="67" t="s">
        <v>876</v>
      </c>
      <c r="G109" s="24" t="s">
        <v>2805</v>
      </c>
      <c r="H109" s="15" t="s">
        <v>2788</v>
      </c>
      <c r="I109" s="16">
        <v>43</v>
      </c>
      <c r="J109" s="16" t="str">
        <f t="shared" si="5"/>
        <v>Middle Age</v>
      </c>
      <c r="K109" s="25">
        <v>4</v>
      </c>
      <c r="L109" s="42">
        <v>890</v>
      </c>
      <c r="M109" s="15">
        <v>400</v>
      </c>
      <c r="N109" s="39">
        <f t="shared" si="3"/>
        <v>3560</v>
      </c>
      <c r="O109" s="39">
        <f t="shared" si="4"/>
        <v>1960</v>
      </c>
      <c r="P109" s="24" t="s">
        <v>2017</v>
      </c>
      <c r="Q109" s="24" t="s">
        <v>2016</v>
      </c>
      <c r="R109" s="1" t="s">
        <v>2013</v>
      </c>
      <c r="S109" s="15" t="s">
        <v>2082</v>
      </c>
      <c r="T109" s="15" t="s">
        <v>2442</v>
      </c>
      <c r="U109" s="25" t="s">
        <v>2089</v>
      </c>
      <c r="V109" s="25" t="s">
        <v>2435</v>
      </c>
      <c r="W109" s="80">
        <v>44984</v>
      </c>
      <c r="X109" s="21" t="s">
        <v>2817</v>
      </c>
    </row>
    <row r="110" spans="1:24" x14ac:dyDescent="0.2">
      <c r="A110" s="1">
        <v>109</v>
      </c>
      <c r="B110" s="1" t="s">
        <v>5</v>
      </c>
      <c r="C110" s="1" t="s">
        <v>2781</v>
      </c>
      <c r="D110" s="1" t="s">
        <v>869</v>
      </c>
      <c r="E110" s="15" t="s">
        <v>824</v>
      </c>
      <c r="F110" s="67" t="s">
        <v>885</v>
      </c>
      <c r="G110" s="24" t="s">
        <v>2807</v>
      </c>
      <c r="H110" s="15" t="s">
        <v>2789</v>
      </c>
      <c r="I110" s="16">
        <v>58</v>
      </c>
      <c r="J110" s="16" t="str">
        <f t="shared" si="5"/>
        <v>Old</v>
      </c>
      <c r="K110" s="25">
        <v>1</v>
      </c>
      <c r="L110" s="42">
        <v>1040</v>
      </c>
      <c r="M110" s="15">
        <v>500</v>
      </c>
      <c r="N110" s="39">
        <f t="shared" si="3"/>
        <v>1040</v>
      </c>
      <c r="O110" s="39">
        <f t="shared" si="4"/>
        <v>540</v>
      </c>
      <c r="P110" s="24" t="s">
        <v>2039</v>
      </c>
      <c r="Q110" s="24" t="s">
        <v>2014</v>
      </c>
      <c r="R110" s="1" t="s">
        <v>2013</v>
      </c>
      <c r="S110" s="15" t="s">
        <v>2082</v>
      </c>
      <c r="T110" s="15" t="s">
        <v>2442</v>
      </c>
      <c r="U110" s="25" t="s">
        <v>2087</v>
      </c>
      <c r="V110" s="25" t="s">
        <v>2434</v>
      </c>
      <c r="W110" s="80">
        <v>45029</v>
      </c>
      <c r="X110" s="21" t="s">
        <v>2815</v>
      </c>
    </row>
    <row r="111" spans="1:24" x14ac:dyDescent="0.2">
      <c r="A111" s="1">
        <v>110</v>
      </c>
      <c r="B111" s="1" t="s">
        <v>9</v>
      </c>
      <c r="C111" s="1" t="s">
        <v>2781</v>
      </c>
      <c r="D111" s="1" t="s">
        <v>869</v>
      </c>
      <c r="E111" s="15" t="s">
        <v>817</v>
      </c>
      <c r="F111" s="67" t="s">
        <v>893</v>
      </c>
      <c r="G111" s="24" t="s">
        <v>2809</v>
      </c>
      <c r="H111" s="15" t="s">
        <v>2789</v>
      </c>
      <c r="I111" s="16">
        <v>20</v>
      </c>
      <c r="J111" s="16" t="str">
        <f t="shared" si="5"/>
        <v>Young</v>
      </c>
      <c r="K111" s="25">
        <v>5</v>
      </c>
      <c r="L111" s="42">
        <v>790</v>
      </c>
      <c r="M111" s="15">
        <v>350</v>
      </c>
      <c r="N111" s="39">
        <f t="shared" si="3"/>
        <v>3950</v>
      </c>
      <c r="O111" s="39">
        <f t="shared" si="4"/>
        <v>2200</v>
      </c>
      <c r="P111" s="24" t="s">
        <v>2040</v>
      </c>
      <c r="Q111" s="15" t="s">
        <v>2014</v>
      </c>
      <c r="R111" s="1" t="s">
        <v>2013</v>
      </c>
      <c r="S111" s="15" t="s">
        <v>2082</v>
      </c>
      <c r="T111" s="15" t="s">
        <v>2442</v>
      </c>
      <c r="U111" s="25" t="s">
        <v>2086</v>
      </c>
      <c r="V111" s="25" t="s">
        <v>2436</v>
      </c>
      <c r="W111" s="80">
        <v>45256</v>
      </c>
      <c r="X111" s="21" t="s">
        <v>2823</v>
      </c>
    </row>
    <row r="112" spans="1:24" x14ac:dyDescent="0.2">
      <c r="A112" s="1">
        <v>111</v>
      </c>
      <c r="B112" s="1" t="s">
        <v>13</v>
      </c>
      <c r="C112" s="1" t="s">
        <v>2781</v>
      </c>
      <c r="D112" s="1" t="s">
        <v>869</v>
      </c>
      <c r="E112" s="15" t="s">
        <v>824</v>
      </c>
      <c r="F112" s="67" t="s">
        <v>894</v>
      </c>
      <c r="G112" s="24" t="s">
        <v>2794</v>
      </c>
      <c r="H112" s="15" t="s">
        <v>2789</v>
      </c>
      <c r="I112" s="16">
        <v>49</v>
      </c>
      <c r="J112" s="16" t="str">
        <f t="shared" si="5"/>
        <v>Middle Age</v>
      </c>
      <c r="K112" s="25">
        <v>5</v>
      </c>
      <c r="L112" s="42">
        <v>940</v>
      </c>
      <c r="M112" s="15">
        <v>420</v>
      </c>
      <c r="N112" s="39">
        <f t="shared" si="3"/>
        <v>4700</v>
      </c>
      <c r="O112" s="39">
        <f t="shared" si="4"/>
        <v>2600</v>
      </c>
      <c r="P112" s="24" t="s">
        <v>2054</v>
      </c>
      <c r="Q112" s="24" t="s">
        <v>2016</v>
      </c>
      <c r="R112" s="1" t="s">
        <v>2013</v>
      </c>
      <c r="S112" s="15" t="s">
        <v>2082</v>
      </c>
      <c r="T112" s="15" t="s">
        <v>2442</v>
      </c>
      <c r="U112" s="25" t="s">
        <v>2085</v>
      </c>
      <c r="V112" s="25" t="s">
        <v>2437</v>
      </c>
      <c r="W112" s="80">
        <v>45151</v>
      </c>
      <c r="X112" s="21" t="s">
        <v>2819</v>
      </c>
    </row>
    <row r="113" spans="1:24" x14ac:dyDescent="0.2">
      <c r="A113" s="1">
        <v>112</v>
      </c>
      <c r="B113" s="1" t="s">
        <v>16</v>
      </c>
      <c r="C113" s="1" t="s">
        <v>2781</v>
      </c>
      <c r="D113" s="1" t="s">
        <v>869</v>
      </c>
      <c r="E113" s="15" t="s">
        <v>824</v>
      </c>
      <c r="F113" s="66" t="s">
        <v>25</v>
      </c>
      <c r="G113" s="24" t="s">
        <v>2792</v>
      </c>
      <c r="H113" s="15" t="s">
        <v>2789</v>
      </c>
      <c r="I113" s="24">
        <v>25</v>
      </c>
      <c r="J113" s="16" t="str">
        <f t="shared" si="5"/>
        <v>Young</v>
      </c>
      <c r="K113" s="25">
        <v>3</v>
      </c>
      <c r="L113" s="42">
        <v>890</v>
      </c>
      <c r="M113" s="15">
        <v>400</v>
      </c>
      <c r="N113" s="39">
        <f t="shared" si="3"/>
        <v>2670</v>
      </c>
      <c r="O113" s="39">
        <f t="shared" si="4"/>
        <v>1470</v>
      </c>
      <c r="P113" s="24" t="s">
        <v>2018</v>
      </c>
      <c r="Q113" s="15" t="s">
        <v>2828</v>
      </c>
      <c r="R113" s="1" t="s">
        <v>2013</v>
      </c>
      <c r="S113" s="15" t="s">
        <v>2082</v>
      </c>
      <c r="T113" s="15" t="s">
        <v>2442</v>
      </c>
      <c r="U113" s="25" t="s">
        <v>2090</v>
      </c>
      <c r="V113" s="25" t="s">
        <v>2435</v>
      </c>
      <c r="W113" s="80">
        <v>45127</v>
      </c>
      <c r="X113" s="21" t="s">
        <v>2813</v>
      </c>
    </row>
    <row r="114" spans="1:24" x14ac:dyDescent="0.2">
      <c r="A114" s="1">
        <v>113</v>
      </c>
      <c r="B114" s="1" t="s">
        <v>2</v>
      </c>
      <c r="C114" s="1" t="s">
        <v>2781</v>
      </c>
      <c r="D114" s="1" t="s">
        <v>869</v>
      </c>
      <c r="E114" s="15" t="s">
        <v>817</v>
      </c>
      <c r="F114" s="67" t="s">
        <v>915</v>
      </c>
      <c r="G114" s="24" t="s">
        <v>2796</v>
      </c>
      <c r="H114" s="15" t="s">
        <v>2788</v>
      </c>
      <c r="I114" s="24">
        <v>31</v>
      </c>
      <c r="J114" s="16" t="str">
        <f t="shared" si="5"/>
        <v>Young</v>
      </c>
      <c r="K114" s="25">
        <v>2</v>
      </c>
      <c r="L114" s="42">
        <v>890</v>
      </c>
      <c r="M114" s="15">
        <v>350</v>
      </c>
      <c r="N114" s="39">
        <f t="shared" si="3"/>
        <v>1780</v>
      </c>
      <c r="O114" s="39">
        <f t="shared" si="4"/>
        <v>1080</v>
      </c>
      <c r="P114" s="24" t="s">
        <v>2031</v>
      </c>
      <c r="Q114" s="24" t="s">
        <v>2016</v>
      </c>
      <c r="R114" s="1" t="s">
        <v>2013</v>
      </c>
      <c r="S114" s="15" t="s">
        <v>2082</v>
      </c>
      <c r="T114" s="15" t="s">
        <v>2442</v>
      </c>
      <c r="U114" s="25" t="s">
        <v>2085</v>
      </c>
      <c r="V114" s="25" t="s">
        <v>2436</v>
      </c>
      <c r="W114" s="80">
        <v>45003</v>
      </c>
      <c r="X114" s="21" t="s">
        <v>2816</v>
      </c>
    </row>
    <row r="115" spans="1:24" x14ac:dyDescent="0.2">
      <c r="A115" s="1">
        <v>114</v>
      </c>
      <c r="B115" s="1" t="s">
        <v>1</v>
      </c>
      <c r="C115" s="1" t="s">
        <v>2781</v>
      </c>
      <c r="D115" s="1" t="s">
        <v>869</v>
      </c>
      <c r="E115" s="15" t="s">
        <v>822</v>
      </c>
      <c r="F115" s="66" t="s">
        <v>920</v>
      </c>
      <c r="G115" s="24" t="s">
        <v>2798</v>
      </c>
      <c r="H115" s="15" t="s">
        <v>2789</v>
      </c>
      <c r="I115" s="24">
        <v>56</v>
      </c>
      <c r="J115" s="16" t="str">
        <f t="shared" si="5"/>
        <v>Old</v>
      </c>
      <c r="K115" s="25">
        <v>4</v>
      </c>
      <c r="L115" s="42">
        <v>690</v>
      </c>
      <c r="M115" s="15">
        <v>280</v>
      </c>
      <c r="N115" s="39">
        <f t="shared" si="3"/>
        <v>2760</v>
      </c>
      <c r="O115" s="39">
        <f t="shared" si="4"/>
        <v>1640</v>
      </c>
      <c r="P115" s="24" t="s">
        <v>2056</v>
      </c>
      <c r="Q115" s="24" t="s">
        <v>2024</v>
      </c>
      <c r="R115" s="1" t="s">
        <v>2013</v>
      </c>
      <c r="S115" s="15" t="s">
        <v>2082</v>
      </c>
      <c r="T115" s="15" t="s">
        <v>2442</v>
      </c>
      <c r="U115" s="25" t="s">
        <v>2084</v>
      </c>
      <c r="V115" s="25" t="s">
        <v>2434</v>
      </c>
      <c r="W115" s="80">
        <v>45158</v>
      </c>
      <c r="X115" s="21" t="s">
        <v>2819</v>
      </c>
    </row>
    <row r="116" spans="1:24" x14ac:dyDescent="0.2">
      <c r="A116" s="3">
        <v>115</v>
      </c>
      <c r="B116" s="3" t="s">
        <v>9</v>
      </c>
      <c r="C116" s="1" t="s">
        <v>2781</v>
      </c>
      <c r="D116" s="1" t="s">
        <v>869</v>
      </c>
      <c r="E116" s="29" t="s">
        <v>824</v>
      </c>
      <c r="F116" s="67" t="s">
        <v>921</v>
      </c>
      <c r="G116" s="24" t="s">
        <v>2800</v>
      </c>
      <c r="H116" s="15" t="s">
        <v>2789</v>
      </c>
      <c r="I116" s="24">
        <v>42</v>
      </c>
      <c r="J116" s="16" t="str">
        <f t="shared" si="5"/>
        <v>Middle Age</v>
      </c>
      <c r="K116" s="25">
        <v>1</v>
      </c>
      <c r="L116" s="43">
        <v>790</v>
      </c>
      <c r="M116" s="29">
        <v>380</v>
      </c>
      <c r="N116" s="39">
        <f t="shared" si="3"/>
        <v>790</v>
      </c>
      <c r="O116" s="39">
        <f t="shared" si="4"/>
        <v>410</v>
      </c>
      <c r="P116" s="24" t="s">
        <v>2039</v>
      </c>
      <c r="Q116" s="24" t="s">
        <v>2014</v>
      </c>
      <c r="R116" s="1" t="s">
        <v>2013</v>
      </c>
      <c r="S116" s="15" t="s">
        <v>2082</v>
      </c>
      <c r="T116" s="15" t="s">
        <v>2442</v>
      </c>
      <c r="U116" s="25" t="s">
        <v>2086</v>
      </c>
      <c r="V116" s="25" t="s">
        <v>2437</v>
      </c>
      <c r="W116" s="80">
        <v>45286</v>
      </c>
      <c r="X116" s="21" t="s">
        <v>2822</v>
      </c>
    </row>
    <row r="117" spans="1:24" x14ac:dyDescent="0.2">
      <c r="A117" s="6">
        <v>116</v>
      </c>
      <c r="B117" s="6" t="s">
        <v>5</v>
      </c>
      <c r="C117" s="1" t="s">
        <v>2781</v>
      </c>
      <c r="D117" s="1" t="s">
        <v>869</v>
      </c>
      <c r="E117" s="30" t="s">
        <v>818</v>
      </c>
      <c r="F117" s="67" t="s">
        <v>922</v>
      </c>
      <c r="G117" s="24" t="s">
        <v>2802</v>
      </c>
      <c r="H117" s="15" t="s">
        <v>2788</v>
      </c>
      <c r="I117" s="24">
        <v>34</v>
      </c>
      <c r="J117" s="16" t="str">
        <f t="shared" si="5"/>
        <v>Young</v>
      </c>
      <c r="K117" s="25">
        <v>5</v>
      </c>
      <c r="L117" s="44">
        <v>890</v>
      </c>
      <c r="M117" s="30">
        <v>890</v>
      </c>
      <c r="N117" s="39">
        <f t="shared" si="3"/>
        <v>4450</v>
      </c>
      <c r="O117" s="39">
        <f t="shared" si="4"/>
        <v>0</v>
      </c>
      <c r="P117" s="24" t="s">
        <v>2057</v>
      </c>
      <c r="Q117" s="24" t="s">
        <v>2020</v>
      </c>
      <c r="R117" s="1" t="s">
        <v>2013</v>
      </c>
      <c r="S117" s="15" t="s">
        <v>2082</v>
      </c>
      <c r="T117" s="15" t="s">
        <v>2442</v>
      </c>
      <c r="U117" s="25" t="s">
        <v>2085</v>
      </c>
      <c r="V117" s="25" t="s">
        <v>2435</v>
      </c>
      <c r="W117" s="80">
        <v>45214</v>
      </c>
      <c r="X117" s="21" t="s">
        <v>2821</v>
      </c>
    </row>
    <row r="118" spans="1:24" x14ac:dyDescent="0.2">
      <c r="A118" s="3">
        <v>117</v>
      </c>
      <c r="B118" s="3" t="s">
        <v>5</v>
      </c>
      <c r="C118" s="1" t="s">
        <v>2781</v>
      </c>
      <c r="D118" s="1" t="s">
        <v>869</v>
      </c>
      <c r="E118" s="29" t="s">
        <v>817</v>
      </c>
      <c r="F118" s="67" t="s">
        <v>923</v>
      </c>
      <c r="G118" s="24" t="s">
        <v>2804</v>
      </c>
      <c r="H118" s="15" t="s">
        <v>2788</v>
      </c>
      <c r="I118" s="24">
        <v>23</v>
      </c>
      <c r="J118" s="16" t="str">
        <f t="shared" si="5"/>
        <v>Young</v>
      </c>
      <c r="K118" s="25">
        <v>2</v>
      </c>
      <c r="L118" s="43">
        <v>890</v>
      </c>
      <c r="M118" s="29">
        <v>350</v>
      </c>
      <c r="N118" s="39">
        <f t="shared" si="3"/>
        <v>1780</v>
      </c>
      <c r="O118" s="39">
        <f t="shared" si="4"/>
        <v>1080</v>
      </c>
      <c r="P118" s="24" t="s">
        <v>2062</v>
      </c>
      <c r="Q118" s="15" t="s">
        <v>2828</v>
      </c>
      <c r="R118" s="1" t="s">
        <v>2013</v>
      </c>
      <c r="S118" s="15" t="s">
        <v>2082</v>
      </c>
      <c r="T118" s="15" t="s">
        <v>2442</v>
      </c>
      <c r="U118" s="25" t="s">
        <v>2090</v>
      </c>
      <c r="V118" s="25" t="s">
        <v>2434</v>
      </c>
      <c r="W118" s="80">
        <v>45250</v>
      </c>
      <c r="X118" s="21" t="s">
        <v>2823</v>
      </c>
    </row>
    <row r="119" spans="1:24" x14ac:dyDescent="0.2">
      <c r="A119" s="1">
        <v>118</v>
      </c>
      <c r="B119" s="1" t="s">
        <v>13</v>
      </c>
      <c r="C119" s="1" t="s">
        <v>2781</v>
      </c>
      <c r="D119" s="1" t="s">
        <v>869</v>
      </c>
      <c r="E119" s="15" t="s">
        <v>817</v>
      </c>
      <c r="F119" s="67" t="s">
        <v>924</v>
      </c>
      <c r="G119" s="24" t="s">
        <v>2806</v>
      </c>
      <c r="H119" s="15" t="s">
        <v>2789</v>
      </c>
      <c r="I119" s="24">
        <v>56</v>
      </c>
      <c r="J119" s="16" t="str">
        <f t="shared" si="5"/>
        <v>Old</v>
      </c>
      <c r="K119" s="25">
        <v>3</v>
      </c>
      <c r="L119" s="42">
        <v>790</v>
      </c>
      <c r="M119" s="15">
        <v>320</v>
      </c>
      <c r="N119" s="39">
        <f t="shared" si="3"/>
        <v>2370</v>
      </c>
      <c r="O119" s="39">
        <f t="shared" si="4"/>
        <v>1410</v>
      </c>
      <c r="P119" s="24" t="s">
        <v>2036</v>
      </c>
      <c r="Q119" s="24" t="s">
        <v>2014</v>
      </c>
      <c r="R119" s="1" t="s">
        <v>2013</v>
      </c>
      <c r="S119" s="15" t="s">
        <v>2082</v>
      </c>
      <c r="T119" s="15" t="s">
        <v>2442</v>
      </c>
      <c r="U119" s="25" t="s">
        <v>2086</v>
      </c>
      <c r="V119" s="25" t="s">
        <v>2436</v>
      </c>
      <c r="W119" s="80">
        <v>45247</v>
      </c>
      <c r="X119" s="21" t="s">
        <v>2823</v>
      </c>
    </row>
    <row r="120" spans="1:24" x14ac:dyDescent="0.2">
      <c r="A120" s="1">
        <v>119</v>
      </c>
      <c r="B120" s="1" t="s">
        <v>8</v>
      </c>
      <c r="C120" s="1" t="s">
        <v>2781</v>
      </c>
      <c r="D120" s="1" t="s">
        <v>869</v>
      </c>
      <c r="E120" s="15" t="s">
        <v>824</v>
      </c>
      <c r="F120" s="67" t="s">
        <v>925</v>
      </c>
      <c r="G120" s="24" t="s">
        <v>2808</v>
      </c>
      <c r="H120" s="15" t="s">
        <v>2788</v>
      </c>
      <c r="I120" s="24">
        <v>24</v>
      </c>
      <c r="J120" s="16" t="str">
        <f t="shared" si="5"/>
        <v>Young</v>
      </c>
      <c r="K120" s="25">
        <v>4</v>
      </c>
      <c r="L120" s="42">
        <v>840</v>
      </c>
      <c r="M120" s="15">
        <v>350</v>
      </c>
      <c r="N120" s="39">
        <f t="shared" si="3"/>
        <v>3360</v>
      </c>
      <c r="O120" s="39">
        <f t="shared" si="4"/>
        <v>1960</v>
      </c>
      <c r="P120" s="24" t="s">
        <v>2056</v>
      </c>
      <c r="Q120" s="24" t="s">
        <v>2024</v>
      </c>
      <c r="R120" s="1" t="s">
        <v>2013</v>
      </c>
      <c r="S120" s="15" t="s">
        <v>2082</v>
      </c>
      <c r="T120" s="15" t="s">
        <v>2442</v>
      </c>
      <c r="U120" s="25" t="s">
        <v>2090</v>
      </c>
      <c r="V120" s="25" t="s">
        <v>2437</v>
      </c>
      <c r="W120" s="80">
        <v>44996</v>
      </c>
      <c r="X120" s="21" t="s">
        <v>2816</v>
      </c>
    </row>
    <row r="121" spans="1:24" x14ac:dyDescent="0.2">
      <c r="A121" s="1">
        <v>120</v>
      </c>
      <c r="B121" s="1" t="s">
        <v>2</v>
      </c>
      <c r="C121" s="1" t="s">
        <v>2781</v>
      </c>
      <c r="D121" s="1" t="s">
        <v>869</v>
      </c>
      <c r="E121" s="15" t="s">
        <v>817</v>
      </c>
      <c r="F121" s="69" t="s">
        <v>904</v>
      </c>
      <c r="G121" s="24" t="s">
        <v>2810</v>
      </c>
      <c r="H121" s="15" t="s">
        <v>2788</v>
      </c>
      <c r="I121" s="24">
        <v>64</v>
      </c>
      <c r="J121" s="16" t="str">
        <f t="shared" si="5"/>
        <v>Old</v>
      </c>
      <c r="K121" s="25">
        <v>1</v>
      </c>
      <c r="L121" s="42">
        <v>890</v>
      </c>
      <c r="M121" s="15">
        <v>350</v>
      </c>
      <c r="N121" s="39">
        <f t="shared" si="3"/>
        <v>890</v>
      </c>
      <c r="O121" s="39">
        <f t="shared" si="4"/>
        <v>540</v>
      </c>
      <c r="P121" s="24" t="s">
        <v>2051</v>
      </c>
      <c r="Q121" s="15" t="s">
        <v>2828</v>
      </c>
      <c r="R121" s="1" t="s">
        <v>2013</v>
      </c>
      <c r="S121" s="15" t="s">
        <v>2082</v>
      </c>
      <c r="T121" s="15" t="s">
        <v>2442</v>
      </c>
      <c r="U121" s="25" t="s">
        <v>2090</v>
      </c>
      <c r="V121" s="25" t="s">
        <v>2435</v>
      </c>
      <c r="W121" s="80">
        <v>44977</v>
      </c>
      <c r="X121" s="21" t="s">
        <v>2817</v>
      </c>
    </row>
    <row r="122" spans="1:24" x14ac:dyDescent="0.2">
      <c r="A122" s="1">
        <v>121</v>
      </c>
      <c r="B122" s="1" t="s">
        <v>5</v>
      </c>
      <c r="C122" s="1" t="s">
        <v>2781</v>
      </c>
      <c r="D122" s="1" t="s">
        <v>869</v>
      </c>
      <c r="E122" s="15" t="s">
        <v>818</v>
      </c>
      <c r="F122" s="66" t="s">
        <v>926</v>
      </c>
      <c r="G122" s="24" t="s">
        <v>2793</v>
      </c>
      <c r="H122" s="15" t="s">
        <v>2788</v>
      </c>
      <c r="I122" s="24">
        <v>64</v>
      </c>
      <c r="J122" s="16" t="str">
        <f t="shared" si="5"/>
        <v>Old</v>
      </c>
      <c r="K122" s="25">
        <v>5</v>
      </c>
      <c r="L122" s="42">
        <v>1040</v>
      </c>
      <c r="M122" s="15">
        <v>400</v>
      </c>
      <c r="N122" s="39">
        <f t="shared" si="3"/>
        <v>5200</v>
      </c>
      <c r="O122" s="39">
        <f t="shared" si="4"/>
        <v>3200</v>
      </c>
      <c r="P122" s="24" t="s">
        <v>2015</v>
      </c>
      <c r="Q122" s="24" t="s">
        <v>2014</v>
      </c>
      <c r="R122" s="1" t="s">
        <v>2013</v>
      </c>
      <c r="S122" s="15" t="s">
        <v>2082</v>
      </c>
      <c r="T122" s="15" t="s">
        <v>2442</v>
      </c>
      <c r="U122" s="25" t="s">
        <v>2085</v>
      </c>
      <c r="V122" s="25" t="s">
        <v>2436</v>
      </c>
      <c r="W122" s="80">
        <v>45103</v>
      </c>
      <c r="X122" s="21" t="s">
        <v>2814</v>
      </c>
    </row>
    <row r="123" spans="1:24" x14ac:dyDescent="0.2">
      <c r="A123" s="3">
        <v>122</v>
      </c>
      <c r="B123" s="3" t="s">
        <v>7</v>
      </c>
      <c r="C123" s="1" t="s">
        <v>2781</v>
      </c>
      <c r="D123" s="1" t="s">
        <v>869</v>
      </c>
      <c r="E123" s="29" t="s">
        <v>818</v>
      </c>
      <c r="F123" s="66" t="s">
        <v>927</v>
      </c>
      <c r="G123" s="24" t="s">
        <v>2791</v>
      </c>
      <c r="H123" s="15" t="s">
        <v>2789</v>
      </c>
      <c r="I123" s="24">
        <v>23</v>
      </c>
      <c r="J123" s="16" t="str">
        <f t="shared" si="5"/>
        <v>Young</v>
      </c>
      <c r="K123" s="25">
        <v>3</v>
      </c>
      <c r="L123" s="43">
        <v>990</v>
      </c>
      <c r="M123" s="29">
        <v>500</v>
      </c>
      <c r="N123" s="39">
        <f t="shared" si="3"/>
        <v>2970</v>
      </c>
      <c r="O123" s="39">
        <f t="shared" si="4"/>
        <v>1470</v>
      </c>
      <c r="P123" s="24" t="s">
        <v>2035</v>
      </c>
      <c r="Q123" s="24" t="s">
        <v>2020</v>
      </c>
      <c r="R123" s="1" t="s">
        <v>2013</v>
      </c>
      <c r="S123" s="15" t="s">
        <v>2082</v>
      </c>
      <c r="T123" s="15" t="s">
        <v>2442</v>
      </c>
      <c r="U123" s="25" t="s">
        <v>2090</v>
      </c>
      <c r="V123" s="25" t="s">
        <v>2434</v>
      </c>
      <c r="W123" s="80">
        <v>45046</v>
      </c>
      <c r="X123" s="21" t="s">
        <v>2815</v>
      </c>
    </row>
    <row r="124" spans="1:24" x14ac:dyDescent="0.2">
      <c r="A124" s="3">
        <v>123</v>
      </c>
      <c r="B124" s="3" t="s">
        <v>13</v>
      </c>
      <c r="C124" s="1" t="s">
        <v>2781</v>
      </c>
      <c r="D124" s="1" t="s">
        <v>869</v>
      </c>
      <c r="E124" s="29" t="s">
        <v>817</v>
      </c>
      <c r="F124" s="66" t="s">
        <v>877</v>
      </c>
      <c r="G124" s="24" t="s">
        <v>2795</v>
      </c>
      <c r="H124" s="15" t="s">
        <v>2789</v>
      </c>
      <c r="I124" s="24">
        <v>19</v>
      </c>
      <c r="J124" s="16" t="str">
        <f t="shared" si="5"/>
        <v>Young</v>
      </c>
      <c r="K124" s="25">
        <v>2</v>
      </c>
      <c r="L124" s="43">
        <v>790</v>
      </c>
      <c r="M124" s="29">
        <v>320</v>
      </c>
      <c r="N124" s="39">
        <f t="shared" si="3"/>
        <v>1580</v>
      </c>
      <c r="O124" s="39">
        <f t="shared" si="4"/>
        <v>940</v>
      </c>
      <c r="P124" s="24" t="s">
        <v>2053</v>
      </c>
      <c r="Q124" s="24" t="s">
        <v>2014</v>
      </c>
      <c r="R124" s="1" t="s">
        <v>2013</v>
      </c>
      <c r="S124" s="15" t="s">
        <v>2082</v>
      </c>
      <c r="T124" s="15" t="s">
        <v>2442</v>
      </c>
      <c r="U124" s="25" t="s">
        <v>2090</v>
      </c>
      <c r="V124" s="25" t="s">
        <v>2437</v>
      </c>
      <c r="W124" s="80">
        <v>44982</v>
      </c>
      <c r="X124" s="21" t="s">
        <v>2817</v>
      </c>
    </row>
    <row r="125" spans="1:24" x14ac:dyDescent="0.2">
      <c r="A125" s="3">
        <v>124</v>
      </c>
      <c r="B125" s="3" t="s">
        <v>7</v>
      </c>
      <c r="C125" s="1" t="s">
        <v>2781</v>
      </c>
      <c r="D125" s="1" t="s">
        <v>869</v>
      </c>
      <c r="E125" s="29" t="s">
        <v>824</v>
      </c>
      <c r="F125" s="66" t="s">
        <v>878</v>
      </c>
      <c r="G125" s="24" t="s">
        <v>2797</v>
      </c>
      <c r="H125" s="15" t="s">
        <v>2789</v>
      </c>
      <c r="I125" s="24">
        <v>21</v>
      </c>
      <c r="J125" s="16" t="str">
        <f t="shared" si="5"/>
        <v>Young</v>
      </c>
      <c r="K125" s="25">
        <v>4</v>
      </c>
      <c r="L125" s="43">
        <v>990</v>
      </c>
      <c r="M125" s="29">
        <v>500</v>
      </c>
      <c r="N125" s="39">
        <f t="shared" si="3"/>
        <v>3960</v>
      </c>
      <c r="O125" s="39">
        <f t="shared" si="4"/>
        <v>1960</v>
      </c>
      <c r="P125" s="24" t="s">
        <v>2047</v>
      </c>
      <c r="Q125" s="24" t="s">
        <v>2024</v>
      </c>
      <c r="R125" s="1" t="s">
        <v>2013</v>
      </c>
      <c r="S125" s="15" t="s">
        <v>2082</v>
      </c>
      <c r="T125" s="15" t="s">
        <v>2442</v>
      </c>
      <c r="U125" s="25" t="s">
        <v>2086</v>
      </c>
      <c r="V125" s="25" t="s">
        <v>2435</v>
      </c>
      <c r="W125" s="80">
        <v>45265</v>
      </c>
      <c r="X125" s="21" t="s">
        <v>2822</v>
      </c>
    </row>
    <row r="126" spans="1:24" x14ac:dyDescent="0.2">
      <c r="A126" s="3">
        <v>125</v>
      </c>
      <c r="B126" s="3" t="s">
        <v>13</v>
      </c>
      <c r="C126" s="1" t="s">
        <v>2781</v>
      </c>
      <c r="D126" s="1" t="s">
        <v>869</v>
      </c>
      <c r="E126" s="29" t="s">
        <v>824</v>
      </c>
      <c r="F126" s="66" t="s">
        <v>879</v>
      </c>
      <c r="G126" s="24" t="s">
        <v>2799</v>
      </c>
      <c r="H126" s="15" t="s">
        <v>2788</v>
      </c>
      <c r="I126" s="24">
        <v>56</v>
      </c>
      <c r="J126" s="16" t="str">
        <f t="shared" si="5"/>
        <v>Old</v>
      </c>
      <c r="K126" s="25">
        <v>1</v>
      </c>
      <c r="L126" s="43">
        <v>790</v>
      </c>
      <c r="M126" s="29">
        <v>380</v>
      </c>
      <c r="N126" s="39">
        <f t="shared" si="3"/>
        <v>790</v>
      </c>
      <c r="O126" s="39">
        <f t="shared" si="4"/>
        <v>410</v>
      </c>
      <c r="P126" s="24" t="s">
        <v>2018</v>
      </c>
      <c r="Q126" s="15" t="s">
        <v>2828</v>
      </c>
      <c r="R126" s="1" t="s">
        <v>2013</v>
      </c>
      <c r="S126" s="15" t="s">
        <v>2082</v>
      </c>
      <c r="T126" s="15" t="s">
        <v>2442</v>
      </c>
      <c r="U126" s="25" t="s">
        <v>2088</v>
      </c>
      <c r="V126" s="25" t="s">
        <v>2434</v>
      </c>
      <c r="W126" s="80">
        <v>45013</v>
      </c>
      <c r="X126" s="21" t="s">
        <v>2816</v>
      </c>
    </row>
    <row r="127" spans="1:24" x14ac:dyDescent="0.2">
      <c r="A127" s="3">
        <v>126</v>
      </c>
      <c r="B127" s="3" t="s">
        <v>6</v>
      </c>
      <c r="C127" s="1" t="s">
        <v>2781</v>
      </c>
      <c r="D127" s="1" t="s">
        <v>869</v>
      </c>
      <c r="E127" s="29" t="s">
        <v>828</v>
      </c>
      <c r="F127" s="66" t="s">
        <v>880</v>
      </c>
      <c r="G127" s="24" t="s">
        <v>2801</v>
      </c>
      <c r="H127" s="15" t="s">
        <v>2789</v>
      </c>
      <c r="I127" s="24">
        <v>34</v>
      </c>
      <c r="J127" s="16" t="str">
        <f t="shared" si="5"/>
        <v>Young</v>
      </c>
      <c r="K127" s="25">
        <v>5</v>
      </c>
      <c r="L127" s="43">
        <v>1275</v>
      </c>
      <c r="M127" s="29">
        <v>700</v>
      </c>
      <c r="N127" s="39">
        <f t="shared" si="3"/>
        <v>6375</v>
      </c>
      <c r="O127" s="39">
        <f t="shared" si="4"/>
        <v>2875</v>
      </c>
      <c r="P127" s="24" t="s">
        <v>2050</v>
      </c>
      <c r="Q127" s="24" t="s">
        <v>2024</v>
      </c>
      <c r="R127" s="1" t="s">
        <v>2013</v>
      </c>
      <c r="S127" s="15" t="s">
        <v>2082</v>
      </c>
      <c r="T127" s="15" t="s">
        <v>2442</v>
      </c>
      <c r="U127" s="25" t="s">
        <v>2086</v>
      </c>
      <c r="V127" s="25" t="s">
        <v>2436</v>
      </c>
      <c r="W127" s="80">
        <v>45265</v>
      </c>
      <c r="X127" s="21" t="s">
        <v>2822</v>
      </c>
    </row>
    <row r="128" spans="1:24" x14ac:dyDescent="0.2">
      <c r="A128" s="3">
        <v>127</v>
      </c>
      <c r="B128" s="3" t="s">
        <v>3</v>
      </c>
      <c r="C128" s="1" t="s">
        <v>2781</v>
      </c>
      <c r="D128" s="1" t="s">
        <v>869</v>
      </c>
      <c r="E128" s="29" t="s">
        <v>824</v>
      </c>
      <c r="F128" s="66" t="s">
        <v>881</v>
      </c>
      <c r="G128" s="24" t="s">
        <v>2803</v>
      </c>
      <c r="H128" s="15" t="s">
        <v>2789</v>
      </c>
      <c r="I128" s="24">
        <v>64</v>
      </c>
      <c r="J128" s="16" t="str">
        <f t="shared" si="5"/>
        <v>Old</v>
      </c>
      <c r="K128" s="25">
        <v>2</v>
      </c>
      <c r="L128" s="43">
        <v>711</v>
      </c>
      <c r="M128" s="29">
        <v>400</v>
      </c>
      <c r="N128" s="39">
        <f t="shared" si="3"/>
        <v>1422</v>
      </c>
      <c r="O128" s="39">
        <f t="shared" si="4"/>
        <v>622</v>
      </c>
      <c r="P128" s="24" t="s">
        <v>2021</v>
      </c>
      <c r="Q128" s="24" t="s">
        <v>2020</v>
      </c>
      <c r="R128" s="1" t="s">
        <v>2013</v>
      </c>
      <c r="S128" s="15" t="s">
        <v>2082</v>
      </c>
      <c r="T128" s="15" t="s">
        <v>2442</v>
      </c>
      <c r="U128" s="25" t="s">
        <v>2084</v>
      </c>
      <c r="V128" s="25" t="s">
        <v>2437</v>
      </c>
      <c r="W128" s="80">
        <v>45109</v>
      </c>
      <c r="X128" s="21" t="s">
        <v>2813</v>
      </c>
    </row>
    <row r="129" spans="1:24" x14ac:dyDescent="0.2">
      <c r="A129" s="3">
        <v>128</v>
      </c>
      <c r="B129" s="3" t="s">
        <v>16</v>
      </c>
      <c r="C129" s="1" t="s">
        <v>2781</v>
      </c>
      <c r="D129" s="1" t="s">
        <v>869</v>
      </c>
      <c r="E129" s="29" t="s">
        <v>824</v>
      </c>
      <c r="F129" s="66" t="s">
        <v>882</v>
      </c>
      <c r="G129" s="24" t="s">
        <v>2805</v>
      </c>
      <c r="H129" s="15" t="s">
        <v>2788</v>
      </c>
      <c r="I129" s="24">
        <v>78</v>
      </c>
      <c r="J129" s="16" t="str">
        <f t="shared" si="5"/>
        <v>Old</v>
      </c>
      <c r="K129" s="25">
        <v>3</v>
      </c>
      <c r="L129" s="43">
        <v>890</v>
      </c>
      <c r="M129" s="29">
        <v>623</v>
      </c>
      <c r="N129" s="39">
        <f t="shared" si="3"/>
        <v>2670</v>
      </c>
      <c r="O129" s="39">
        <f t="shared" si="4"/>
        <v>801</v>
      </c>
      <c r="P129" s="24" t="s">
        <v>2025</v>
      </c>
      <c r="Q129" s="24" t="s">
        <v>2024</v>
      </c>
      <c r="R129" s="1" t="s">
        <v>2013</v>
      </c>
      <c r="S129" s="15" t="s">
        <v>2082</v>
      </c>
      <c r="T129" s="15" t="s">
        <v>2442</v>
      </c>
      <c r="U129" s="25" t="s">
        <v>2086</v>
      </c>
      <c r="V129" s="25" t="s">
        <v>2435</v>
      </c>
      <c r="W129" s="80">
        <v>44951</v>
      </c>
      <c r="X129" s="21" t="s">
        <v>2818</v>
      </c>
    </row>
    <row r="130" spans="1:24" x14ac:dyDescent="0.2">
      <c r="A130" s="1">
        <v>129</v>
      </c>
      <c r="B130" s="1" t="s">
        <v>7</v>
      </c>
      <c r="C130" s="1" t="s">
        <v>2781</v>
      </c>
      <c r="D130" s="1" t="s">
        <v>869</v>
      </c>
      <c r="E130" s="15" t="s">
        <v>822</v>
      </c>
      <c r="F130" s="66" t="s">
        <v>881</v>
      </c>
      <c r="G130" s="24" t="s">
        <v>2807</v>
      </c>
      <c r="H130" s="15" t="s">
        <v>2789</v>
      </c>
      <c r="I130" s="24">
        <v>54</v>
      </c>
      <c r="J130" s="16" t="str">
        <f t="shared" si="5"/>
        <v>Old</v>
      </c>
      <c r="K130" s="25">
        <v>4</v>
      </c>
      <c r="L130" s="42">
        <v>990</v>
      </c>
      <c r="M130" s="15">
        <v>400</v>
      </c>
      <c r="N130" s="39">
        <f t="shared" ref="N130:N193" si="6">L130*K130</f>
        <v>3960</v>
      </c>
      <c r="O130" s="39">
        <f t="shared" ref="O130:O193" si="7">N130-(M130*K130)</f>
        <v>2360</v>
      </c>
      <c r="P130" s="24" t="s">
        <v>2030</v>
      </c>
      <c r="Q130" s="24" t="s">
        <v>2024</v>
      </c>
      <c r="R130" s="1" t="s">
        <v>2013</v>
      </c>
      <c r="S130" s="15" t="s">
        <v>2082</v>
      </c>
      <c r="T130" s="15" t="s">
        <v>2442</v>
      </c>
      <c r="U130" s="25" t="s">
        <v>2085</v>
      </c>
      <c r="V130" s="25" t="s">
        <v>2436</v>
      </c>
      <c r="W130" s="80">
        <v>45120</v>
      </c>
      <c r="X130" s="21" t="s">
        <v>2813</v>
      </c>
    </row>
    <row r="131" spans="1:24" x14ac:dyDescent="0.2">
      <c r="A131" s="1">
        <v>130</v>
      </c>
      <c r="B131" s="1" t="s">
        <v>8</v>
      </c>
      <c r="C131" s="1" t="s">
        <v>2781</v>
      </c>
      <c r="D131" s="1" t="s">
        <v>869</v>
      </c>
      <c r="E131" s="15" t="s">
        <v>818</v>
      </c>
      <c r="F131" s="66" t="s">
        <v>883</v>
      </c>
      <c r="G131" s="24" t="s">
        <v>2809</v>
      </c>
      <c r="H131" s="15" t="s">
        <v>2788</v>
      </c>
      <c r="I131" s="24">
        <v>32</v>
      </c>
      <c r="J131" s="16" t="str">
        <f t="shared" ref="J131:J194" si="8">IF(I131&lt;=35,"Young",IF(I131&lt;=49,"Middle Age",IF(I131&gt;=50,"Old")))</f>
        <v>Young</v>
      </c>
      <c r="K131" s="25">
        <v>1</v>
      </c>
      <c r="L131" s="42">
        <v>690</v>
      </c>
      <c r="M131" s="15">
        <v>520</v>
      </c>
      <c r="N131" s="39">
        <f t="shared" si="6"/>
        <v>690</v>
      </c>
      <c r="O131" s="39">
        <f t="shared" si="7"/>
        <v>170</v>
      </c>
      <c r="P131" s="24" t="s">
        <v>2062</v>
      </c>
      <c r="Q131" s="15" t="s">
        <v>2828</v>
      </c>
      <c r="R131" s="1" t="s">
        <v>2013</v>
      </c>
      <c r="S131" s="15" t="s">
        <v>2082</v>
      </c>
      <c r="T131" s="15" t="s">
        <v>2442</v>
      </c>
      <c r="U131" s="25" t="s">
        <v>2087</v>
      </c>
      <c r="V131" s="25" t="s">
        <v>2434</v>
      </c>
      <c r="W131" s="80">
        <v>45247</v>
      </c>
      <c r="X131" s="21" t="s">
        <v>2823</v>
      </c>
    </row>
    <row r="132" spans="1:24" x14ac:dyDescent="0.2">
      <c r="A132" s="1">
        <v>131</v>
      </c>
      <c r="B132" s="1" t="s">
        <v>13</v>
      </c>
      <c r="C132" s="1" t="s">
        <v>2781</v>
      </c>
      <c r="D132" s="1" t="s">
        <v>869</v>
      </c>
      <c r="E132" s="15" t="s">
        <v>824</v>
      </c>
      <c r="F132" s="66" t="s">
        <v>884</v>
      </c>
      <c r="G132" s="24" t="s">
        <v>2794</v>
      </c>
      <c r="H132" s="15" t="s">
        <v>2788</v>
      </c>
      <c r="I132" s="16">
        <v>55</v>
      </c>
      <c r="J132" s="16" t="str">
        <f t="shared" si="8"/>
        <v>Old</v>
      </c>
      <c r="K132" s="25">
        <v>5</v>
      </c>
      <c r="L132" s="42">
        <v>790</v>
      </c>
      <c r="M132" s="15">
        <v>380</v>
      </c>
      <c r="N132" s="39">
        <f t="shared" si="6"/>
        <v>3950</v>
      </c>
      <c r="O132" s="39">
        <f t="shared" si="7"/>
        <v>2050</v>
      </c>
      <c r="P132" s="24" t="s">
        <v>2047</v>
      </c>
      <c r="Q132" s="24" t="s">
        <v>2024</v>
      </c>
      <c r="R132" s="1" t="s">
        <v>2013</v>
      </c>
      <c r="S132" s="15" t="s">
        <v>2082</v>
      </c>
      <c r="T132" s="15" t="s">
        <v>2442</v>
      </c>
      <c r="U132" s="25" t="s">
        <v>2086</v>
      </c>
      <c r="V132" s="25" t="s">
        <v>2437</v>
      </c>
      <c r="W132" s="80">
        <v>45144</v>
      </c>
      <c r="X132" s="21" t="s">
        <v>2819</v>
      </c>
    </row>
    <row r="133" spans="1:24" x14ac:dyDescent="0.2">
      <c r="A133" s="1">
        <v>132</v>
      </c>
      <c r="B133" s="1" t="s">
        <v>12</v>
      </c>
      <c r="C133" s="1" t="s">
        <v>2781</v>
      </c>
      <c r="D133" s="1" t="s">
        <v>869</v>
      </c>
      <c r="E133" s="15" t="s">
        <v>822</v>
      </c>
      <c r="F133" s="66" t="s">
        <v>928</v>
      </c>
      <c r="G133" s="24" t="s">
        <v>2792</v>
      </c>
      <c r="H133" s="15" t="s">
        <v>2789</v>
      </c>
      <c r="I133" s="16">
        <v>36</v>
      </c>
      <c r="J133" s="16" t="str">
        <f t="shared" si="8"/>
        <v>Middle Age</v>
      </c>
      <c r="K133" s="25">
        <v>3</v>
      </c>
      <c r="L133" s="42">
        <v>1595</v>
      </c>
      <c r="M133" s="15">
        <v>1000</v>
      </c>
      <c r="N133" s="39">
        <f t="shared" si="6"/>
        <v>4785</v>
      </c>
      <c r="O133" s="39">
        <f t="shared" si="7"/>
        <v>1785</v>
      </c>
      <c r="P133" s="24" t="s">
        <v>2058</v>
      </c>
      <c r="Q133" s="24" t="s">
        <v>2020</v>
      </c>
      <c r="R133" s="1" t="s">
        <v>2013</v>
      </c>
      <c r="S133" s="15" t="s">
        <v>2082</v>
      </c>
      <c r="T133" s="15" t="s">
        <v>2442</v>
      </c>
      <c r="U133" s="25" t="s">
        <v>2084</v>
      </c>
      <c r="V133" s="25" t="s">
        <v>2435</v>
      </c>
      <c r="W133" s="80">
        <v>45022</v>
      </c>
      <c r="X133" s="21" t="s">
        <v>2815</v>
      </c>
    </row>
    <row r="134" spans="1:24" x14ac:dyDescent="0.2">
      <c r="A134" s="1">
        <v>133</v>
      </c>
      <c r="B134" s="1" t="s">
        <v>5</v>
      </c>
      <c r="C134" s="1" t="s">
        <v>2781</v>
      </c>
      <c r="D134" s="1" t="s">
        <v>869</v>
      </c>
      <c r="E134" s="15" t="s">
        <v>828</v>
      </c>
      <c r="F134" s="66" t="s">
        <v>929</v>
      </c>
      <c r="G134" s="24" t="s">
        <v>2796</v>
      </c>
      <c r="H134" s="15" t="s">
        <v>2789</v>
      </c>
      <c r="I134" s="16">
        <v>28</v>
      </c>
      <c r="J134" s="16" t="str">
        <f t="shared" si="8"/>
        <v>Young</v>
      </c>
      <c r="K134" s="25">
        <v>2</v>
      </c>
      <c r="L134" s="42">
        <v>890</v>
      </c>
      <c r="M134" s="15">
        <v>350</v>
      </c>
      <c r="N134" s="39">
        <f t="shared" si="6"/>
        <v>1780</v>
      </c>
      <c r="O134" s="39">
        <f t="shared" si="7"/>
        <v>1080</v>
      </c>
      <c r="P134" s="24" t="s">
        <v>2040</v>
      </c>
      <c r="Q134" s="15" t="s">
        <v>2014</v>
      </c>
      <c r="R134" s="1" t="s">
        <v>2013</v>
      </c>
      <c r="S134" s="15" t="s">
        <v>2082</v>
      </c>
      <c r="T134" s="15" t="s">
        <v>2442</v>
      </c>
      <c r="U134" s="25" t="s">
        <v>2084</v>
      </c>
      <c r="V134" s="25" t="s">
        <v>2434</v>
      </c>
      <c r="W134" s="80">
        <v>45202</v>
      </c>
      <c r="X134" s="21" t="s">
        <v>2821</v>
      </c>
    </row>
    <row r="135" spans="1:24" x14ac:dyDescent="0.2">
      <c r="A135" s="1">
        <v>134</v>
      </c>
      <c r="B135" s="1" t="s">
        <v>7</v>
      </c>
      <c r="C135" s="1" t="s">
        <v>2781</v>
      </c>
      <c r="D135" s="1" t="s">
        <v>869</v>
      </c>
      <c r="E135" s="15" t="s">
        <v>824</v>
      </c>
      <c r="F135" s="66" t="s">
        <v>882</v>
      </c>
      <c r="G135" s="24" t="s">
        <v>2798</v>
      </c>
      <c r="H135" s="15" t="s">
        <v>2788</v>
      </c>
      <c r="I135" s="16">
        <v>50</v>
      </c>
      <c r="J135" s="16" t="str">
        <f t="shared" si="8"/>
        <v>Old</v>
      </c>
      <c r="K135" s="25">
        <v>4</v>
      </c>
      <c r="L135" s="42">
        <v>990</v>
      </c>
      <c r="M135" s="15">
        <v>450</v>
      </c>
      <c r="N135" s="39">
        <f t="shared" si="6"/>
        <v>3960</v>
      </c>
      <c r="O135" s="39">
        <f t="shared" si="7"/>
        <v>2160</v>
      </c>
      <c r="P135" s="24" t="s">
        <v>2033</v>
      </c>
      <c r="Q135" s="24" t="s">
        <v>2016</v>
      </c>
      <c r="R135" s="1" t="s">
        <v>2013</v>
      </c>
      <c r="S135" s="15" t="s">
        <v>2082</v>
      </c>
      <c r="T135" s="15" t="s">
        <v>2442</v>
      </c>
      <c r="U135" s="25" t="s">
        <v>2086</v>
      </c>
      <c r="V135" s="25" t="s">
        <v>2436</v>
      </c>
      <c r="W135" s="80">
        <v>45226</v>
      </c>
      <c r="X135" s="21" t="s">
        <v>2821</v>
      </c>
    </row>
    <row r="136" spans="1:24" x14ac:dyDescent="0.2">
      <c r="A136" s="1">
        <v>135</v>
      </c>
      <c r="B136" s="1" t="s">
        <v>7</v>
      </c>
      <c r="C136" s="1" t="s">
        <v>2781</v>
      </c>
      <c r="D136" s="1" t="s">
        <v>869</v>
      </c>
      <c r="E136" s="15" t="s">
        <v>823</v>
      </c>
      <c r="F136" s="66" t="s">
        <v>930</v>
      </c>
      <c r="G136" s="24" t="s">
        <v>2800</v>
      </c>
      <c r="H136" s="15" t="s">
        <v>2788</v>
      </c>
      <c r="I136" s="16">
        <v>39</v>
      </c>
      <c r="J136" s="16" t="str">
        <f t="shared" si="8"/>
        <v>Middle Age</v>
      </c>
      <c r="K136" s="25">
        <v>1</v>
      </c>
      <c r="L136" s="42">
        <v>990</v>
      </c>
      <c r="M136" s="15">
        <v>400</v>
      </c>
      <c r="N136" s="39">
        <f t="shared" si="6"/>
        <v>990</v>
      </c>
      <c r="O136" s="39">
        <f t="shared" si="7"/>
        <v>590</v>
      </c>
      <c r="P136" s="24" t="s">
        <v>2054</v>
      </c>
      <c r="Q136" s="24" t="s">
        <v>2016</v>
      </c>
      <c r="R136" s="1" t="s">
        <v>2013</v>
      </c>
      <c r="S136" s="15" t="s">
        <v>2082</v>
      </c>
      <c r="T136" s="15" t="s">
        <v>2442</v>
      </c>
      <c r="U136" s="25" t="s">
        <v>2089</v>
      </c>
      <c r="V136" s="25" t="s">
        <v>2437</v>
      </c>
      <c r="W136" s="80">
        <v>44930</v>
      </c>
      <c r="X136" s="21" t="s">
        <v>2818</v>
      </c>
    </row>
    <row r="137" spans="1:24" x14ac:dyDescent="0.2">
      <c r="A137" s="3">
        <v>136</v>
      </c>
      <c r="B137" s="3" t="s">
        <v>2</v>
      </c>
      <c r="C137" s="1" t="s">
        <v>2781</v>
      </c>
      <c r="D137" s="1" t="s">
        <v>869</v>
      </c>
      <c r="E137" s="29" t="s">
        <v>824</v>
      </c>
      <c r="F137" s="67" t="s">
        <v>915</v>
      </c>
      <c r="G137" s="24" t="s">
        <v>2802</v>
      </c>
      <c r="H137" s="15" t="s">
        <v>2788</v>
      </c>
      <c r="I137" s="16">
        <v>31</v>
      </c>
      <c r="J137" s="16" t="str">
        <f t="shared" si="8"/>
        <v>Young</v>
      </c>
      <c r="K137" s="25">
        <v>5</v>
      </c>
      <c r="L137" s="43">
        <v>1040</v>
      </c>
      <c r="M137" s="29">
        <v>500</v>
      </c>
      <c r="N137" s="39">
        <f t="shared" si="6"/>
        <v>5200</v>
      </c>
      <c r="O137" s="39">
        <f t="shared" si="7"/>
        <v>2700</v>
      </c>
      <c r="P137" s="24" t="s">
        <v>2040</v>
      </c>
      <c r="Q137" s="15" t="s">
        <v>2014</v>
      </c>
      <c r="R137" s="1" t="s">
        <v>2013</v>
      </c>
      <c r="S137" s="15" t="s">
        <v>2082</v>
      </c>
      <c r="T137" s="15" t="s">
        <v>2442</v>
      </c>
      <c r="U137" s="25" t="s">
        <v>2088</v>
      </c>
      <c r="V137" s="25" t="s">
        <v>2435</v>
      </c>
      <c r="W137" s="80">
        <v>45273</v>
      </c>
      <c r="X137" s="21" t="s">
        <v>2822</v>
      </c>
    </row>
    <row r="138" spans="1:24" x14ac:dyDescent="0.2">
      <c r="A138" s="3">
        <v>137</v>
      </c>
      <c r="B138" s="3" t="s">
        <v>17</v>
      </c>
      <c r="C138" s="1" t="s">
        <v>2781</v>
      </c>
      <c r="D138" s="1" t="s">
        <v>869</v>
      </c>
      <c r="E138" s="29" t="s">
        <v>817</v>
      </c>
      <c r="F138" s="66" t="s">
        <v>920</v>
      </c>
      <c r="G138" s="24" t="s">
        <v>2804</v>
      </c>
      <c r="H138" s="15" t="s">
        <v>2789</v>
      </c>
      <c r="I138" s="16">
        <v>44</v>
      </c>
      <c r="J138" s="16" t="str">
        <f t="shared" si="8"/>
        <v>Middle Age</v>
      </c>
      <c r="K138" s="25">
        <v>2</v>
      </c>
      <c r="L138" s="43">
        <v>6270</v>
      </c>
      <c r="M138" s="29">
        <v>3150</v>
      </c>
      <c r="N138" s="39">
        <f t="shared" si="6"/>
        <v>12540</v>
      </c>
      <c r="O138" s="39">
        <f t="shared" si="7"/>
        <v>6240</v>
      </c>
      <c r="P138" s="24" t="s">
        <v>2036</v>
      </c>
      <c r="Q138" s="24" t="s">
        <v>2014</v>
      </c>
      <c r="R138" s="1" t="s">
        <v>2013</v>
      </c>
      <c r="S138" s="15" t="s">
        <v>2082</v>
      </c>
      <c r="T138" s="15" t="s">
        <v>2442</v>
      </c>
      <c r="U138" s="25" t="s">
        <v>2083</v>
      </c>
      <c r="V138" s="25" t="s">
        <v>2436</v>
      </c>
      <c r="W138" s="80">
        <v>45232</v>
      </c>
      <c r="X138" s="21" t="s">
        <v>2823</v>
      </c>
    </row>
    <row r="139" spans="1:24" x14ac:dyDescent="0.2">
      <c r="A139" s="7">
        <v>138</v>
      </c>
      <c r="B139" s="7" t="s">
        <v>6</v>
      </c>
      <c r="C139" s="1" t="s">
        <v>2781</v>
      </c>
      <c r="D139" s="1" t="s">
        <v>869</v>
      </c>
      <c r="E139" s="31" t="s">
        <v>823</v>
      </c>
      <c r="F139" s="67" t="s">
        <v>921</v>
      </c>
      <c r="G139" s="24" t="s">
        <v>2806</v>
      </c>
      <c r="H139" s="15" t="s">
        <v>2789</v>
      </c>
      <c r="I139" s="16">
        <v>26</v>
      </c>
      <c r="J139" s="16" t="str">
        <f t="shared" si="8"/>
        <v>Young</v>
      </c>
      <c r="K139" s="25">
        <v>3</v>
      </c>
      <c r="L139" s="45">
        <v>1100</v>
      </c>
      <c r="M139" s="31">
        <v>680</v>
      </c>
      <c r="N139" s="39">
        <f t="shared" si="6"/>
        <v>3300</v>
      </c>
      <c r="O139" s="39">
        <f t="shared" si="7"/>
        <v>1260</v>
      </c>
      <c r="P139" s="24" t="s">
        <v>2032</v>
      </c>
      <c r="Q139" s="15" t="s">
        <v>2016</v>
      </c>
      <c r="R139" s="1" t="s">
        <v>2013</v>
      </c>
      <c r="S139" s="15" t="s">
        <v>2082</v>
      </c>
      <c r="T139" s="15" t="s">
        <v>2442</v>
      </c>
      <c r="U139" s="25" t="s">
        <v>2087</v>
      </c>
      <c r="V139" s="25" t="s">
        <v>2434</v>
      </c>
      <c r="W139" s="80">
        <v>45152</v>
      </c>
      <c r="X139" s="21" t="s">
        <v>2819</v>
      </c>
    </row>
    <row r="140" spans="1:24" x14ac:dyDescent="0.2">
      <c r="A140" s="7">
        <v>139</v>
      </c>
      <c r="B140" s="7" t="s">
        <v>12</v>
      </c>
      <c r="C140" s="1" t="s">
        <v>2781</v>
      </c>
      <c r="D140" s="1" t="s">
        <v>869</v>
      </c>
      <c r="E140" s="31" t="s">
        <v>824</v>
      </c>
      <c r="F140" s="67" t="s">
        <v>922</v>
      </c>
      <c r="G140" s="24" t="s">
        <v>2808</v>
      </c>
      <c r="H140" s="15" t="s">
        <v>2788</v>
      </c>
      <c r="I140" s="16">
        <v>48</v>
      </c>
      <c r="J140" s="16" t="str">
        <f t="shared" si="8"/>
        <v>Middle Age</v>
      </c>
      <c r="K140" s="25">
        <v>4</v>
      </c>
      <c r="L140" s="45">
        <v>1200</v>
      </c>
      <c r="M140" s="31">
        <v>580</v>
      </c>
      <c r="N140" s="39">
        <f t="shared" si="6"/>
        <v>4800</v>
      </c>
      <c r="O140" s="39">
        <f t="shared" si="7"/>
        <v>2480</v>
      </c>
      <c r="P140" s="24" t="s">
        <v>2017</v>
      </c>
      <c r="Q140" s="24" t="s">
        <v>2016</v>
      </c>
      <c r="R140" s="1" t="s">
        <v>2013</v>
      </c>
      <c r="S140" s="15" t="s">
        <v>2082</v>
      </c>
      <c r="T140" s="15" t="s">
        <v>2442</v>
      </c>
      <c r="U140" s="25" t="s">
        <v>2083</v>
      </c>
      <c r="V140" s="25" t="s">
        <v>2437</v>
      </c>
      <c r="W140" s="80">
        <v>45084</v>
      </c>
      <c r="X140" s="21" t="s">
        <v>2814</v>
      </c>
    </row>
    <row r="141" spans="1:24" x14ac:dyDescent="0.2">
      <c r="A141" s="1">
        <v>140</v>
      </c>
      <c r="B141" s="1" t="s">
        <v>17</v>
      </c>
      <c r="C141" s="1" t="s">
        <v>2781</v>
      </c>
      <c r="D141" s="1" t="s">
        <v>869</v>
      </c>
      <c r="E141" s="15" t="s">
        <v>822</v>
      </c>
      <c r="F141" s="67" t="s">
        <v>923</v>
      </c>
      <c r="G141" s="24" t="s">
        <v>2810</v>
      </c>
      <c r="H141" s="15" t="s">
        <v>2788</v>
      </c>
      <c r="I141" s="16">
        <v>53</v>
      </c>
      <c r="J141" s="16" t="str">
        <f t="shared" si="8"/>
        <v>Old</v>
      </c>
      <c r="K141" s="25">
        <v>3</v>
      </c>
      <c r="L141" s="42">
        <v>1635</v>
      </c>
      <c r="M141" s="15">
        <v>1000</v>
      </c>
      <c r="N141" s="39">
        <f t="shared" si="6"/>
        <v>4905</v>
      </c>
      <c r="O141" s="39">
        <f t="shared" si="7"/>
        <v>1905</v>
      </c>
      <c r="P141" s="24" t="s">
        <v>2042</v>
      </c>
      <c r="Q141" s="15" t="s">
        <v>2828</v>
      </c>
      <c r="R141" s="1" t="s">
        <v>2013</v>
      </c>
      <c r="S141" s="15" t="s">
        <v>2082</v>
      </c>
      <c r="T141" s="15" t="s">
        <v>2442</v>
      </c>
      <c r="U141" s="25" t="s">
        <v>2084</v>
      </c>
      <c r="V141" s="25" t="s">
        <v>2435</v>
      </c>
      <c r="W141" s="80">
        <v>45205</v>
      </c>
      <c r="X141" s="21" t="s">
        <v>2821</v>
      </c>
    </row>
    <row r="142" spans="1:24" x14ac:dyDescent="0.2">
      <c r="A142" s="1">
        <v>141</v>
      </c>
      <c r="B142" s="1" t="s">
        <v>7</v>
      </c>
      <c r="C142" s="1" t="s">
        <v>2781</v>
      </c>
      <c r="D142" s="1" t="s">
        <v>869</v>
      </c>
      <c r="E142" s="15" t="s">
        <v>826</v>
      </c>
      <c r="F142" s="67" t="s">
        <v>924</v>
      </c>
      <c r="G142" s="24" t="s">
        <v>2793</v>
      </c>
      <c r="H142" s="15" t="s">
        <v>2789</v>
      </c>
      <c r="I142" s="16">
        <v>30</v>
      </c>
      <c r="J142" s="16" t="str">
        <f t="shared" si="8"/>
        <v>Young</v>
      </c>
      <c r="K142" s="25">
        <v>1</v>
      </c>
      <c r="L142" s="42">
        <v>990</v>
      </c>
      <c r="M142" s="15">
        <v>450</v>
      </c>
      <c r="N142" s="39">
        <f t="shared" si="6"/>
        <v>990</v>
      </c>
      <c r="O142" s="39">
        <f t="shared" si="7"/>
        <v>540</v>
      </c>
      <c r="P142" s="24" t="s">
        <v>2055</v>
      </c>
      <c r="Q142" s="24" t="s">
        <v>2014</v>
      </c>
      <c r="R142" s="1" t="s">
        <v>2013</v>
      </c>
      <c r="S142" s="15" t="s">
        <v>2082</v>
      </c>
      <c r="T142" s="15" t="s">
        <v>2442</v>
      </c>
      <c r="U142" s="25" t="s">
        <v>2086</v>
      </c>
      <c r="V142" s="25" t="s">
        <v>2434</v>
      </c>
      <c r="W142" s="80">
        <v>45090</v>
      </c>
      <c r="X142" s="21" t="s">
        <v>2814</v>
      </c>
    </row>
    <row r="143" spans="1:24" x14ac:dyDescent="0.2">
      <c r="A143" s="1">
        <v>142</v>
      </c>
      <c r="B143" s="1" t="s">
        <v>2</v>
      </c>
      <c r="C143" s="1" t="s">
        <v>2781</v>
      </c>
      <c r="D143" s="1" t="s">
        <v>869</v>
      </c>
      <c r="E143" s="15" t="s">
        <v>818</v>
      </c>
      <c r="F143" s="67" t="s">
        <v>925</v>
      </c>
      <c r="G143" s="24" t="s">
        <v>2791</v>
      </c>
      <c r="H143" s="15" t="s">
        <v>2788</v>
      </c>
      <c r="I143" s="16">
        <v>37</v>
      </c>
      <c r="J143" s="16" t="str">
        <f t="shared" si="8"/>
        <v>Middle Age</v>
      </c>
      <c r="K143" s="25">
        <v>4</v>
      </c>
      <c r="L143" s="42">
        <v>1040</v>
      </c>
      <c r="M143" s="15">
        <v>500</v>
      </c>
      <c r="N143" s="39">
        <f t="shared" si="6"/>
        <v>4160</v>
      </c>
      <c r="O143" s="39">
        <f t="shared" si="7"/>
        <v>2160</v>
      </c>
      <c r="P143" s="24" t="s">
        <v>2047</v>
      </c>
      <c r="Q143" s="24" t="s">
        <v>2024</v>
      </c>
      <c r="R143" s="1" t="s">
        <v>2013</v>
      </c>
      <c r="S143" s="15" t="s">
        <v>2082</v>
      </c>
      <c r="T143" s="15" t="s">
        <v>2442</v>
      </c>
      <c r="U143" s="25" t="s">
        <v>2086</v>
      </c>
      <c r="V143" s="25" t="s">
        <v>2436</v>
      </c>
      <c r="W143" s="80">
        <v>45161</v>
      </c>
      <c r="X143" s="21" t="s">
        <v>2819</v>
      </c>
    </row>
    <row r="144" spans="1:24" x14ac:dyDescent="0.2">
      <c r="A144" s="1">
        <v>143</v>
      </c>
      <c r="B144" s="1" t="s">
        <v>7</v>
      </c>
      <c r="C144" s="1" t="s">
        <v>2781</v>
      </c>
      <c r="D144" s="1" t="s">
        <v>869</v>
      </c>
      <c r="E144" s="15" t="s">
        <v>818</v>
      </c>
      <c r="F144" s="69" t="s">
        <v>904</v>
      </c>
      <c r="G144" s="24" t="s">
        <v>2795</v>
      </c>
      <c r="H144" s="15" t="s">
        <v>2788</v>
      </c>
      <c r="I144" s="16">
        <v>42</v>
      </c>
      <c r="J144" s="16" t="str">
        <f t="shared" si="8"/>
        <v>Middle Age</v>
      </c>
      <c r="K144" s="25">
        <v>5</v>
      </c>
      <c r="L144" s="42">
        <v>1840</v>
      </c>
      <c r="M144" s="15">
        <v>900</v>
      </c>
      <c r="N144" s="39">
        <f t="shared" si="6"/>
        <v>9200</v>
      </c>
      <c r="O144" s="39">
        <f t="shared" si="7"/>
        <v>4700</v>
      </c>
      <c r="P144" s="24" t="s">
        <v>2025</v>
      </c>
      <c r="Q144" s="24" t="s">
        <v>2024</v>
      </c>
      <c r="R144" s="1" t="s">
        <v>2013</v>
      </c>
      <c r="S144" s="15" t="s">
        <v>2082</v>
      </c>
      <c r="T144" s="15" t="s">
        <v>2442</v>
      </c>
      <c r="U144" s="25" t="s">
        <v>2086</v>
      </c>
      <c r="V144" s="25" t="s">
        <v>2437</v>
      </c>
      <c r="W144" s="80">
        <v>44968</v>
      </c>
      <c r="X144" s="21" t="s">
        <v>2817</v>
      </c>
    </row>
    <row r="145" spans="1:24" x14ac:dyDescent="0.2">
      <c r="A145" s="1">
        <v>144</v>
      </c>
      <c r="B145" s="1" t="s">
        <v>13</v>
      </c>
      <c r="C145" s="1" t="s">
        <v>2781</v>
      </c>
      <c r="D145" s="1" t="s">
        <v>869</v>
      </c>
      <c r="E145" s="15" t="s">
        <v>821</v>
      </c>
      <c r="F145" s="66" t="s">
        <v>926</v>
      </c>
      <c r="G145" s="24" t="s">
        <v>2797</v>
      </c>
      <c r="H145" s="15" t="s">
        <v>2788</v>
      </c>
      <c r="I145" s="16">
        <v>24</v>
      </c>
      <c r="J145" s="16" t="str">
        <f t="shared" si="8"/>
        <v>Young</v>
      </c>
      <c r="K145" s="25">
        <v>3</v>
      </c>
      <c r="L145" s="42">
        <v>940</v>
      </c>
      <c r="M145" s="15">
        <v>420</v>
      </c>
      <c r="N145" s="39">
        <f t="shared" si="6"/>
        <v>2820</v>
      </c>
      <c r="O145" s="39">
        <f t="shared" si="7"/>
        <v>1560</v>
      </c>
      <c r="P145" s="24" t="s">
        <v>2050</v>
      </c>
      <c r="Q145" s="24" t="s">
        <v>2024</v>
      </c>
      <c r="R145" s="1" t="s">
        <v>2013</v>
      </c>
      <c r="S145" s="15" t="s">
        <v>2082</v>
      </c>
      <c r="T145" s="15" t="s">
        <v>2442</v>
      </c>
      <c r="U145" s="25" t="s">
        <v>2088</v>
      </c>
      <c r="V145" s="25" t="s">
        <v>2435</v>
      </c>
      <c r="W145" s="80">
        <v>45069</v>
      </c>
      <c r="X145" s="21" t="s">
        <v>2786</v>
      </c>
    </row>
    <row r="146" spans="1:24" x14ac:dyDescent="0.2">
      <c r="A146" s="1">
        <v>145</v>
      </c>
      <c r="B146" s="3" t="s">
        <v>13</v>
      </c>
      <c r="C146" s="1" t="s">
        <v>2781</v>
      </c>
      <c r="D146" s="1" t="s">
        <v>869</v>
      </c>
      <c r="E146" s="15" t="s">
        <v>828</v>
      </c>
      <c r="F146" s="66" t="s">
        <v>927</v>
      </c>
      <c r="G146" s="24" t="s">
        <v>2799</v>
      </c>
      <c r="H146" s="15" t="s">
        <v>2789</v>
      </c>
      <c r="I146" s="16">
        <v>57</v>
      </c>
      <c r="J146" s="16" t="str">
        <f t="shared" si="8"/>
        <v>Old</v>
      </c>
      <c r="K146" s="25">
        <v>2</v>
      </c>
      <c r="L146" s="42">
        <v>940</v>
      </c>
      <c r="M146" s="15">
        <v>350</v>
      </c>
      <c r="N146" s="39">
        <f t="shared" si="6"/>
        <v>1880</v>
      </c>
      <c r="O146" s="39">
        <f t="shared" si="7"/>
        <v>1180</v>
      </c>
      <c r="P146" s="24" t="s">
        <v>2051</v>
      </c>
      <c r="Q146" s="15" t="s">
        <v>2828</v>
      </c>
      <c r="R146" s="1" t="s">
        <v>2013</v>
      </c>
      <c r="S146" s="15" t="s">
        <v>2082</v>
      </c>
      <c r="T146" s="15" t="s">
        <v>2442</v>
      </c>
      <c r="U146" s="25" t="s">
        <v>2085</v>
      </c>
      <c r="V146" s="25" t="s">
        <v>2436</v>
      </c>
      <c r="W146" s="80">
        <v>45084</v>
      </c>
      <c r="X146" s="21" t="s">
        <v>2814</v>
      </c>
    </row>
    <row r="147" spans="1:24" x14ac:dyDescent="0.2">
      <c r="A147" s="1">
        <v>146</v>
      </c>
      <c r="B147" s="1" t="s">
        <v>13</v>
      </c>
      <c r="C147" s="1" t="s">
        <v>2781</v>
      </c>
      <c r="D147" s="1" t="s">
        <v>869</v>
      </c>
      <c r="E147" s="15" t="s">
        <v>824</v>
      </c>
      <c r="F147" s="66" t="s">
        <v>877</v>
      </c>
      <c r="G147" s="24" t="s">
        <v>2801</v>
      </c>
      <c r="H147" s="15" t="s">
        <v>2789</v>
      </c>
      <c r="I147" s="16">
        <v>35</v>
      </c>
      <c r="J147" s="16" t="str">
        <f t="shared" si="8"/>
        <v>Young</v>
      </c>
      <c r="K147" s="25">
        <v>4</v>
      </c>
      <c r="L147" s="42">
        <v>790</v>
      </c>
      <c r="M147" s="15">
        <v>380</v>
      </c>
      <c r="N147" s="39">
        <f t="shared" si="6"/>
        <v>3160</v>
      </c>
      <c r="O147" s="39">
        <f t="shared" si="7"/>
        <v>1640</v>
      </c>
      <c r="P147" s="24" t="s">
        <v>2038</v>
      </c>
      <c r="Q147" s="15" t="s">
        <v>2016</v>
      </c>
      <c r="R147" s="1" t="s">
        <v>2013</v>
      </c>
      <c r="S147" s="15" t="s">
        <v>2082</v>
      </c>
      <c r="T147" s="15" t="s">
        <v>2442</v>
      </c>
      <c r="U147" s="25" t="s">
        <v>2089</v>
      </c>
      <c r="V147" s="25" t="s">
        <v>2434</v>
      </c>
      <c r="W147" s="80">
        <v>44964</v>
      </c>
      <c r="X147" s="21" t="s">
        <v>2817</v>
      </c>
    </row>
    <row r="148" spans="1:24" x14ac:dyDescent="0.2">
      <c r="A148" s="1">
        <v>147</v>
      </c>
      <c r="B148" s="1" t="s">
        <v>2</v>
      </c>
      <c r="C148" s="1" t="s">
        <v>2781</v>
      </c>
      <c r="D148" s="1" t="s">
        <v>869</v>
      </c>
      <c r="E148" s="15" t="s">
        <v>821</v>
      </c>
      <c r="F148" s="66" t="s">
        <v>878</v>
      </c>
      <c r="G148" s="24" t="s">
        <v>2803</v>
      </c>
      <c r="H148" s="15" t="s">
        <v>2789</v>
      </c>
      <c r="I148" s="16">
        <v>40</v>
      </c>
      <c r="J148" s="16" t="str">
        <f t="shared" si="8"/>
        <v>Middle Age</v>
      </c>
      <c r="K148" s="25">
        <v>1</v>
      </c>
      <c r="L148" s="42">
        <v>890</v>
      </c>
      <c r="M148" s="15">
        <v>400</v>
      </c>
      <c r="N148" s="39">
        <f t="shared" si="6"/>
        <v>890</v>
      </c>
      <c r="O148" s="39">
        <f t="shared" si="7"/>
        <v>490</v>
      </c>
      <c r="P148" s="24" t="s">
        <v>2054</v>
      </c>
      <c r="Q148" s="24" t="s">
        <v>2016</v>
      </c>
      <c r="R148" s="1" t="s">
        <v>2013</v>
      </c>
      <c r="S148" s="15" t="s">
        <v>2082</v>
      </c>
      <c r="T148" s="15" t="s">
        <v>2442</v>
      </c>
      <c r="U148" s="25" t="s">
        <v>2089</v>
      </c>
      <c r="V148" s="25" t="s">
        <v>2437</v>
      </c>
      <c r="W148" s="80">
        <v>45230</v>
      </c>
      <c r="X148" s="21" t="s">
        <v>2821</v>
      </c>
    </row>
    <row r="149" spans="1:24" x14ac:dyDescent="0.2">
      <c r="A149" s="1">
        <v>148</v>
      </c>
      <c r="B149" s="1" t="s">
        <v>844</v>
      </c>
      <c r="C149" s="1" t="s">
        <v>2781</v>
      </c>
      <c r="D149" s="1" t="s">
        <v>869</v>
      </c>
      <c r="E149" s="15" t="s">
        <v>821</v>
      </c>
      <c r="F149" s="66" t="s">
        <v>879</v>
      </c>
      <c r="G149" s="24" t="s">
        <v>2805</v>
      </c>
      <c r="H149" s="15" t="s">
        <v>2788</v>
      </c>
      <c r="I149" s="16">
        <v>21</v>
      </c>
      <c r="J149" s="16" t="str">
        <f t="shared" si="8"/>
        <v>Young</v>
      </c>
      <c r="K149" s="25">
        <v>5</v>
      </c>
      <c r="L149" s="42">
        <v>2185</v>
      </c>
      <c r="M149" s="15">
        <v>1100</v>
      </c>
      <c r="N149" s="39">
        <f t="shared" si="6"/>
        <v>10925</v>
      </c>
      <c r="O149" s="39">
        <f t="shared" si="7"/>
        <v>5425</v>
      </c>
      <c r="P149" s="24" t="s">
        <v>2058</v>
      </c>
      <c r="Q149" s="24" t="s">
        <v>2020</v>
      </c>
      <c r="R149" s="1" t="s">
        <v>2013</v>
      </c>
      <c r="S149" s="15" t="s">
        <v>2082</v>
      </c>
      <c r="T149" s="15" t="s">
        <v>2442</v>
      </c>
      <c r="U149" s="25" t="s">
        <v>2089</v>
      </c>
      <c r="V149" s="25" t="s">
        <v>2435</v>
      </c>
      <c r="W149" s="80">
        <v>45157</v>
      </c>
      <c r="X149" s="21" t="s">
        <v>2819</v>
      </c>
    </row>
    <row r="150" spans="1:24" x14ac:dyDescent="0.2">
      <c r="A150" s="1">
        <v>149</v>
      </c>
      <c r="B150" s="1" t="s">
        <v>5</v>
      </c>
      <c r="C150" s="1" t="s">
        <v>2781</v>
      </c>
      <c r="D150" s="1" t="s">
        <v>869</v>
      </c>
      <c r="E150" s="15" t="s">
        <v>824</v>
      </c>
      <c r="F150" s="66" t="s">
        <v>880</v>
      </c>
      <c r="G150" s="24" t="s">
        <v>2807</v>
      </c>
      <c r="H150" s="15" t="s">
        <v>2789</v>
      </c>
      <c r="I150" s="16">
        <v>36</v>
      </c>
      <c r="J150" s="16" t="str">
        <f t="shared" si="8"/>
        <v>Middle Age</v>
      </c>
      <c r="K150" s="25">
        <v>2</v>
      </c>
      <c r="L150" s="42">
        <v>890</v>
      </c>
      <c r="M150" s="15">
        <v>400</v>
      </c>
      <c r="N150" s="39">
        <f t="shared" si="6"/>
        <v>1780</v>
      </c>
      <c r="O150" s="39">
        <f t="shared" si="7"/>
        <v>980</v>
      </c>
      <c r="P150" s="24" t="s">
        <v>2047</v>
      </c>
      <c r="Q150" s="24" t="s">
        <v>2024</v>
      </c>
      <c r="R150" s="1" t="s">
        <v>2013</v>
      </c>
      <c r="S150" s="15" t="s">
        <v>2082</v>
      </c>
      <c r="T150" s="15" t="s">
        <v>2442</v>
      </c>
      <c r="U150" s="25" t="s">
        <v>2083</v>
      </c>
      <c r="V150" s="25" t="s">
        <v>2434</v>
      </c>
      <c r="W150" s="80">
        <v>45171</v>
      </c>
      <c r="X150" s="21" t="s">
        <v>2820</v>
      </c>
    </row>
    <row r="151" spans="1:24" x14ac:dyDescent="0.2">
      <c r="A151" s="1">
        <v>150</v>
      </c>
      <c r="B151" s="1" t="s">
        <v>8</v>
      </c>
      <c r="C151" s="1" t="s">
        <v>2781</v>
      </c>
      <c r="D151" s="1" t="s">
        <v>869</v>
      </c>
      <c r="E151" s="15" t="s">
        <v>824</v>
      </c>
      <c r="F151" s="66" t="s">
        <v>878</v>
      </c>
      <c r="G151" s="24" t="s">
        <v>2809</v>
      </c>
      <c r="H151" s="15" t="s">
        <v>2789</v>
      </c>
      <c r="I151" s="16">
        <v>28</v>
      </c>
      <c r="J151" s="16" t="str">
        <f t="shared" si="8"/>
        <v>Young</v>
      </c>
      <c r="K151" s="25">
        <v>3</v>
      </c>
      <c r="L151" s="42">
        <v>840</v>
      </c>
      <c r="M151" s="15">
        <v>380</v>
      </c>
      <c r="N151" s="39">
        <f t="shared" si="6"/>
        <v>2520</v>
      </c>
      <c r="O151" s="39">
        <f t="shared" si="7"/>
        <v>1380</v>
      </c>
      <c r="P151" s="24" t="s">
        <v>2052</v>
      </c>
      <c r="Q151" s="15" t="s">
        <v>2016</v>
      </c>
      <c r="R151" s="1" t="s">
        <v>2013</v>
      </c>
      <c r="S151" s="15" t="s">
        <v>2082</v>
      </c>
      <c r="T151" s="15" t="s">
        <v>2442</v>
      </c>
      <c r="U151" s="25" t="s">
        <v>2088</v>
      </c>
      <c r="V151" s="25" t="s">
        <v>2436</v>
      </c>
      <c r="W151" s="80">
        <v>44968</v>
      </c>
      <c r="X151" s="21" t="s">
        <v>2817</v>
      </c>
    </row>
    <row r="152" spans="1:24" x14ac:dyDescent="0.2">
      <c r="A152" s="1">
        <v>151</v>
      </c>
      <c r="B152" s="1" t="s">
        <v>7</v>
      </c>
      <c r="C152" s="1" t="s">
        <v>2781</v>
      </c>
      <c r="D152" s="1" t="s">
        <v>869</v>
      </c>
      <c r="E152" s="15" t="s">
        <v>826</v>
      </c>
      <c r="F152" s="66" t="s">
        <v>879</v>
      </c>
      <c r="G152" s="24" t="s">
        <v>2794</v>
      </c>
      <c r="H152" s="15" t="s">
        <v>2788</v>
      </c>
      <c r="I152" s="16">
        <v>50</v>
      </c>
      <c r="J152" s="16" t="str">
        <f t="shared" si="8"/>
        <v>Old</v>
      </c>
      <c r="K152" s="25">
        <v>4</v>
      </c>
      <c r="L152" s="42">
        <v>990</v>
      </c>
      <c r="M152" s="15">
        <v>500</v>
      </c>
      <c r="N152" s="39">
        <f t="shared" si="6"/>
        <v>3960</v>
      </c>
      <c r="O152" s="39">
        <f t="shared" si="7"/>
        <v>1960</v>
      </c>
      <c r="P152" s="24" t="s">
        <v>2041</v>
      </c>
      <c r="Q152" s="24" t="s">
        <v>2016</v>
      </c>
      <c r="R152" s="1" t="s">
        <v>2013</v>
      </c>
      <c r="S152" s="15" t="s">
        <v>2082</v>
      </c>
      <c r="T152" s="15" t="s">
        <v>2442</v>
      </c>
      <c r="U152" s="25" t="s">
        <v>2089</v>
      </c>
      <c r="V152" s="25" t="s">
        <v>2437</v>
      </c>
      <c r="W152" s="80">
        <v>44962</v>
      </c>
      <c r="X152" s="21" t="s">
        <v>2817</v>
      </c>
    </row>
    <row r="153" spans="1:24" x14ac:dyDescent="0.2">
      <c r="A153" s="1">
        <v>152</v>
      </c>
      <c r="B153" s="1" t="s">
        <v>7</v>
      </c>
      <c r="C153" s="1" t="s">
        <v>2781</v>
      </c>
      <c r="D153" s="1" t="s">
        <v>869</v>
      </c>
      <c r="E153" s="15" t="s">
        <v>818</v>
      </c>
      <c r="F153" s="66" t="s">
        <v>880</v>
      </c>
      <c r="G153" s="24" t="s">
        <v>2792</v>
      </c>
      <c r="H153" s="15" t="s">
        <v>2789</v>
      </c>
      <c r="I153" s="16">
        <v>39</v>
      </c>
      <c r="J153" s="16" t="str">
        <f t="shared" si="8"/>
        <v>Middle Age</v>
      </c>
      <c r="K153" s="25">
        <v>1</v>
      </c>
      <c r="L153" s="42">
        <v>700</v>
      </c>
      <c r="M153" s="15">
        <v>500</v>
      </c>
      <c r="N153" s="39">
        <f t="shared" si="6"/>
        <v>700</v>
      </c>
      <c r="O153" s="39">
        <f t="shared" si="7"/>
        <v>200</v>
      </c>
      <c r="P153" s="24" t="s">
        <v>2041</v>
      </c>
      <c r="Q153" s="24" t="s">
        <v>2016</v>
      </c>
      <c r="R153" s="1" t="s">
        <v>2013</v>
      </c>
      <c r="S153" s="15" t="s">
        <v>2082</v>
      </c>
      <c r="T153" s="15" t="s">
        <v>2442</v>
      </c>
      <c r="U153" s="25" t="s">
        <v>2086</v>
      </c>
      <c r="V153" s="25" t="s">
        <v>2435</v>
      </c>
      <c r="W153" s="80">
        <v>45289</v>
      </c>
      <c r="X153" s="21" t="s">
        <v>2822</v>
      </c>
    </row>
    <row r="154" spans="1:24" x14ac:dyDescent="0.2">
      <c r="A154" s="1">
        <v>153</v>
      </c>
      <c r="B154" s="1" t="s">
        <v>12</v>
      </c>
      <c r="C154" s="1" t="s">
        <v>2781</v>
      </c>
      <c r="D154" s="1" t="s">
        <v>869</v>
      </c>
      <c r="E154" s="15" t="s">
        <v>818</v>
      </c>
      <c r="F154" s="66" t="s">
        <v>881</v>
      </c>
      <c r="G154" s="24" t="s">
        <v>2796</v>
      </c>
      <c r="H154" s="15" t="s">
        <v>2789</v>
      </c>
      <c r="I154" s="16">
        <v>31</v>
      </c>
      <c r="J154" s="16" t="str">
        <f t="shared" si="8"/>
        <v>Young</v>
      </c>
      <c r="K154" s="25">
        <v>5</v>
      </c>
      <c r="L154" s="42">
        <v>1530</v>
      </c>
      <c r="M154" s="15">
        <v>800</v>
      </c>
      <c r="N154" s="39">
        <f t="shared" si="6"/>
        <v>7650</v>
      </c>
      <c r="O154" s="39">
        <f t="shared" si="7"/>
        <v>3650</v>
      </c>
      <c r="P154" s="24" t="s">
        <v>2035</v>
      </c>
      <c r="Q154" s="24" t="s">
        <v>2020</v>
      </c>
      <c r="R154" s="1" t="s">
        <v>2013</v>
      </c>
      <c r="S154" s="15" t="s">
        <v>2082</v>
      </c>
      <c r="T154" s="15" t="s">
        <v>2442</v>
      </c>
      <c r="U154" s="25" t="s">
        <v>2085</v>
      </c>
      <c r="V154" s="25" t="s">
        <v>2436</v>
      </c>
      <c r="W154" s="80">
        <v>45031</v>
      </c>
      <c r="X154" s="21" t="s">
        <v>2815</v>
      </c>
    </row>
    <row r="155" spans="1:24" x14ac:dyDescent="0.2">
      <c r="A155" s="3">
        <v>154</v>
      </c>
      <c r="B155" s="3" t="s">
        <v>8</v>
      </c>
      <c r="C155" s="1" t="s">
        <v>2781</v>
      </c>
      <c r="D155" s="1" t="s">
        <v>869</v>
      </c>
      <c r="E155" s="29" t="s">
        <v>824</v>
      </c>
      <c r="F155" s="66" t="s">
        <v>882</v>
      </c>
      <c r="G155" s="24" t="s">
        <v>2798</v>
      </c>
      <c r="H155" s="15" t="s">
        <v>2788</v>
      </c>
      <c r="I155" s="16">
        <v>44</v>
      </c>
      <c r="J155" s="16" t="str">
        <f t="shared" si="8"/>
        <v>Middle Age</v>
      </c>
      <c r="K155" s="25">
        <v>3</v>
      </c>
      <c r="L155" s="43">
        <v>715</v>
      </c>
      <c r="M155" s="29">
        <v>350</v>
      </c>
      <c r="N155" s="39">
        <f t="shared" si="6"/>
        <v>2145</v>
      </c>
      <c r="O155" s="39">
        <f t="shared" si="7"/>
        <v>1095</v>
      </c>
      <c r="P155" s="24" t="s">
        <v>2018</v>
      </c>
      <c r="Q155" s="15" t="s">
        <v>2828</v>
      </c>
      <c r="R155" s="1" t="s">
        <v>2013</v>
      </c>
      <c r="S155" s="15" t="s">
        <v>2082</v>
      </c>
      <c r="T155" s="15" t="s">
        <v>2442</v>
      </c>
      <c r="U155" s="25" t="s">
        <v>2084</v>
      </c>
      <c r="V155" s="25" t="s">
        <v>2434</v>
      </c>
      <c r="W155" s="80">
        <v>44961</v>
      </c>
      <c r="X155" s="21" t="s">
        <v>2817</v>
      </c>
    </row>
    <row r="156" spans="1:24" x14ac:dyDescent="0.2">
      <c r="A156" s="3">
        <v>155</v>
      </c>
      <c r="B156" s="3" t="s">
        <v>13</v>
      </c>
      <c r="C156" s="1" t="s">
        <v>2781</v>
      </c>
      <c r="D156" s="1" t="s">
        <v>869</v>
      </c>
      <c r="E156" s="29" t="s">
        <v>824</v>
      </c>
      <c r="F156" s="66" t="s">
        <v>881</v>
      </c>
      <c r="G156" s="24" t="s">
        <v>2800</v>
      </c>
      <c r="H156" s="15" t="s">
        <v>2789</v>
      </c>
      <c r="I156" s="16">
        <v>26</v>
      </c>
      <c r="J156" s="16" t="str">
        <f t="shared" si="8"/>
        <v>Young</v>
      </c>
      <c r="K156" s="25">
        <v>2</v>
      </c>
      <c r="L156" s="43">
        <v>670</v>
      </c>
      <c r="M156" s="29">
        <v>380</v>
      </c>
      <c r="N156" s="39">
        <f t="shared" si="6"/>
        <v>1340</v>
      </c>
      <c r="O156" s="39">
        <f t="shared" si="7"/>
        <v>580</v>
      </c>
      <c r="P156" s="24" t="s">
        <v>2037</v>
      </c>
      <c r="Q156" s="24" t="s">
        <v>2014</v>
      </c>
      <c r="R156" s="1" t="s">
        <v>2013</v>
      </c>
      <c r="S156" s="15" t="s">
        <v>2082</v>
      </c>
      <c r="T156" s="15" t="s">
        <v>2442</v>
      </c>
      <c r="U156" s="25" t="s">
        <v>2087</v>
      </c>
      <c r="V156" s="25" t="s">
        <v>2437</v>
      </c>
      <c r="W156" s="80">
        <v>45071</v>
      </c>
      <c r="X156" s="21" t="s">
        <v>2786</v>
      </c>
    </row>
    <row r="157" spans="1:24" x14ac:dyDescent="0.2">
      <c r="A157" s="1">
        <v>156</v>
      </c>
      <c r="B157" s="1" t="s">
        <v>5</v>
      </c>
      <c r="C157" s="1" t="s">
        <v>2781</v>
      </c>
      <c r="D157" s="1" t="s">
        <v>869</v>
      </c>
      <c r="E157" s="15" t="s">
        <v>818</v>
      </c>
      <c r="F157" s="66" t="s">
        <v>883</v>
      </c>
      <c r="G157" s="24" t="s">
        <v>2802</v>
      </c>
      <c r="H157" s="15" t="s">
        <v>2788</v>
      </c>
      <c r="I157" s="16">
        <v>48</v>
      </c>
      <c r="J157" s="16" t="str">
        <f t="shared" si="8"/>
        <v>Middle Age</v>
      </c>
      <c r="K157" s="25">
        <v>4</v>
      </c>
      <c r="L157" s="42">
        <v>940</v>
      </c>
      <c r="M157" s="15">
        <v>500</v>
      </c>
      <c r="N157" s="39">
        <f t="shared" si="6"/>
        <v>3760</v>
      </c>
      <c r="O157" s="39">
        <f t="shared" si="7"/>
        <v>1760</v>
      </c>
      <c r="P157" s="24" t="s">
        <v>2046</v>
      </c>
      <c r="Q157" s="24" t="s">
        <v>2016</v>
      </c>
      <c r="R157" s="1" t="s">
        <v>2013</v>
      </c>
      <c r="S157" s="15" t="s">
        <v>2082</v>
      </c>
      <c r="T157" s="15" t="s">
        <v>2442</v>
      </c>
      <c r="U157" s="25" t="s">
        <v>2083</v>
      </c>
      <c r="V157" s="25" t="s">
        <v>2435</v>
      </c>
      <c r="W157" s="80">
        <v>45234</v>
      </c>
      <c r="X157" s="21" t="s">
        <v>2823</v>
      </c>
    </row>
    <row r="158" spans="1:24" x14ac:dyDescent="0.2">
      <c r="A158" s="1">
        <v>157</v>
      </c>
      <c r="B158" s="1" t="s">
        <v>7</v>
      </c>
      <c r="C158" s="1" t="s">
        <v>2781</v>
      </c>
      <c r="D158" s="1" t="s">
        <v>869</v>
      </c>
      <c r="E158" s="15" t="s">
        <v>824</v>
      </c>
      <c r="F158" s="66" t="s">
        <v>884</v>
      </c>
      <c r="G158" s="24" t="s">
        <v>2804</v>
      </c>
      <c r="H158" s="15" t="s">
        <v>2788</v>
      </c>
      <c r="I158" s="16">
        <v>53</v>
      </c>
      <c r="J158" s="16" t="str">
        <f t="shared" si="8"/>
        <v>Old</v>
      </c>
      <c r="K158" s="25">
        <v>1</v>
      </c>
      <c r="L158" s="42">
        <v>990</v>
      </c>
      <c r="M158" s="15">
        <v>500</v>
      </c>
      <c r="N158" s="39">
        <f t="shared" si="6"/>
        <v>990</v>
      </c>
      <c r="O158" s="39">
        <f t="shared" si="7"/>
        <v>490</v>
      </c>
      <c r="P158" s="24" t="s">
        <v>2029</v>
      </c>
      <c r="Q158" s="24" t="s">
        <v>2016</v>
      </c>
      <c r="R158" s="1" t="s">
        <v>2013</v>
      </c>
      <c r="S158" s="15" t="s">
        <v>2082</v>
      </c>
      <c r="T158" s="15" t="s">
        <v>2442</v>
      </c>
      <c r="U158" s="25" t="s">
        <v>2090</v>
      </c>
      <c r="V158" s="25" t="s">
        <v>2434</v>
      </c>
      <c r="W158" s="80">
        <v>45019</v>
      </c>
      <c r="X158" s="21" t="s">
        <v>2815</v>
      </c>
    </row>
    <row r="159" spans="1:24" x14ac:dyDescent="0.2">
      <c r="A159" s="3">
        <v>158</v>
      </c>
      <c r="B159" s="3" t="s">
        <v>7</v>
      </c>
      <c r="C159" s="1" t="s">
        <v>2781</v>
      </c>
      <c r="D159" s="1" t="s">
        <v>869</v>
      </c>
      <c r="E159" s="29" t="s">
        <v>821</v>
      </c>
      <c r="F159" s="67" t="s">
        <v>931</v>
      </c>
      <c r="G159" s="24" t="s">
        <v>2806</v>
      </c>
      <c r="H159" s="15" t="s">
        <v>2788</v>
      </c>
      <c r="I159" s="16">
        <v>30</v>
      </c>
      <c r="J159" s="16" t="str">
        <f t="shared" si="8"/>
        <v>Young</v>
      </c>
      <c r="K159" s="25">
        <v>5</v>
      </c>
      <c r="L159" s="43">
        <v>990</v>
      </c>
      <c r="M159" s="29">
        <v>500</v>
      </c>
      <c r="N159" s="39">
        <f t="shared" si="6"/>
        <v>4950</v>
      </c>
      <c r="O159" s="39">
        <f t="shared" si="7"/>
        <v>2450</v>
      </c>
      <c r="P159" s="24" t="s">
        <v>2038</v>
      </c>
      <c r="Q159" s="15" t="s">
        <v>2016</v>
      </c>
      <c r="R159" s="1" t="s">
        <v>2013</v>
      </c>
      <c r="S159" s="15" t="s">
        <v>2082</v>
      </c>
      <c r="T159" s="15" t="s">
        <v>2442</v>
      </c>
      <c r="U159" s="25" t="s">
        <v>2083</v>
      </c>
      <c r="V159" s="25" t="s">
        <v>2436</v>
      </c>
      <c r="W159" s="80">
        <v>44974</v>
      </c>
      <c r="X159" s="21" t="s">
        <v>2817</v>
      </c>
    </row>
    <row r="160" spans="1:24" x14ac:dyDescent="0.2">
      <c r="A160" s="3">
        <v>159</v>
      </c>
      <c r="B160" s="3" t="s">
        <v>7</v>
      </c>
      <c r="C160" s="1" t="s">
        <v>2781</v>
      </c>
      <c r="D160" s="1" t="s">
        <v>869</v>
      </c>
      <c r="E160" s="29" t="s">
        <v>821</v>
      </c>
      <c r="F160" s="66" t="s">
        <v>929</v>
      </c>
      <c r="G160" s="24" t="s">
        <v>2808</v>
      </c>
      <c r="H160" s="15" t="s">
        <v>2789</v>
      </c>
      <c r="I160" s="16">
        <v>37</v>
      </c>
      <c r="J160" s="16" t="str">
        <f t="shared" si="8"/>
        <v>Middle Age</v>
      </c>
      <c r="K160" s="25">
        <v>2</v>
      </c>
      <c r="L160" s="43">
        <v>900</v>
      </c>
      <c r="M160" s="29">
        <v>500</v>
      </c>
      <c r="N160" s="39">
        <f t="shared" si="6"/>
        <v>1800</v>
      </c>
      <c r="O160" s="39">
        <f t="shared" si="7"/>
        <v>800</v>
      </c>
      <c r="P160" s="24" t="s">
        <v>2053</v>
      </c>
      <c r="Q160" s="24" t="s">
        <v>2014</v>
      </c>
      <c r="R160" s="1" t="s">
        <v>2013</v>
      </c>
      <c r="S160" s="15" t="s">
        <v>2082</v>
      </c>
      <c r="T160" s="15" t="s">
        <v>2442</v>
      </c>
      <c r="U160" s="25" t="s">
        <v>2083</v>
      </c>
      <c r="V160" s="25" t="s">
        <v>2437</v>
      </c>
      <c r="W160" s="80">
        <v>45079</v>
      </c>
      <c r="X160" s="21" t="s">
        <v>2814</v>
      </c>
    </row>
    <row r="161" spans="1:24" x14ac:dyDescent="0.2">
      <c r="A161" s="3">
        <v>160</v>
      </c>
      <c r="B161" s="3" t="s">
        <v>2</v>
      </c>
      <c r="C161" s="1" t="s">
        <v>2781</v>
      </c>
      <c r="D161" s="1" t="s">
        <v>869</v>
      </c>
      <c r="E161" s="29" t="s">
        <v>826</v>
      </c>
      <c r="F161" s="66" t="s">
        <v>882</v>
      </c>
      <c r="G161" s="24" t="s">
        <v>2810</v>
      </c>
      <c r="H161" s="15" t="s">
        <v>2788</v>
      </c>
      <c r="I161" s="16">
        <v>42</v>
      </c>
      <c r="J161" s="16" t="str">
        <f t="shared" si="8"/>
        <v>Middle Age</v>
      </c>
      <c r="K161" s="25">
        <v>3</v>
      </c>
      <c r="L161" s="43">
        <v>890</v>
      </c>
      <c r="M161" s="29">
        <v>400</v>
      </c>
      <c r="N161" s="39">
        <f t="shared" si="6"/>
        <v>2670</v>
      </c>
      <c r="O161" s="39">
        <f t="shared" si="7"/>
        <v>1470</v>
      </c>
      <c r="P161" s="24" t="s">
        <v>2018</v>
      </c>
      <c r="Q161" s="15" t="s">
        <v>2828</v>
      </c>
      <c r="R161" s="1" t="s">
        <v>2013</v>
      </c>
      <c r="S161" s="15" t="s">
        <v>2082</v>
      </c>
      <c r="T161" s="15" t="s">
        <v>2442</v>
      </c>
      <c r="U161" s="25" t="s">
        <v>2083</v>
      </c>
      <c r="V161" s="25" t="s">
        <v>2435</v>
      </c>
      <c r="W161" s="80">
        <v>45277</v>
      </c>
      <c r="X161" s="21" t="s">
        <v>2822</v>
      </c>
    </row>
    <row r="162" spans="1:24" x14ac:dyDescent="0.2">
      <c r="A162" s="3">
        <v>161</v>
      </c>
      <c r="B162" s="3" t="s">
        <v>5</v>
      </c>
      <c r="C162" s="1" t="s">
        <v>2781</v>
      </c>
      <c r="D162" s="1" t="s">
        <v>869</v>
      </c>
      <c r="E162" s="29" t="s">
        <v>821</v>
      </c>
      <c r="F162" s="66" t="s">
        <v>930</v>
      </c>
      <c r="G162" s="24" t="s">
        <v>2793</v>
      </c>
      <c r="H162" s="15" t="s">
        <v>2788</v>
      </c>
      <c r="I162" s="16">
        <v>24</v>
      </c>
      <c r="J162" s="16" t="str">
        <f t="shared" si="8"/>
        <v>Young</v>
      </c>
      <c r="K162" s="25">
        <v>4</v>
      </c>
      <c r="L162" s="43">
        <v>1040</v>
      </c>
      <c r="M162" s="29">
        <v>500</v>
      </c>
      <c r="N162" s="39">
        <f t="shared" si="6"/>
        <v>4160</v>
      </c>
      <c r="O162" s="39">
        <f t="shared" si="7"/>
        <v>2160</v>
      </c>
      <c r="P162" s="24" t="s">
        <v>2041</v>
      </c>
      <c r="Q162" s="24" t="s">
        <v>2016</v>
      </c>
      <c r="R162" s="1" t="s">
        <v>2013</v>
      </c>
      <c r="S162" s="15" t="s">
        <v>2082</v>
      </c>
      <c r="T162" s="15" t="s">
        <v>2442</v>
      </c>
      <c r="U162" s="25" t="s">
        <v>2088</v>
      </c>
      <c r="V162" s="25" t="s">
        <v>2436</v>
      </c>
      <c r="W162" s="80">
        <v>45240</v>
      </c>
      <c r="X162" s="21" t="s">
        <v>2823</v>
      </c>
    </row>
    <row r="163" spans="1:24" x14ac:dyDescent="0.2">
      <c r="A163" s="1">
        <v>162</v>
      </c>
      <c r="B163" s="1" t="s">
        <v>13</v>
      </c>
      <c r="C163" s="1" t="s">
        <v>2781</v>
      </c>
      <c r="D163" s="1" t="s">
        <v>869</v>
      </c>
      <c r="E163" s="15" t="s">
        <v>817</v>
      </c>
      <c r="F163" s="67" t="s">
        <v>915</v>
      </c>
      <c r="G163" s="24" t="s">
        <v>2791</v>
      </c>
      <c r="H163" s="15" t="s">
        <v>2788</v>
      </c>
      <c r="I163" s="16">
        <v>57</v>
      </c>
      <c r="J163" s="16" t="str">
        <f t="shared" si="8"/>
        <v>Old</v>
      </c>
      <c r="K163" s="25">
        <v>1</v>
      </c>
      <c r="L163" s="42">
        <v>1040</v>
      </c>
      <c r="M163" s="15">
        <v>350</v>
      </c>
      <c r="N163" s="39">
        <f t="shared" si="6"/>
        <v>1040</v>
      </c>
      <c r="O163" s="39">
        <f t="shared" si="7"/>
        <v>690</v>
      </c>
      <c r="P163" s="24" t="s">
        <v>2060</v>
      </c>
      <c r="Q163" s="24" t="s">
        <v>2024</v>
      </c>
      <c r="R163" s="1" t="s">
        <v>2013</v>
      </c>
      <c r="S163" s="15" t="s">
        <v>2082</v>
      </c>
      <c r="T163" s="15" t="s">
        <v>2442</v>
      </c>
      <c r="U163" s="25" t="s">
        <v>2085</v>
      </c>
      <c r="V163" s="25" t="s">
        <v>2434</v>
      </c>
      <c r="W163" s="80">
        <v>45087</v>
      </c>
      <c r="X163" s="21" t="s">
        <v>2814</v>
      </c>
    </row>
    <row r="164" spans="1:24" x14ac:dyDescent="0.2">
      <c r="A164" s="1">
        <v>163</v>
      </c>
      <c r="B164" s="1" t="s">
        <v>7</v>
      </c>
      <c r="C164" s="1" t="s">
        <v>2781</v>
      </c>
      <c r="D164" s="1" t="s">
        <v>869</v>
      </c>
      <c r="E164" s="15" t="s">
        <v>826</v>
      </c>
      <c r="F164" s="66" t="s">
        <v>920</v>
      </c>
      <c r="G164" s="24" t="s">
        <v>2795</v>
      </c>
      <c r="H164" s="15" t="s">
        <v>2789</v>
      </c>
      <c r="I164" s="16">
        <v>35</v>
      </c>
      <c r="J164" s="16" t="str">
        <f t="shared" si="8"/>
        <v>Young</v>
      </c>
      <c r="K164" s="25">
        <v>5</v>
      </c>
      <c r="L164" s="42">
        <v>990</v>
      </c>
      <c r="M164" s="15">
        <v>500</v>
      </c>
      <c r="N164" s="39">
        <f t="shared" si="6"/>
        <v>4950</v>
      </c>
      <c r="O164" s="39">
        <f t="shared" si="7"/>
        <v>2450</v>
      </c>
      <c r="P164" s="24" t="s">
        <v>2049</v>
      </c>
      <c r="Q164" s="24" t="s">
        <v>2016</v>
      </c>
      <c r="R164" s="1" t="s">
        <v>2013</v>
      </c>
      <c r="S164" s="15" t="s">
        <v>2082</v>
      </c>
      <c r="T164" s="15" t="s">
        <v>2442</v>
      </c>
      <c r="U164" s="25" t="s">
        <v>2084</v>
      </c>
      <c r="V164" s="25" t="s">
        <v>2437</v>
      </c>
      <c r="W164" s="80">
        <v>45197</v>
      </c>
      <c r="X164" s="21" t="s">
        <v>2820</v>
      </c>
    </row>
    <row r="165" spans="1:24" x14ac:dyDescent="0.2">
      <c r="A165" s="1">
        <v>164</v>
      </c>
      <c r="B165" s="1" t="s">
        <v>11</v>
      </c>
      <c r="C165" s="1" t="s">
        <v>2781</v>
      </c>
      <c r="D165" s="1" t="s">
        <v>869</v>
      </c>
      <c r="E165" s="15" t="s">
        <v>817</v>
      </c>
      <c r="F165" s="67" t="s">
        <v>921</v>
      </c>
      <c r="G165" s="24" t="s">
        <v>2797</v>
      </c>
      <c r="H165" s="15" t="s">
        <v>2789</v>
      </c>
      <c r="I165" s="16">
        <v>40</v>
      </c>
      <c r="J165" s="16" t="str">
        <f t="shared" si="8"/>
        <v>Middle Age</v>
      </c>
      <c r="K165" s="25">
        <v>3</v>
      </c>
      <c r="L165" s="42">
        <v>4470</v>
      </c>
      <c r="M165" s="15">
        <v>3100</v>
      </c>
      <c r="N165" s="39">
        <f t="shared" si="6"/>
        <v>13410</v>
      </c>
      <c r="O165" s="39">
        <f t="shared" si="7"/>
        <v>4110</v>
      </c>
      <c r="P165" s="24" t="s">
        <v>2021</v>
      </c>
      <c r="Q165" s="24" t="s">
        <v>2020</v>
      </c>
      <c r="R165" s="1" t="s">
        <v>2013</v>
      </c>
      <c r="S165" s="15" t="s">
        <v>2082</v>
      </c>
      <c r="T165" s="15" t="s">
        <v>2442</v>
      </c>
      <c r="U165" s="25" t="s">
        <v>2090</v>
      </c>
      <c r="V165" s="25" t="s">
        <v>2435</v>
      </c>
      <c r="W165" s="80">
        <v>45121</v>
      </c>
      <c r="X165" s="21" t="s">
        <v>2813</v>
      </c>
    </row>
    <row r="166" spans="1:24" x14ac:dyDescent="0.2">
      <c r="A166" s="3">
        <v>165</v>
      </c>
      <c r="B166" s="3" t="s">
        <v>2</v>
      </c>
      <c r="C166" s="1" t="s">
        <v>2781</v>
      </c>
      <c r="D166" s="1" t="s">
        <v>869</v>
      </c>
      <c r="E166" s="29" t="s">
        <v>817</v>
      </c>
      <c r="F166" s="67" t="s">
        <v>922</v>
      </c>
      <c r="G166" s="24" t="s">
        <v>2799</v>
      </c>
      <c r="H166" s="15" t="s">
        <v>2788</v>
      </c>
      <c r="I166" s="16">
        <v>21</v>
      </c>
      <c r="J166" s="16" t="str">
        <f t="shared" si="8"/>
        <v>Young</v>
      </c>
      <c r="K166" s="25">
        <v>2</v>
      </c>
      <c r="L166" s="43">
        <v>1240</v>
      </c>
      <c r="M166" s="29">
        <v>750</v>
      </c>
      <c r="N166" s="39">
        <f t="shared" si="6"/>
        <v>2480</v>
      </c>
      <c r="O166" s="39">
        <f t="shared" si="7"/>
        <v>980</v>
      </c>
      <c r="P166" s="24" t="s">
        <v>2029</v>
      </c>
      <c r="Q166" s="24" t="s">
        <v>2016</v>
      </c>
      <c r="R166" s="1" t="s">
        <v>2013</v>
      </c>
      <c r="S166" s="15" t="s">
        <v>2082</v>
      </c>
      <c r="T166" s="15" t="s">
        <v>2442</v>
      </c>
      <c r="U166" s="25" t="s">
        <v>2086</v>
      </c>
      <c r="V166" s="25" t="s">
        <v>2434</v>
      </c>
      <c r="W166" s="80">
        <v>45079</v>
      </c>
      <c r="X166" s="21" t="s">
        <v>2814</v>
      </c>
    </row>
    <row r="167" spans="1:24" x14ac:dyDescent="0.2">
      <c r="A167" s="1">
        <v>166</v>
      </c>
      <c r="B167" s="1" t="s">
        <v>16</v>
      </c>
      <c r="C167" s="1" t="s">
        <v>2781</v>
      </c>
      <c r="D167" s="1" t="s">
        <v>869</v>
      </c>
      <c r="E167" s="15" t="s">
        <v>817</v>
      </c>
      <c r="F167" s="67" t="s">
        <v>923</v>
      </c>
      <c r="G167" s="24" t="s">
        <v>2801</v>
      </c>
      <c r="H167" s="15" t="s">
        <v>2788</v>
      </c>
      <c r="I167" s="16">
        <v>59</v>
      </c>
      <c r="J167" s="16" t="str">
        <f t="shared" si="8"/>
        <v>Old</v>
      </c>
      <c r="K167" s="25">
        <v>4</v>
      </c>
      <c r="L167" s="42">
        <v>1500</v>
      </c>
      <c r="M167" s="15">
        <v>750</v>
      </c>
      <c r="N167" s="39">
        <f t="shared" si="6"/>
        <v>6000</v>
      </c>
      <c r="O167" s="39">
        <f t="shared" si="7"/>
        <v>3000</v>
      </c>
      <c r="P167" s="24" t="s">
        <v>2019</v>
      </c>
      <c r="Q167" s="24" t="s">
        <v>2014</v>
      </c>
      <c r="R167" s="1" t="s">
        <v>2013</v>
      </c>
      <c r="S167" s="15" t="s">
        <v>2082</v>
      </c>
      <c r="T167" s="15" t="s">
        <v>2442</v>
      </c>
      <c r="U167" s="25" t="s">
        <v>2088</v>
      </c>
      <c r="V167" s="25" t="s">
        <v>2436</v>
      </c>
      <c r="W167" s="80">
        <v>44973</v>
      </c>
      <c r="X167" s="21" t="s">
        <v>2817</v>
      </c>
    </row>
    <row r="168" spans="1:24" x14ac:dyDescent="0.2">
      <c r="A168" s="1">
        <v>167</v>
      </c>
      <c r="B168" s="1" t="s">
        <v>8</v>
      </c>
      <c r="C168" s="1" t="s">
        <v>2781</v>
      </c>
      <c r="D168" s="1" t="s">
        <v>869</v>
      </c>
      <c r="E168" s="15" t="s">
        <v>826</v>
      </c>
      <c r="F168" s="67" t="s">
        <v>924</v>
      </c>
      <c r="G168" s="24" t="s">
        <v>2803</v>
      </c>
      <c r="H168" s="15" t="s">
        <v>2789</v>
      </c>
      <c r="I168" s="16">
        <v>32</v>
      </c>
      <c r="J168" s="16" t="str">
        <f t="shared" si="8"/>
        <v>Young</v>
      </c>
      <c r="K168" s="25">
        <v>1</v>
      </c>
      <c r="L168" s="42">
        <v>1655</v>
      </c>
      <c r="M168" s="15">
        <v>1000</v>
      </c>
      <c r="N168" s="39">
        <f t="shared" si="6"/>
        <v>1655</v>
      </c>
      <c r="O168" s="39">
        <f t="shared" si="7"/>
        <v>655</v>
      </c>
      <c r="P168" s="24" t="s">
        <v>2033</v>
      </c>
      <c r="Q168" s="24" t="s">
        <v>2016</v>
      </c>
      <c r="R168" s="1" t="s">
        <v>2013</v>
      </c>
      <c r="S168" s="15" t="s">
        <v>2082</v>
      </c>
      <c r="T168" s="15" t="s">
        <v>2442</v>
      </c>
      <c r="U168" s="25" t="s">
        <v>2090</v>
      </c>
      <c r="V168" s="25" t="s">
        <v>2437</v>
      </c>
      <c r="W168" s="80">
        <v>45203</v>
      </c>
      <c r="X168" s="21" t="s">
        <v>2821</v>
      </c>
    </row>
    <row r="169" spans="1:24" x14ac:dyDescent="0.2">
      <c r="A169" s="1">
        <v>168</v>
      </c>
      <c r="B169" s="1" t="s">
        <v>5</v>
      </c>
      <c r="C169" s="1" t="s">
        <v>2781</v>
      </c>
      <c r="D169" s="1" t="s">
        <v>869</v>
      </c>
      <c r="E169" s="15" t="s">
        <v>817</v>
      </c>
      <c r="F169" s="67" t="s">
        <v>925</v>
      </c>
      <c r="G169" s="24" t="s">
        <v>2805</v>
      </c>
      <c r="H169" s="15" t="s">
        <v>2788</v>
      </c>
      <c r="I169" s="16">
        <v>46</v>
      </c>
      <c r="J169" s="16" t="str">
        <f t="shared" si="8"/>
        <v>Middle Age</v>
      </c>
      <c r="K169" s="25">
        <v>5</v>
      </c>
      <c r="L169" s="42">
        <v>890</v>
      </c>
      <c r="M169" s="15">
        <v>350</v>
      </c>
      <c r="N169" s="39">
        <f t="shared" si="6"/>
        <v>4450</v>
      </c>
      <c r="O169" s="39">
        <f t="shared" si="7"/>
        <v>2700</v>
      </c>
      <c r="P169" s="24" t="s">
        <v>2055</v>
      </c>
      <c r="Q169" s="24" t="s">
        <v>2014</v>
      </c>
      <c r="R169" s="1" t="s">
        <v>2013</v>
      </c>
      <c r="S169" s="15" t="s">
        <v>2082</v>
      </c>
      <c r="T169" s="15" t="s">
        <v>2442</v>
      </c>
      <c r="U169" s="25" t="s">
        <v>2083</v>
      </c>
      <c r="V169" s="25" t="s">
        <v>2435</v>
      </c>
      <c r="W169" s="80">
        <v>45052</v>
      </c>
      <c r="X169" s="21" t="s">
        <v>2786</v>
      </c>
    </row>
    <row r="170" spans="1:24" x14ac:dyDescent="0.2">
      <c r="A170" s="1">
        <v>168</v>
      </c>
      <c r="B170" s="1" t="s">
        <v>3</v>
      </c>
      <c r="C170" s="1" t="s">
        <v>2781</v>
      </c>
      <c r="D170" s="1" t="s">
        <v>869</v>
      </c>
      <c r="E170" s="15" t="s">
        <v>824</v>
      </c>
      <c r="F170" s="69" t="s">
        <v>904</v>
      </c>
      <c r="G170" s="24" t="s">
        <v>2807</v>
      </c>
      <c r="H170" s="15" t="s">
        <v>2788</v>
      </c>
      <c r="I170" s="16">
        <v>54</v>
      </c>
      <c r="J170" s="16" t="str">
        <f t="shared" si="8"/>
        <v>Old</v>
      </c>
      <c r="K170" s="25">
        <v>2</v>
      </c>
      <c r="L170" s="42">
        <v>790</v>
      </c>
      <c r="M170" s="15">
        <v>790</v>
      </c>
      <c r="N170" s="39">
        <f t="shared" si="6"/>
        <v>1580</v>
      </c>
      <c r="O170" s="39">
        <f t="shared" si="7"/>
        <v>0</v>
      </c>
      <c r="P170" s="24" t="s">
        <v>2062</v>
      </c>
      <c r="Q170" s="15" t="s">
        <v>2828</v>
      </c>
      <c r="R170" s="1" t="s">
        <v>2013</v>
      </c>
      <c r="S170" s="15" t="s">
        <v>2082</v>
      </c>
      <c r="T170" s="15" t="s">
        <v>2442</v>
      </c>
      <c r="U170" s="25" t="s">
        <v>2086</v>
      </c>
      <c r="V170" s="25" t="s">
        <v>2436</v>
      </c>
      <c r="W170" s="80">
        <v>45002</v>
      </c>
      <c r="X170" s="21" t="s">
        <v>2816</v>
      </c>
    </row>
    <row r="171" spans="1:24" x14ac:dyDescent="0.2">
      <c r="A171" s="1">
        <v>169</v>
      </c>
      <c r="B171" s="1" t="s">
        <v>2</v>
      </c>
      <c r="C171" s="1" t="s">
        <v>2781</v>
      </c>
      <c r="D171" s="1" t="s">
        <v>869</v>
      </c>
      <c r="E171" s="15" t="s">
        <v>818</v>
      </c>
      <c r="F171" s="66" t="s">
        <v>926</v>
      </c>
      <c r="G171" s="24" t="s">
        <v>2809</v>
      </c>
      <c r="H171" s="15" t="s">
        <v>2788</v>
      </c>
      <c r="I171" s="16">
        <v>25</v>
      </c>
      <c r="J171" s="16" t="str">
        <f t="shared" si="8"/>
        <v>Young</v>
      </c>
      <c r="K171" s="25">
        <v>3</v>
      </c>
      <c r="L171" s="42">
        <v>1650</v>
      </c>
      <c r="M171" s="15">
        <v>800</v>
      </c>
      <c r="N171" s="39">
        <f t="shared" si="6"/>
        <v>4950</v>
      </c>
      <c r="O171" s="39">
        <f t="shared" si="7"/>
        <v>2550</v>
      </c>
      <c r="P171" s="24" t="s">
        <v>2057</v>
      </c>
      <c r="Q171" s="24" t="s">
        <v>2020</v>
      </c>
      <c r="R171" s="1" t="s">
        <v>2013</v>
      </c>
      <c r="S171" s="15" t="s">
        <v>2082</v>
      </c>
      <c r="T171" s="15" t="s">
        <v>2442</v>
      </c>
      <c r="U171" s="25" t="s">
        <v>2089</v>
      </c>
      <c r="V171" s="25" t="s">
        <v>2434</v>
      </c>
      <c r="W171" s="80">
        <v>45132</v>
      </c>
      <c r="X171" s="21" t="s">
        <v>2813</v>
      </c>
    </row>
    <row r="172" spans="1:24" x14ac:dyDescent="0.2">
      <c r="A172" s="1">
        <v>170</v>
      </c>
      <c r="B172" s="1" t="s">
        <v>7</v>
      </c>
      <c r="C172" s="1" t="s">
        <v>2781</v>
      </c>
      <c r="D172" s="1" t="s">
        <v>869</v>
      </c>
      <c r="E172" s="15" t="s">
        <v>826</v>
      </c>
      <c r="F172" s="66" t="s">
        <v>927</v>
      </c>
      <c r="G172" s="24" t="s">
        <v>2794</v>
      </c>
      <c r="H172" s="15" t="s">
        <v>2789</v>
      </c>
      <c r="I172" s="16">
        <v>43</v>
      </c>
      <c r="J172" s="16" t="str">
        <f t="shared" si="8"/>
        <v>Middle Age</v>
      </c>
      <c r="K172" s="25">
        <v>4</v>
      </c>
      <c r="L172" s="42">
        <v>1100</v>
      </c>
      <c r="M172" s="15">
        <v>700</v>
      </c>
      <c r="N172" s="39">
        <f t="shared" si="6"/>
        <v>4400</v>
      </c>
      <c r="O172" s="39">
        <f t="shared" si="7"/>
        <v>1600</v>
      </c>
      <c r="P172" s="24" t="s">
        <v>2058</v>
      </c>
      <c r="Q172" s="24" t="s">
        <v>2020</v>
      </c>
      <c r="R172" s="1" t="s">
        <v>2013</v>
      </c>
      <c r="S172" s="15" t="s">
        <v>2082</v>
      </c>
      <c r="T172" s="15" t="s">
        <v>2442</v>
      </c>
      <c r="U172" s="25" t="s">
        <v>2085</v>
      </c>
      <c r="V172" s="25" t="s">
        <v>2437</v>
      </c>
      <c r="W172" s="80">
        <v>45125</v>
      </c>
      <c r="X172" s="21" t="s">
        <v>2813</v>
      </c>
    </row>
    <row r="173" spans="1:24" x14ac:dyDescent="0.2">
      <c r="A173" s="1">
        <v>171</v>
      </c>
      <c r="B173" s="1" t="s">
        <v>8</v>
      </c>
      <c r="C173" s="1" t="s">
        <v>2781</v>
      </c>
      <c r="D173" s="1" t="s">
        <v>869</v>
      </c>
      <c r="E173" s="15" t="s">
        <v>817</v>
      </c>
      <c r="F173" s="66" t="s">
        <v>877</v>
      </c>
      <c r="G173" s="24" t="s">
        <v>2792</v>
      </c>
      <c r="H173" s="15" t="s">
        <v>2789</v>
      </c>
      <c r="I173" s="16">
        <v>58</v>
      </c>
      <c r="J173" s="16" t="str">
        <f t="shared" si="8"/>
        <v>Old</v>
      </c>
      <c r="K173" s="25">
        <v>5</v>
      </c>
      <c r="L173" s="42">
        <v>1190</v>
      </c>
      <c r="M173" s="15">
        <v>650</v>
      </c>
      <c r="N173" s="39">
        <f t="shared" si="6"/>
        <v>5950</v>
      </c>
      <c r="O173" s="39">
        <f t="shared" si="7"/>
        <v>2700</v>
      </c>
      <c r="P173" s="24" t="s">
        <v>2019</v>
      </c>
      <c r="Q173" s="24" t="s">
        <v>2014</v>
      </c>
      <c r="R173" s="1" t="s">
        <v>2013</v>
      </c>
      <c r="S173" s="15" t="s">
        <v>2082</v>
      </c>
      <c r="T173" s="15" t="s">
        <v>2442</v>
      </c>
      <c r="U173" s="25" t="s">
        <v>2090</v>
      </c>
      <c r="V173" s="25" t="s">
        <v>2435</v>
      </c>
      <c r="W173" s="80">
        <v>44948</v>
      </c>
      <c r="X173" s="21" t="s">
        <v>2818</v>
      </c>
    </row>
    <row r="174" spans="1:24" x14ac:dyDescent="0.2">
      <c r="A174" s="1">
        <v>172</v>
      </c>
      <c r="B174" s="1" t="s">
        <v>7</v>
      </c>
      <c r="C174" s="1" t="s">
        <v>2781</v>
      </c>
      <c r="D174" s="1" t="s">
        <v>869</v>
      </c>
      <c r="E174" s="15" t="s">
        <v>817</v>
      </c>
      <c r="F174" s="66" t="s">
        <v>878</v>
      </c>
      <c r="G174" s="24" t="s">
        <v>2796</v>
      </c>
      <c r="H174" s="15" t="s">
        <v>2789</v>
      </c>
      <c r="I174" s="16">
        <v>20</v>
      </c>
      <c r="J174" s="16" t="str">
        <f t="shared" si="8"/>
        <v>Young</v>
      </c>
      <c r="K174" s="25">
        <v>2</v>
      </c>
      <c r="L174" s="42">
        <v>990</v>
      </c>
      <c r="M174" s="15">
        <v>400</v>
      </c>
      <c r="N174" s="39">
        <f t="shared" si="6"/>
        <v>1980</v>
      </c>
      <c r="O174" s="39">
        <f t="shared" si="7"/>
        <v>1180</v>
      </c>
      <c r="P174" s="24" t="s">
        <v>2046</v>
      </c>
      <c r="Q174" s="24" t="s">
        <v>2016</v>
      </c>
      <c r="R174" s="1" t="s">
        <v>2013</v>
      </c>
      <c r="S174" s="15" t="s">
        <v>2082</v>
      </c>
      <c r="T174" s="15" t="s">
        <v>2442</v>
      </c>
      <c r="U174" s="25" t="s">
        <v>2087</v>
      </c>
      <c r="V174" s="25" t="s">
        <v>2434</v>
      </c>
      <c r="W174" s="80">
        <v>45018</v>
      </c>
      <c r="X174" s="21" t="s">
        <v>2815</v>
      </c>
    </row>
    <row r="175" spans="1:24" x14ac:dyDescent="0.2">
      <c r="A175" s="1">
        <v>173</v>
      </c>
      <c r="B175" s="1" t="s">
        <v>7</v>
      </c>
      <c r="C175" s="1" t="s">
        <v>2781</v>
      </c>
      <c r="D175" s="1" t="s">
        <v>869</v>
      </c>
      <c r="E175" s="15" t="s">
        <v>824</v>
      </c>
      <c r="F175" s="66" t="s">
        <v>879</v>
      </c>
      <c r="G175" s="24" t="s">
        <v>2798</v>
      </c>
      <c r="H175" s="15" t="s">
        <v>2788</v>
      </c>
      <c r="I175" s="16">
        <v>49</v>
      </c>
      <c r="J175" s="16" t="str">
        <f t="shared" si="8"/>
        <v>Middle Age</v>
      </c>
      <c r="K175" s="25">
        <v>3</v>
      </c>
      <c r="L175" s="42">
        <v>890</v>
      </c>
      <c r="M175" s="15">
        <v>500</v>
      </c>
      <c r="N175" s="39">
        <f t="shared" si="6"/>
        <v>2670</v>
      </c>
      <c r="O175" s="39">
        <f t="shared" si="7"/>
        <v>1170</v>
      </c>
      <c r="P175" s="24" t="s">
        <v>2028</v>
      </c>
      <c r="Q175" s="15" t="s">
        <v>2024</v>
      </c>
      <c r="R175" s="1" t="s">
        <v>2013</v>
      </c>
      <c r="S175" s="15" t="s">
        <v>2082</v>
      </c>
      <c r="T175" s="15" t="s">
        <v>2442</v>
      </c>
      <c r="U175" s="25" t="s">
        <v>2090</v>
      </c>
      <c r="V175" s="25" t="s">
        <v>2436</v>
      </c>
      <c r="W175" s="80">
        <v>45021</v>
      </c>
      <c r="X175" s="21" t="s">
        <v>2815</v>
      </c>
    </row>
    <row r="176" spans="1:24" x14ac:dyDescent="0.2">
      <c r="A176" s="3">
        <v>174</v>
      </c>
      <c r="B176" s="3" t="s">
        <v>12</v>
      </c>
      <c r="C176" s="1" t="s">
        <v>2781</v>
      </c>
      <c r="D176" s="1" t="s">
        <v>869</v>
      </c>
      <c r="E176" s="29" t="s">
        <v>817</v>
      </c>
      <c r="F176" s="66" t="s">
        <v>880</v>
      </c>
      <c r="G176" s="24" t="s">
        <v>2800</v>
      </c>
      <c r="H176" s="15" t="s">
        <v>2789</v>
      </c>
      <c r="I176" s="16">
        <v>34</v>
      </c>
      <c r="J176" s="16" t="str">
        <f t="shared" si="8"/>
        <v>Young</v>
      </c>
      <c r="K176" s="25">
        <v>4</v>
      </c>
      <c r="L176" s="43">
        <v>1650</v>
      </c>
      <c r="M176" s="29">
        <v>1000</v>
      </c>
      <c r="N176" s="39">
        <f t="shared" si="6"/>
        <v>6600</v>
      </c>
      <c r="O176" s="39">
        <f t="shared" si="7"/>
        <v>2600</v>
      </c>
      <c r="P176" s="24" t="s">
        <v>2058</v>
      </c>
      <c r="Q176" s="24" t="s">
        <v>2020</v>
      </c>
      <c r="R176" s="1" t="s">
        <v>2013</v>
      </c>
      <c r="S176" s="15" t="s">
        <v>2082</v>
      </c>
      <c r="T176" s="15" t="s">
        <v>2442</v>
      </c>
      <c r="U176" s="25" t="s">
        <v>2083</v>
      </c>
      <c r="V176" s="25" t="s">
        <v>2437</v>
      </c>
      <c r="W176" s="80">
        <v>45050</v>
      </c>
      <c r="X176" s="21" t="s">
        <v>2786</v>
      </c>
    </row>
    <row r="177" spans="1:24" x14ac:dyDescent="0.2">
      <c r="A177" s="1">
        <v>175</v>
      </c>
      <c r="B177" s="1" t="s">
        <v>845</v>
      </c>
      <c r="C177" s="1" t="s">
        <v>2781</v>
      </c>
      <c r="D177" s="1" t="s">
        <v>869</v>
      </c>
      <c r="E177" s="15" t="s">
        <v>823</v>
      </c>
      <c r="F177" s="66" t="s">
        <v>878</v>
      </c>
      <c r="G177" s="24" t="s">
        <v>2802</v>
      </c>
      <c r="H177" s="15" t="s">
        <v>2789</v>
      </c>
      <c r="I177" s="16">
        <v>27</v>
      </c>
      <c r="J177" s="16" t="str">
        <f t="shared" si="8"/>
        <v>Young</v>
      </c>
      <c r="K177" s="25">
        <v>3</v>
      </c>
      <c r="L177" s="42">
        <v>890</v>
      </c>
      <c r="M177" s="15">
        <v>400</v>
      </c>
      <c r="N177" s="39">
        <f t="shared" si="6"/>
        <v>2670</v>
      </c>
      <c r="O177" s="39">
        <f t="shared" si="7"/>
        <v>1470</v>
      </c>
      <c r="P177" s="24" t="s">
        <v>2033</v>
      </c>
      <c r="Q177" s="24" t="s">
        <v>2016</v>
      </c>
      <c r="R177" s="1" t="s">
        <v>2013</v>
      </c>
      <c r="S177" s="15" t="s">
        <v>2082</v>
      </c>
      <c r="T177" s="15" t="s">
        <v>2442</v>
      </c>
      <c r="U177" s="25" t="s">
        <v>2084</v>
      </c>
      <c r="V177" s="25" t="s">
        <v>2435</v>
      </c>
      <c r="W177" s="80">
        <v>45222</v>
      </c>
      <c r="X177" s="21" t="s">
        <v>2821</v>
      </c>
    </row>
    <row r="178" spans="1:24" x14ac:dyDescent="0.2">
      <c r="A178" s="8">
        <v>176</v>
      </c>
      <c r="B178" s="8" t="s">
        <v>5</v>
      </c>
      <c r="C178" s="1" t="s">
        <v>2781</v>
      </c>
      <c r="D178" s="1" t="s">
        <v>869</v>
      </c>
      <c r="E178" s="32" t="s">
        <v>826</v>
      </c>
      <c r="F178" s="66" t="s">
        <v>926</v>
      </c>
      <c r="G178" s="24" t="s">
        <v>2804</v>
      </c>
      <c r="H178" s="15" t="s">
        <v>2788</v>
      </c>
      <c r="I178" s="16">
        <v>45</v>
      </c>
      <c r="J178" s="16" t="str">
        <f t="shared" si="8"/>
        <v>Middle Age</v>
      </c>
      <c r="K178" s="25">
        <v>1</v>
      </c>
      <c r="L178" s="46">
        <v>1240</v>
      </c>
      <c r="M178" s="32">
        <v>600</v>
      </c>
      <c r="N178" s="39">
        <f t="shared" si="6"/>
        <v>1240</v>
      </c>
      <c r="O178" s="39">
        <f t="shared" si="7"/>
        <v>640</v>
      </c>
      <c r="P178" s="24" t="s">
        <v>2046</v>
      </c>
      <c r="Q178" s="24" t="s">
        <v>2016</v>
      </c>
      <c r="R178" s="1" t="s">
        <v>2013</v>
      </c>
      <c r="S178" s="15" t="s">
        <v>2082</v>
      </c>
      <c r="T178" s="15" t="s">
        <v>2442</v>
      </c>
      <c r="U178" s="25" t="s">
        <v>2085</v>
      </c>
      <c r="V178" s="25" t="s">
        <v>2436</v>
      </c>
      <c r="W178" s="80">
        <v>45286</v>
      </c>
      <c r="X178" s="21" t="s">
        <v>2822</v>
      </c>
    </row>
    <row r="179" spans="1:24" x14ac:dyDescent="0.2">
      <c r="A179" s="3">
        <v>177</v>
      </c>
      <c r="B179" s="3" t="s">
        <v>5</v>
      </c>
      <c r="C179" s="1" t="s">
        <v>2781</v>
      </c>
      <c r="D179" s="1" t="s">
        <v>869</v>
      </c>
      <c r="E179" s="29" t="s">
        <v>824</v>
      </c>
      <c r="F179" s="66" t="s">
        <v>927</v>
      </c>
      <c r="G179" s="24" t="s">
        <v>2806</v>
      </c>
      <c r="H179" s="15" t="s">
        <v>2789</v>
      </c>
      <c r="I179" s="16">
        <v>52</v>
      </c>
      <c r="J179" s="16" t="str">
        <f t="shared" si="8"/>
        <v>Old</v>
      </c>
      <c r="K179" s="25">
        <v>4</v>
      </c>
      <c r="L179" s="43">
        <v>1090</v>
      </c>
      <c r="M179" s="29">
        <v>600</v>
      </c>
      <c r="N179" s="39">
        <f t="shared" si="6"/>
        <v>4360</v>
      </c>
      <c r="O179" s="39">
        <f t="shared" si="7"/>
        <v>1960</v>
      </c>
      <c r="P179" s="24" t="s">
        <v>2061</v>
      </c>
      <c r="Q179" s="24" t="s">
        <v>2014</v>
      </c>
      <c r="R179" s="1" t="s">
        <v>2013</v>
      </c>
      <c r="S179" s="15" t="s">
        <v>2082</v>
      </c>
      <c r="T179" s="15" t="s">
        <v>2442</v>
      </c>
      <c r="U179" s="25" t="s">
        <v>2087</v>
      </c>
      <c r="V179" s="25" t="s">
        <v>2434</v>
      </c>
      <c r="W179" s="80">
        <v>45085</v>
      </c>
      <c r="X179" s="21" t="s">
        <v>2814</v>
      </c>
    </row>
    <row r="180" spans="1:24" x14ac:dyDescent="0.2">
      <c r="A180" s="1">
        <v>178</v>
      </c>
      <c r="B180" s="1" t="s">
        <v>7</v>
      </c>
      <c r="C180" s="1" t="s">
        <v>2781</v>
      </c>
      <c r="D180" s="1" t="s">
        <v>869</v>
      </c>
      <c r="E180" s="15" t="s">
        <v>824</v>
      </c>
      <c r="F180" s="66" t="s">
        <v>877</v>
      </c>
      <c r="G180" s="24" t="s">
        <v>2808</v>
      </c>
      <c r="H180" s="15" t="s">
        <v>2789</v>
      </c>
      <c r="I180" s="16">
        <v>23</v>
      </c>
      <c r="J180" s="16" t="str">
        <f t="shared" si="8"/>
        <v>Young</v>
      </c>
      <c r="K180" s="25">
        <v>5</v>
      </c>
      <c r="L180" s="42">
        <v>990</v>
      </c>
      <c r="M180" s="15">
        <v>500</v>
      </c>
      <c r="N180" s="39">
        <f t="shared" si="6"/>
        <v>4950</v>
      </c>
      <c r="O180" s="39">
        <f t="shared" si="7"/>
        <v>2450</v>
      </c>
      <c r="P180" s="24" t="s">
        <v>2025</v>
      </c>
      <c r="Q180" s="24" t="s">
        <v>2024</v>
      </c>
      <c r="R180" s="1" t="s">
        <v>2013</v>
      </c>
      <c r="S180" s="15" t="s">
        <v>2082</v>
      </c>
      <c r="T180" s="15" t="s">
        <v>2442</v>
      </c>
      <c r="U180" s="25" t="s">
        <v>2083</v>
      </c>
      <c r="V180" s="25" t="s">
        <v>2437</v>
      </c>
      <c r="W180" s="80">
        <v>45073</v>
      </c>
      <c r="X180" s="21" t="s">
        <v>2786</v>
      </c>
    </row>
    <row r="181" spans="1:24" x14ac:dyDescent="0.2">
      <c r="A181" s="3">
        <v>179</v>
      </c>
      <c r="B181" s="3" t="s">
        <v>7</v>
      </c>
      <c r="C181" s="1" t="s">
        <v>2781</v>
      </c>
      <c r="D181" s="1" t="s">
        <v>869</v>
      </c>
      <c r="E181" s="29" t="s">
        <v>817</v>
      </c>
      <c r="F181" s="66" t="s">
        <v>878</v>
      </c>
      <c r="G181" s="24" t="s">
        <v>2810</v>
      </c>
      <c r="H181" s="15" t="s">
        <v>2789</v>
      </c>
      <c r="I181" s="16">
        <v>38</v>
      </c>
      <c r="J181" s="16" t="str">
        <f t="shared" si="8"/>
        <v>Middle Age</v>
      </c>
      <c r="K181" s="25">
        <v>3</v>
      </c>
      <c r="L181" s="43">
        <v>990</v>
      </c>
      <c r="M181" s="29">
        <v>400</v>
      </c>
      <c r="N181" s="39">
        <f t="shared" si="6"/>
        <v>2970</v>
      </c>
      <c r="O181" s="39">
        <f t="shared" si="7"/>
        <v>1770</v>
      </c>
      <c r="P181" s="24" t="s">
        <v>2022</v>
      </c>
      <c r="Q181" s="24" t="s">
        <v>2016</v>
      </c>
      <c r="R181" s="1" t="s">
        <v>2013</v>
      </c>
      <c r="S181" s="15" t="s">
        <v>2082</v>
      </c>
      <c r="T181" s="15" t="s">
        <v>2442</v>
      </c>
      <c r="U181" s="25" t="s">
        <v>2083</v>
      </c>
      <c r="V181" s="25" t="s">
        <v>2435</v>
      </c>
      <c r="W181" s="80">
        <v>45029</v>
      </c>
      <c r="X181" s="21" t="s">
        <v>2815</v>
      </c>
    </row>
    <row r="182" spans="1:24" x14ac:dyDescent="0.2">
      <c r="A182" s="3">
        <v>180</v>
      </c>
      <c r="B182" s="3" t="s">
        <v>51</v>
      </c>
      <c r="C182" s="1" t="s">
        <v>2781</v>
      </c>
      <c r="D182" s="1" t="s">
        <v>869</v>
      </c>
      <c r="E182" s="29" t="s">
        <v>817</v>
      </c>
      <c r="F182" s="66" t="s">
        <v>879</v>
      </c>
      <c r="G182" s="24" t="s">
        <v>2793</v>
      </c>
      <c r="H182" s="15" t="s">
        <v>2788</v>
      </c>
      <c r="I182" s="16">
        <v>41</v>
      </c>
      <c r="J182" s="16" t="str">
        <f t="shared" si="8"/>
        <v>Middle Age</v>
      </c>
      <c r="K182" s="25">
        <v>2</v>
      </c>
      <c r="L182" s="43">
        <v>1800</v>
      </c>
      <c r="M182" s="29">
        <v>1000</v>
      </c>
      <c r="N182" s="39">
        <f t="shared" si="6"/>
        <v>3600</v>
      </c>
      <c r="O182" s="39">
        <f t="shared" si="7"/>
        <v>1600</v>
      </c>
      <c r="P182" s="24" t="s">
        <v>2028</v>
      </c>
      <c r="Q182" s="15" t="s">
        <v>2024</v>
      </c>
      <c r="R182" s="1" t="s">
        <v>2013</v>
      </c>
      <c r="S182" s="15" t="s">
        <v>2082</v>
      </c>
      <c r="T182" s="15" t="s">
        <v>2442</v>
      </c>
      <c r="U182" s="25" t="s">
        <v>2086</v>
      </c>
      <c r="V182" s="25" t="s">
        <v>2434</v>
      </c>
      <c r="W182" s="80">
        <v>44943</v>
      </c>
      <c r="X182" s="21" t="s">
        <v>2818</v>
      </c>
    </row>
    <row r="183" spans="1:24" x14ac:dyDescent="0.2">
      <c r="A183" s="1">
        <v>181</v>
      </c>
      <c r="B183" s="1" t="s">
        <v>5</v>
      </c>
      <c r="C183" s="1" t="s">
        <v>2781</v>
      </c>
      <c r="D183" s="1" t="s">
        <v>869</v>
      </c>
      <c r="E183" s="15" t="s">
        <v>823</v>
      </c>
      <c r="F183" s="66" t="s">
        <v>880</v>
      </c>
      <c r="G183" s="24" t="s">
        <v>2791</v>
      </c>
      <c r="H183" s="15" t="s">
        <v>2789</v>
      </c>
      <c r="I183" s="16">
        <v>29</v>
      </c>
      <c r="J183" s="16" t="str">
        <f t="shared" si="8"/>
        <v>Young</v>
      </c>
      <c r="K183" s="25">
        <v>4</v>
      </c>
      <c r="L183" s="42">
        <v>1090</v>
      </c>
      <c r="M183" s="15">
        <v>600</v>
      </c>
      <c r="N183" s="39">
        <f t="shared" si="6"/>
        <v>4360</v>
      </c>
      <c r="O183" s="39">
        <f t="shared" si="7"/>
        <v>1960</v>
      </c>
      <c r="P183" s="24" t="s">
        <v>2055</v>
      </c>
      <c r="Q183" s="24" t="s">
        <v>2014</v>
      </c>
      <c r="R183" s="1" t="s">
        <v>2013</v>
      </c>
      <c r="S183" s="15" t="s">
        <v>2082</v>
      </c>
      <c r="T183" s="15" t="s">
        <v>2442</v>
      </c>
      <c r="U183" s="25" t="s">
        <v>2084</v>
      </c>
      <c r="V183" s="25" t="s">
        <v>2436</v>
      </c>
      <c r="W183" s="80">
        <v>45157</v>
      </c>
      <c r="X183" s="21" t="s">
        <v>2819</v>
      </c>
    </row>
    <row r="184" spans="1:24" x14ac:dyDescent="0.2">
      <c r="A184" s="3">
        <v>182</v>
      </c>
      <c r="B184" s="3" t="s">
        <v>5</v>
      </c>
      <c r="C184" s="1" t="s">
        <v>2781</v>
      </c>
      <c r="D184" s="1" t="s">
        <v>869</v>
      </c>
      <c r="E184" s="29" t="s">
        <v>824</v>
      </c>
      <c r="F184" s="66" t="s">
        <v>878</v>
      </c>
      <c r="G184" s="24" t="s">
        <v>2795</v>
      </c>
      <c r="H184" s="15" t="s">
        <v>2789</v>
      </c>
      <c r="I184" s="16">
        <v>60</v>
      </c>
      <c r="J184" s="16" t="str">
        <f t="shared" si="8"/>
        <v>Old</v>
      </c>
      <c r="K184" s="25">
        <v>1</v>
      </c>
      <c r="L184" s="43">
        <v>1090</v>
      </c>
      <c r="M184" s="29">
        <v>600</v>
      </c>
      <c r="N184" s="39">
        <f t="shared" si="6"/>
        <v>1090</v>
      </c>
      <c r="O184" s="39">
        <f t="shared" si="7"/>
        <v>490</v>
      </c>
      <c r="P184" s="24" t="s">
        <v>2022</v>
      </c>
      <c r="Q184" s="24" t="s">
        <v>2016</v>
      </c>
      <c r="R184" s="1" t="s">
        <v>2013</v>
      </c>
      <c r="S184" s="15" t="s">
        <v>2082</v>
      </c>
      <c r="T184" s="15" t="s">
        <v>2442</v>
      </c>
      <c r="U184" s="25" t="s">
        <v>2085</v>
      </c>
      <c r="V184" s="25" t="s">
        <v>2437</v>
      </c>
      <c r="W184" s="80">
        <v>45245</v>
      </c>
      <c r="X184" s="21" t="s">
        <v>2823</v>
      </c>
    </row>
    <row r="185" spans="1:24" x14ac:dyDescent="0.2">
      <c r="A185" s="4">
        <v>183</v>
      </c>
      <c r="B185" s="4" t="s">
        <v>5</v>
      </c>
      <c r="C185" s="1" t="s">
        <v>2781</v>
      </c>
      <c r="D185" s="1" t="s">
        <v>869</v>
      </c>
      <c r="E185" s="33" t="s">
        <v>826</v>
      </c>
      <c r="F185" s="66" t="s">
        <v>879</v>
      </c>
      <c r="G185" s="24" t="s">
        <v>2797</v>
      </c>
      <c r="H185" s="15" t="s">
        <v>2788</v>
      </c>
      <c r="I185" s="16">
        <v>33</v>
      </c>
      <c r="J185" s="16" t="str">
        <f t="shared" si="8"/>
        <v>Young</v>
      </c>
      <c r="K185" s="25">
        <v>5</v>
      </c>
      <c r="L185" s="47">
        <f>1090+150</f>
        <v>1240</v>
      </c>
      <c r="M185" s="33">
        <v>600</v>
      </c>
      <c r="N185" s="39">
        <f t="shared" si="6"/>
        <v>6200</v>
      </c>
      <c r="O185" s="39">
        <f t="shared" si="7"/>
        <v>3200</v>
      </c>
      <c r="P185" s="24" t="s">
        <v>2052</v>
      </c>
      <c r="Q185" s="15" t="s">
        <v>2016</v>
      </c>
      <c r="R185" s="1" t="s">
        <v>2013</v>
      </c>
      <c r="S185" s="15" t="s">
        <v>2082</v>
      </c>
      <c r="T185" s="15" t="s">
        <v>2442</v>
      </c>
      <c r="U185" s="25" t="s">
        <v>2089</v>
      </c>
      <c r="V185" s="25" t="s">
        <v>2435</v>
      </c>
      <c r="W185" s="80">
        <v>44974</v>
      </c>
      <c r="X185" s="21" t="s">
        <v>2817</v>
      </c>
    </row>
    <row r="186" spans="1:24" x14ac:dyDescent="0.2">
      <c r="A186" s="3">
        <v>184</v>
      </c>
      <c r="B186" s="3" t="s">
        <v>846</v>
      </c>
      <c r="C186" s="1" t="s">
        <v>2781</v>
      </c>
      <c r="D186" s="1" t="s">
        <v>869</v>
      </c>
      <c r="E186" s="29" t="s">
        <v>817</v>
      </c>
      <c r="F186" s="66" t="s">
        <v>880</v>
      </c>
      <c r="G186" s="24" t="s">
        <v>2799</v>
      </c>
      <c r="H186" s="15" t="s">
        <v>2789</v>
      </c>
      <c r="I186" s="16">
        <v>22</v>
      </c>
      <c r="J186" s="16" t="str">
        <f t="shared" si="8"/>
        <v>Young</v>
      </c>
      <c r="K186" s="25">
        <v>2</v>
      </c>
      <c r="L186" s="43">
        <v>1700</v>
      </c>
      <c r="M186" s="29">
        <v>650</v>
      </c>
      <c r="N186" s="39">
        <f t="shared" si="6"/>
        <v>3400</v>
      </c>
      <c r="O186" s="39">
        <f t="shared" si="7"/>
        <v>2100</v>
      </c>
      <c r="P186" s="24" t="s">
        <v>2035</v>
      </c>
      <c r="Q186" s="24" t="s">
        <v>2020</v>
      </c>
      <c r="R186" s="1" t="s">
        <v>2013</v>
      </c>
      <c r="S186" s="15" t="s">
        <v>2082</v>
      </c>
      <c r="T186" s="15" t="s">
        <v>2442</v>
      </c>
      <c r="U186" s="25" t="s">
        <v>2086</v>
      </c>
      <c r="V186" s="25" t="s">
        <v>2436</v>
      </c>
      <c r="W186" s="80">
        <v>45205</v>
      </c>
      <c r="X186" s="21" t="s">
        <v>2821</v>
      </c>
    </row>
    <row r="187" spans="1:24" x14ac:dyDescent="0.2">
      <c r="A187" s="1">
        <v>185</v>
      </c>
      <c r="B187" s="1" t="s">
        <v>13</v>
      </c>
      <c r="C187" s="1" t="s">
        <v>2781</v>
      </c>
      <c r="D187" s="1" t="s">
        <v>869</v>
      </c>
      <c r="E187" s="29" t="s">
        <v>824</v>
      </c>
      <c r="F187" s="66" t="s">
        <v>881</v>
      </c>
      <c r="G187" s="24" t="s">
        <v>2801</v>
      </c>
      <c r="H187" s="15" t="s">
        <v>2789</v>
      </c>
      <c r="I187" s="16">
        <v>47</v>
      </c>
      <c r="J187" s="16" t="str">
        <f t="shared" si="8"/>
        <v>Middle Age</v>
      </c>
      <c r="K187" s="25">
        <v>3</v>
      </c>
      <c r="L187" s="42">
        <v>790</v>
      </c>
      <c r="M187" s="15">
        <v>380</v>
      </c>
      <c r="N187" s="39">
        <f t="shared" si="6"/>
        <v>2370</v>
      </c>
      <c r="O187" s="39">
        <f t="shared" si="7"/>
        <v>1230</v>
      </c>
      <c r="P187" s="24" t="s">
        <v>2041</v>
      </c>
      <c r="Q187" s="24" t="s">
        <v>2016</v>
      </c>
      <c r="R187" s="1" t="s">
        <v>2013</v>
      </c>
      <c r="S187" s="15" t="s">
        <v>2082</v>
      </c>
      <c r="T187" s="15" t="s">
        <v>2442</v>
      </c>
      <c r="U187" s="25" t="s">
        <v>2090</v>
      </c>
      <c r="V187" s="25" t="s">
        <v>2434</v>
      </c>
      <c r="W187" s="80">
        <v>45182</v>
      </c>
      <c r="X187" s="21" t="s">
        <v>2820</v>
      </c>
    </row>
    <row r="188" spans="1:24" x14ac:dyDescent="0.2">
      <c r="A188" s="1">
        <v>186</v>
      </c>
      <c r="B188" s="1" t="s">
        <v>1</v>
      </c>
      <c r="C188" s="1" t="s">
        <v>2781</v>
      </c>
      <c r="D188" s="1" t="s">
        <v>869</v>
      </c>
      <c r="E188" s="29" t="s">
        <v>826</v>
      </c>
      <c r="F188" s="66" t="s">
        <v>882</v>
      </c>
      <c r="G188" s="24" t="s">
        <v>2803</v>
      </c>
      <c r="H188" s="15" t="s">
        <v>2788</v>
      </c>
      <c r="I188" s="16">
        <v>55</v>
      </c>
      <c r="J188" s="16" t="str">
        <f t="shared" si="8"/>
        <v>Old</v>
      </c>
      <c r="K188" s="25">
        <v>4</v>
      </c>
      <c r="L188" s="42">
        <v>890</v>
      </c>
      <c r="M188" s="15">
        <v>500</v>
      </c>
      <c r="N188" s="39">
        <f t="shared" si="6"/>
        <v>3560</v>
      </c>
      <c r="O188" s="39">
        <f t="shared" si="7"/>
        <v>1560</v>
      </c>
      <c r="P188" s="24" t="s">
        <v>2035</v>
      </c>
      <c r="Q188" s="24" t="s">
        <v>2020</v>
      </c>
      <c r="R188" s="1" t="s">
        <v>2013</v>
      </c>
      <c r="S188" s="15" t="s">
        <v>2082</v>
      </c>
      <c r="T188" s="15" t="s">
        <v>2442</v>
      </c>
      <c r="U188" s="25" t="s">
        <v>2084</v>
      </c>
      <c r="V188" s="25" t="s">
        <v>2437</v>
      </c>
      <c r="W188" s="80">
        <v>44930</v>
      </c>
      <c r="X188" s="21" t="s">
        <v>2818</v>
      </c>
    </row>
    <row r="189" spans="1:24" x14ac:dyDescent="0.2">
      <c r="A189" s="1">
        <v>187</v>
      </c>
      <c r="B189" s="1" t="s">
        <v>9</v>
      </c>
      <c r="C189" s="1" t="s">
        <v>2781</v>
      </c>
      <c r="D189" s="1" t="s">
        <v>869</v>
      </c>
      <c r="E189" s="15" t="s">
        <v>826</v>
      </c>
      <c r="F189" s="66" t="s">
        <v>881</v>
      </c>
      <c r="G189" s="24" t="s">
        <v>2805</v>
      </c>
      <c r="H189" s="15" t="s">
        <v>2789</v>
      </c>
      <c r="I189" s="16">
        <v>36</v>
      </c>
      <c r="J189" s="16" t="str">
        <f t="shared" si="8"/>
        <v>Middle Age</v>
      </c>
      <c r="K189" s="25">
        <v>1</v>
      </c>
      <c r="L189" s="42">
        <v>990</v>
      </c>
      <c r="M189" s="15">
        <v>500</v>
      </c>
      <c r="N189" s="39">
        <f t="shared" si="6"/>
        <v>990</v>
      </c>
      <c r="O189" s="39">
        <f t="shared" si="7"/>
        <v>490</v>
      </c>
      <c r="P189" s="24" t="s">
        <v>2046</v>
      </c>
      <c r="Q189" s="24" t="s">
        <v>2016</v>
      </c>
      <c r="R189" s="1" t="s">
        <v>2013</v>
      </c>
      <c r="S189" s="15" t="s">
        <v>2082</v>
      </c>
      <c r="T189" s="15" t="s">
        <v>2442</v>
      </c>
      <c r="U189" s="25" t="s">
        <v>2088</v>
      </c>
      <c r="V189" s="25" t="s">
        <v>2435</v>
      </c>
      <c r="W189" s="80">
        <v>45081</v>
      </c>
      <c r="X189" s="21" t="s">
        <v>2814</v>
      </c>
    </row>
    <row r="190" spans="1:24" x14ac:dyDescent="0.2">
      <c r="A190" s="1">
        <v>188</v>
      </c>
      <c r="B190" s="1" t="s">
        <v>13</v>
      </c>
      <c r="C190" s="1" t="s">
        <v>2781</v>
      </c>
      <c r="D190" s="1" t="s">
        <v>869</v>
      </c>
      <c r="E190" s="15" t="s">
        <v>818</v>
      </c>
      <c r="F190" s="66" t="s">
        <v>883</v>
      </c>
      <c r="G190" s="24" t="s">
        <v>2807</v>
      </c>
      <c r="H190" s="15" t="s">
        <v>2788</v>
      </c>
      <c r="I190" s="16">
        <v>28</v>
      </c>
      <c r="J190" s="16" t="str">
        <f t="shared" si="8"/>
        <v>Young</v>
      </c>
      <c r="K190" s="25">
        <v>5</v>
      </c>
      <c r="L190" s="42">
        <v>940</v>
      </c>
      <c r="M190" s="15">
        <v>500</v>
      </c>
      <c r="N190" s="39">
        <f t="shared" si="6"/>
        <v>4700</v>
      </c>
      <c r="O190" s="39">
        <f t="shared" si="7"/>
        <v>2200</v>
      </c>
      <c r="P190" s="24" t="s">
        <v>2058</v>
      </c>
      <c r="Q190" s="24" t="s">
        <v>2020</v>
      </c>
      <c r="R190" s="1" t="s">
        <v>2013</v>
      </c>
      <c r="S190" s="15" t="s">
        <v>2082</v>
      </c>
      <c r="T190" s="15" t="s">
        <v>2442</v>
      </c>
      <c r="U190" s="25" t="s">
        <v>2085</v>
      </c>
      <c r="V190" s="25" t="s">
        <v>2434</v>
      </c>
      <c r="W190" s="80">
        <v>44953</v>
      </c>
      <c r="X190" s="21" t="s">
        <v>2818</v>
      </c>
    </row>
    <row r="191" spans="1:24" x14ac:dyDescent="0.2">
      <c r="A191" s="1">
        <v>189</v>
      </c>
      <c r="B191" s="1" t="s">
        <v>1</v>
      </c>
      <c r="C191" s="1" t="s">
        <v>2781</v>
      </c>
      <c r="D191" s="1" t="s">
        <v>869</v>
      </c>
      <c r="E191" s="15" t="s">
        <v>818</v>
      </c>
      <c r="F191" s="66" t="s">
        <v>884</v>
      </c>
      <c r="G191" s="24" t="s">
        <v>2809</v>
      </c>
      <c r="H191" s="15" t="s">
        <v>2788</v>
      </c>
      <c r="I191" s="16">
        <v>50</v>
      </c>
      <c r="J191" s="16" t="str">
        <f t="shared" si="8"/>
        <v>Old</v>
      </c>
      <c r="K191" s="25">
        <v>3</v>
      </c>
      <c r="L191" s="42">
        <v>690</v>
      </c>
      <c r="M191" s="15">
        <v>380</v>
      </c>
      <c r="N191" s="39">
        <f t="shared" si="6"/>
        <v>2070</v>
      </c>
      <c r="O191" s="39">
        <f t="shared" si="7"/>
        <v>930</v>
      </c>
      <c r="P191" s="24" t="s">
        <v>2039</v>
      </c>
      <c r="Q191" s="24" t="s">
        <v>2014</v>
      </c>
      <c r="R191" s="1" t="s">
        <v>2013</v>
      </c>
      <c r="S191" s="15" t="s">
        <v>2082</v>
      </c>
      <c r="T191" s="15" t="s">
        <v>2442</v>
      </c>
      <c r="U191" s="25" t="s">
        <v>2084</v>
      </c>
      <c r="V191" s="25" t="s">
        <v>2436</v>
      </c>
      <c r="W191" s="80">
        <v>45287</v>
      </c>
      <c r="X191" s="21" t="s">
        <v>2822</v>
      </c>
    </row>
    <row r="192" spans="1:24" x14ac:dyDescent="0.2">
      <c r="A192" s="1">
        <v>190</v>
      </c>
      <c r="B192" s="1" t="s">
        <v>12</v>
      </c>
      <c r="C192" s="1" t="s">
        <v>2781</v>
      </c>
      <c r="D192" s="1" t="s">
        <v>869</v>
      </c>
      <c r="E192" s="15" t="s">
        <v>817</v>
      </c>
      <c r="F192" s="67" t="s">
        <v>931</v>
      </c>
      <c r="G192" s="24" t="s">
        <v>2794</v>
      </c>
      <c r="H192" s="15" t="s">
        <v>2788</v>
      </c>
      <c r="I192" s="16">
        <v>39</v>
      </c>
      <c r="J192" s="16" t="str">
        <f t="shared" si="8"/>
        <v>Middle Age</v>
      </c>
      <c r="K192" s="25">
        <v>2</v>
      </c>
      <c r="L192" s="42">
        <v>1000</v>
      </c>
      <c r="M192" s="15">
        <v>300</v>
      </c>
      <c r="N192" s="39">
        <f t="shared" si="6"/>
        <v>2000</v>
      </c>
      <c r="O192" s="39">
        <f t="shared" si="7"/>
        <v>1400</v>
      </c>
      <c r="P192" s="24" t="s">
        <v>2047</v>
      </c>
      <c r="Q192" s="24" t="s">
        <v>2024</v>
      </c>
      <c r="R192" s="1" t="s">
        <v>2013</v>
      </c>
      <c r="S192" s="15" t="s">
        <v>2082</v>
      </c>
      <c r="T192" s="15" t="s">
        <v>2442</v>
      </c>
      <c r="U192" s="25" t="s">
        <v>2083</v>
      </c>
      <c r="V192" s="25" t="s">
        <v>2437</v>
      </c>
      <c r="W192" s="80">
        <v>45148</v>
      </c>
      <c r="X192" s="21" t="s">
        <v>2819</v>
      </c>
    </row>
    <row r="193" spans="1:24" x14ac:dyDescent="0.2">
      <c r="A193" s="1">
        <v>191</v>
      </c>
      <c r="B193" s="1" t="s">
        <v>5</v>
      </c>
      <c r="C193" s="1" t="s">
        <v>2781</v>
      </c>
      <c r="D193" s="1" t="s">
        <v>869</v>
      </c>
      <c r="E193" s="15" t="s">
        <v>817</v>
      </c>
      <c r="F193" s="66" t="s">
        <v>929</v>
      </c>
      <c r="G193" s="24" t="s">
        <v>2792</v>
      </c>
      <c r="H193" s="15" t="s">
        <v>2789</v>
      </c>
      <c r="I193" s="16">
        <v>31</v>
      </c>
      <c r="J193" s="16" t="str">
        <f t="shared" si="8"/>
        <v>Young</v>
      </c>
      <c r="K193" s="25">
        <v>4</v>
      </c>
      <c r="L193" s="42">
        <v>2000</v>
      </c>
      <c r="M193" s="15">
        <v>1400</v>
      </c>
      <c r="N193" s="39">
        <f t="shared" si="6"/>
        <v>8000</v>
      </c>
      <c r="O193" s="39">
        <f t="shared" si="7"/>
        <v>2400</v>
      </c>
      <c r="P193" s="24" t="s">
        <v>2043</v>
      </c>
      <c r="Q193" s="24" t="s">
        <v>2016</v>
      </c>
      <c r="R193" s="1" t="s">
        <v>2013</v>
      </c>
      <c r="S193" s="15" t="s">
        <v>2082</v>
      </c>
      <c r="T193" s="15" t="s">
        <v>2442</v>
      </c>
      <c r="U193" s="25" t="s">
        <v>2086</v>
      </c>
      <c r="V193" s="25" t="s">
        <v>2435</v>
      </c>
      <c r="W193" s="80">
        <v>45275</v>
      </c>
      <c r="X193" s="21" t="s">
        <v>2822</v>
      </c>
    </row>
    <row r="194" spans="1:24" x14ac:dyDescent="0.2">
      <c r="A194" s="3">
        <v>192</v>
      </c>
      <c r="B194" s="3" t="s">
        <v>16</v>
      </c>
      <c r="C194" s="1" t="s">
        <v>2781</v>
      </c>
      <c r="D194" s="1" t="s">
        <v>869</v>
      </c>
      <c r="E194" s="29" t="s">
        <v>818</v>
      </c>
      <c r="F194" s="66" t="s">
        <v>882</v>
      </c>
      <c r="G194" s="24" t="s">
        <v>2796</v>
      </c>
      <c r="H194" s="15" t="s">
        <v>2788</v>
      </c>
      <c r="I194" s="16">
        <v>44</v>
      </c>
      <c r="J194" s="16" t="str">
        <f t="shared" si="8"/>
        <v>Middle Age</v>
      </c>
      <c r="K194" s="25">
        <v>1</v>
      </c>
      <c r="L194" s="43">
        <v>890</v>
      </c>
      <c r="M194" s="29">
        <v>400</v>
      </c>
      <c r="N194" s="39">
        <f t="shared" ref="N194:N257" si="9">L194*K194</f>
        <v>890</v>
      </c>
      <c r="O194" s="39">
        <f t="shared" ref="O194:O257" si="10">N194-(M194*K194)</f>
        <v>490</v>
      </c>
      <c r="P194" s="24" t="s">
        <v>2035</v>
      </c>
      <c r="Q194" s="24" t="s">
        <v>2020</v>
      </c>
      <c r="R194" s="1" t="s">
        <v>2013</v>
      </c>
      <c r="S194" s="15" t="s">
        <v>2082</v>
      </c>
      <c r="T194" s="15" t="s">
        <v>2442</v>
      </c>
      <c r="U194" s="25" t="s">
        <v>2089</v>
      </c>
      <c r="V194" s="25" t="s">
        <v>2436</v>
      </c>
      <c r="W194" s="80">
        <v>45107</v>
      </c>
      <c r="X194" s="21" t="s">
        <v>2814</v>
      </c>
    </row>
    <row r="195" spans="1:24" x14ac:dyDescent="0.2">
      <c r="A195" s="3">
        <v>193</v>
      </c>
      <c r="B195" s="3" t="s">
        <v>5</v>
      </c>
      <c r="C195" s="1" t="s">
        <v>2781</v>
      </c>
      <c r="D195" s="1" t="s">
        <v>869</v>
      </c>
      <c r="E195" s="29" t="s">
        <v>826</v>
      </c>
      <c r="F195" s="66" t="s">
        <v>930</v>
      </c>
      <c r="G195" s="24" t="s">
        <v>2798</v>
      </c>
      <c r="H195" s="15" t="s">
        <v>2788</v>
      </c>
      <c r="I195" s="16">
        <v>26</v>
      </c>
      <c r="J195" s="16" t="str">
        <f t="shared" ref="J195:J258" si="11">IF(I195&lt;=35,"Young",IF(I195&lt;=49,"Middle Age",IF(I195&gt;=50,"Old")))</f>
        <v>Young</v>
      </c>
      <c r="K195" s="25">
        <v>5</v>
      </c>
      <c r="L195" s="43">
        <v>1000</v>
      </c>
      <c r="M195" s="29">
        <v>450</v>
      </c>
      <c r="N195" s="39">
        <f t="shared" si="9"/>
        <v>5000</v>
      </c>
      <c r="O195" s="39">
        <f t="shared" si="10"/>
        <v>2750</v>
      </c>
      <c r="P195" s="24" t="s">
        <v>2060</v>
      </c>
      <c r="Q195" s="24" t="s">
        <v>2024</v>
      </c>
      <c r="R195" s="1" t="s">
        <v>2013</v>
      </c>
      <c r="S195" s="15" t="s">
        <v>2082</v>
      </c>
      <c r="T195" s="15" t="s">
        <v>2442</v>
      </c>
      <c r="U195" s="25" t="s">
        <v>2090</v>
      </c>
      <c r="V195" s="25" t="s">
        <v>2434</v>
      </c>
      <c r="W195" s="80">
        <v>45188</v>
      </c>
      <c r="X195" s="21" t="s">
        <v>2820</v>
      </c>
    </row>
    <row r="196" spans="1:24" x14ac:dyDescent="0.2">
      <c r="A196" s="3">
        <v>194</v>
      </c>
      <c r="B196" s="3" t="s">
        <v>2</v>
      </c>
      <c r="C196" s="1" t="s">
        <v>2781</v>
      </c>
      <c r="D196" s="1" t="s">
        <v>869</v>
      </c>
      <c r="E196" s="29" t="s">
        <v>824</v>
      </c>
      <c r="F196" s="67" t="s">
        <v>915</v>
      </c>
      <c r="G196" s="24" t="s">
        <v>2800</v>
      </c>
      <c r="H196" s="15" t="s">
        <v>2788</v>
      </c>
      <c r="I196" s="16">
        <v>48</v>
      </c>
      <c r="J196" s="16" t="str">
        <f t="shared" si="11"/>
        <v>Middle Age</v>
      </c>
      <c r="K196" s="25">
        <v>2</v>
      </c>
      <c r="L196" s="43">
        <v>930</v>
      </c>
      <c r="M196" s="29">
        <v>600</v>
      </c>
      <c r="N196" s="39">
        <f t="shared" si="9"/>
        <v>1860</v>
      </c>
      <c r="O196" s="39">
        <f t="shared" si="10"/>
        <v>660</v>
      </c>
      <c r="P196" s="24" t="s">
        <v>2062</v>
      </c>
      <c r="Q196" s="15" t="s">
        <v>2828</v>
      </c>
      <c r="R196" s="1" t="s">
        <v>2013</v>
      </c>
      <c r="S196" s="15" t="s">
        <v>2082</v>
      </c>
      <c r="T196" s="15" t="s">
        <v>2442</v>
      </c>
      <c r="U196" s="25" t="s">
        <v>2089</v>
      </c>
      <c r="V196" s="25" t="s">
        <v>2437</v>
      </c>
      <c r="W196" s="80">
        <v>45180</v>
      </c>
      <c r="X196" s="21" t="s">
        <v>2820</v>
      </c>
    </row>
    <row r="197" spans="1:24" x14ac:dyDescent="0.2">
      <c r="A197" s="3">
        <v>195</v>
      </c>
      <c r="B197" s="3" t="s">
        <v>18</v>
      </c>
      <c r="C197" s="1" t="s">
        <v>2781</v>
      </c>
      <c r="D197" s="1" t="s">
        <v>869</v>
      </c>
      <c r="E197" s="29" t="s">
        <v>817</v>
      </c>
      <c r="F197" s="66" t="s">
        <v>920</v>
      </c>
      <c r="G197" s="24" t="s">
        <v>2802</v>
      </c>
      <c r="H197" s="15" t="s">
        <v>2789</v>
      </c>
      <c r="I197" s="16">
        <v>53</v>
      </c>
      <c r="J197" s="16" t="str">
        <f t="shared" si="11"/>
        <v>Old</v>
      </c>
      <c r="K197" s="25">
        <v>3</v>
      </c>
      <c r="L197" s="43">
        <v>1000</v>
      </c>
      <c r="M197" s="29">
        <v>650</v>
      </c>
      <c r="N197" s="39">
        <f t="shared" si="9"/>
        <v>3000</v>
      </c>
      <c r="O197" s="39">
        <f t="shared" si="10"/>
        <v>1050</v>
      </c>
      <c r="P197" s="24" t="s">
        <v>2052</v>
      </c>
      <c r="Q197" s="15" t="s">
        <v>2016</v>
      </c>
      <c r="R197" s="1" t="s">
        <v>2013</v>
      </c>
      <c r="S197" s="15" t="s">
        <v>2082</v>
      </c>
      <c r="T197" s="15" t="s">
        <v>2442</v>
      </c>
      <c r="U197" s="25" t="s">
        <v>2089</v>
      </c>
      <c r="V197" s="25" t="s">
        <v>2435</v>
      </c>
      <c r="W197" s="80">
        <v>45230</v>
      </c>
      <c r="X197" s="21" t="s">
        <v>2821</v>
      </c>
    </row>
    <row r="198" spans="1:24" x14ac:dyDescent="0.2">
      <c r="A198" s="3">
        <v>196</v>
      </c>
      <c r="B198" s="3" t="s">
        <v>862</v>
      </c>
      <c r="C198" s="1" t="s">
        <v>2781</v>
      </c>
      <c r="D198" s="1" t="s">
        <v>869</v>
      </c>
      <c r="E198" s="29" t="s">
        <v>817</v>
      </c>
      <c r="F198" s="67" t="s">
        <v>921</v>
      </c>
      <c r="G198" s="24" t="s">
        <v>2804</v>
      </c>
      <c r="H198" s="15" t="s">
        <v>2789</v>
      </c>
      <c r="I198" s="16">
        <v>30</v>
      </c>
      <c r="J198" s="16" t="str">
        <f t="shared" si="11"/>
        <v>Young</v>
      </c>
      <c r="K198" s="25">
        <v>4</v>
      </c>
      <c r="L198" s="43">
        <v>1150</v>
      </c>
      <c r="M198" s="29">
        <v>700</v>
      </c>
      <c r="N198" s="39">
        <f t="shared" si="9"/>
        <v>4600</v>
      </c>
      <c r="O198" s="39">
        <f t="shared" si="10"/>
        <v>1800</v>
      </c>
      <c r="P198" s="24" t="s">
        <v>2046</v>
      </c>
      <c r="Q198" s="24" t="s">
        <v>2016</v>
      </c>
      <c r="R198" s="1" t="s">
        <v>2013</v>
      </c>
      <c r="S198" s="15" t="s">
        <v>2082</v>
      </c>
      <c r="T198" s="15" t="s">
        <v>2442</v>
      </c>
      <c r="U198" s="25" t="s">
        <v>2089</v>
      </c>
      <c r="V198" s="25" t="s">
        <v>2434</v>
      </c>
      <c r="W198" s="80">
        <v>45058</v>
      </c>
      <c r="X198" s="21" t="s">
        <v>2786</v>
      </c>
    </row>
    <row r="199" spans="1:24" x14ac:dyDescent="0.2">
      <c r="A199" s="3">
        <v>198</v>
      </c>
      <c r="B199" s="3" t="s">
        <v>2</v>
      </c>
      <c r="C199" s="1" t="s">
        <v>2781</v>
      </c>
      <c r="D199" s="1" t="s">
        <v>869</v>
      </c>
      <c r="E199" s="29" t="s">
        <v>824</v>
      </c>
      <c r="F199" s="67" t="s">
        <v>922</v>
      </c>
      <c r="G199" s="24" t="s">
        <v>2806</v>
      </c>
      <c r="H199" s="15" t="s">
        <v>2788</v>
      </c>
      <c r="I199" s="16">
        <v>37</v>
      </c>
      <c r="J199" s="16" t="str">
        <f t="shared" si="11"/>
        <v>Middle Age</v>
      </c>
      <c r="K199" s="25">
        <v>1</v>
      </c>
      <c r="L199" s="43">
        <v>670</v>
      </c>
      <c r="M199" s="29">
        <v>400</v>
      </c>
      <c r="N199" s="39">
        <f t="shared" si="9"/>
        <v>670</v>
      </c>
      <c r="O199" s="39">
        <f t="shared" si="10"/>
        <v>270</v>
      </c>
      <c r="P199" s="24" t="s">
        <v>2032</v>
      </c>
      <c r="Q199" s="15" t="s">
        <v>2016</v>
      </c>
      <c r="R199" s="1" t="s">
        <v>2013</v>
      </c>
      <c r="S199" s="15" t="s">
        <v>2082</v>
      </c>
      <c r="T199" s="15" t="s">
        <v>2442</v>
      </c>
      <c r="U199" s="25" t="s">
        <v>2086</v>
      </c>
      <c r="V199" s="25" t="s">
        <v>2436</v>
      </c>
      <c r="W199" s="80">
        <v>45023</v>
      </c>
      <c r="X199" s="21" t="s">
        <v>2815</v>
      </c>
    </row>
    <row r="200" spans="1:24" x14ac:dyDescent="0.2">
      <c r="A200" s="3">
        <v>199</v>
      </c>
      <c r="B200" s="3" t="s">
        <v>19</v>
      </c>
      <c r="C200" s="1" t="s">
        <v>2781</v>
      </c>
      <c r="D200" s="1" t="s">
        <v>869</v>
      </c>
      <c r="E200" s="29" t="s">
        <v>824</v>
      </c>
      <c r="F200" s="67" t="s">
        <v>923</v>
      </c>
      <c r="G200" s="24" t="s">
        <v>2808</v>
      </c>
      <c r="H200" s="15" t="s">
        <v>2788</v>
      </c>
      <c r="I200" s="16">
        <v>42</v>
      </c>
      <c r="J200" s="16" t="str">
        <f t="shared" si="11"/>
        <v>Middle Age</v>
      </c>
      <c r="K200" s="25">
        <v>5</v>
      </c>
      <c r="L200" s="43">
        <v>250</v>
      </c>
      <c r="M200" s="29">
        <v>100</v>
      </c>
      <c r="N200" s="39">
        <f t="shared" si="9"/>
        <v>1250</v>
      </c>
      <c r="O200" s="39">
        <f t="shared" si="10"/>
        <v>750</v>
      </c>
      <c r="P200" s="24" t="s">
        <v>2043</v>
      </c>
      <c r="Q200" s="24" t="s">
        <v>2016</v>
      </c>
      <c r="R200" s="1" t="s">
        <v>2013</v>
      </c>
      <c r="S200" s="15" t="s">
        <v>2082</v>
      </c>
      <c r="T200" s="15" t="s">
        <v>2442</v>
      </c>
      <c r="U200" s="25" t="s">
        <v>2084</v>
      </c>
      <c r="V200" s="25" t="s">
        <v>2437</v>
      </c>
      <c r="W200" s="80">
        <v>45142</v>
      </c>
      <c r="X200" s="21" t="s">
        <v>2819</v>
      </c>
    </row>
    <row r="201" spans="1:24" x14ac:dyDescent="0.2">
      <c r="A201" s="3">
        <v>200</v>
      </c>
      <c r="B201" s="3" t="s">
        <v>20</v>
      </c>
      <c r="C201" s="1" t="s">
        <v>2781</v>
      </c>
      <c r="D201" s="1" t="s">
        <v>869</v>
      </c>
      <c r="E201" s="29" t="s">
        <v>817</v>
      </c>
      <c r="F201" s="67" t="s">
        <v>924</v>
      </c>
      <c r="G201" s="24" t="s">
        <v>2810</v>
      </c>
      <c r="H201" s="15" t="s">
        <v>2789</v>
      </c>
      <c r="I201" s="16">
        <v>24</v>
      </c>
      <c r="J201" s="16" t="str">
        <f t="shared" si="11"/>
        <v>Young</v>
      </c>
      <c r="K201" s="25">
        <v>3</v>
      </c>
      <c r="L201" s="43">
        <v>1000</v>
      </c>
      <c r="M201" s="29">
        <v>500</v>
      </c>
      <c r="N201" s="39">
        <f t="shared" si="9"/>
        <v>3000</v>
      </c>
      <c r="O201" s="39">
        <f t="shared" si="10"/>
        <v>1500</v>
      </c>
      <c r="P201" s="24" t="s">
        <v>2026</v>
      </c>
      <c r="Q201" s="15" t="s">
        <v>2014</v>
      </c>
      <c r="R201" s="1" t="s">
        <v>2013</v>
      </c>
      <c r="S201" s="15" t="s">
        <v>2082</v>
      </c>
      <c r="T201" s="15" t="s">
        <v>2442</v>
      </c>
      <c r="U201" s="25" t="s">
        <v>2088</v>
      </c>
      <c r="V201" s="25" t="s">
        <v>2435</v>
      </c>
      <c r="W201" s="80">
        <v>45026</v>
      </c>
      <c r="X201" s="21" t="s">
        <v>2815</v>
      </c>
    </row>
    <row r="202" spans="1:24" x14ac:dyDescent="0.2">
      <c r="A202" s="3">
        <v>201</v>
      </c>
      <c r="B202" s="3" t="s">
        <v>6</v>
      </c>
      <c r="C202" s="1" t="s">
        <v>2781</v>
      </c>
      <c r="D202" s="1" t="s">
        <v>869</v>
      </c>
      <c r="E202" s="29" t="s">
        <v>818</v>
      </c>
      <c r="F202" s="67" t="s">
        <v>925</v>
      </c>
      <c r="G202" s="24" t="s">
        <v>2793</v>
      </c>
      <c r="H202" s="15" t="s">
        <v>2788</v>
      </c>
      <c r="I202" s="16">
        <v>28</v>
      </c>
      <c r="J202" s="16" t="str">
        <f t="shared" si="11"/>
        <v>Young</v>
      </c>
      <c r="K202" s="25">
        <v>5</v>
      </c>
      <c r="L202" s="43">
        <v>1150</v>
      </c>
      <c r="M202" s="29">
        <v>700</v>
      </c>
      <c r="N202" s="39">
        <f t="shared" si="9"/>
        <v>5750</v>
      </c>
      <c r="O202" s="39">
        <f t="shared" si="10"/>
        <v>2250</v>
      </c>
      <c r="P202" s="24" t="s">
        <v>2044</v>
      </c>
      <c r="Q202" s="24" t="s">
        <v>2020</v>
      </c>
      <c r="R202" s="1" t="s">
        <v>2013</v>
      </c>
      <c r="S202" s="15" t="s">
        <v>2082</v>
      </c>
      <c r="T202" s="15" t="s">
        <v>2442</v>
      </c>
      <c r="U202" s="25" t="s">
        <v>2089</v>
      </c>
      <c r="V202" s="25" t="s">
        <v>2436</v>
      </c>
      <c r="W202" s="80">
        <v>45082</v>
      </c>
      <c r="X202" s="21" t="s">
        <v>2814</v>
      </c>
    </row>
    <row r="203" spans="1:24" x14ac:dyDescent="0.2">
      <c r="A203" s="3">
        <v>202</v>
      </c>
      <c r="B203" s="3" t="s">
        <v>13</v>
      </c>
      <c r="C203" s="1" t="s">
        <v>2781</v>
      </c>
      <c r="D203" s="1" t="s">
        <v>869</v>
      </c>
      <c r="E203" s="29" t="s">
        <v>818</v>
      </c>
      <c r="F203" s="69" t="s">
        <v>904</v>
      </c>
      <c r="G203" s="24" t="s">
        <v>2791</v>
      </c>
      <c r="H203" s="15" t="s">
        <v>2788</v>
      </c>
      <c r="I203" s="16">
        <v>50</v>
      </c>
      <c r="J203" s="16" t="str">
        <f t="shared" si="11"/>
        <v>Old</v>
      </c>
      <c r="K203" s="25">
        <v>2</v>
      </c>
      <c r="L203" s="43">
        <v>790</v>
      </c>
      <c r="M203" s="29">
        <v>380</v>
      </c>
      <c r="N203" s="39">
        <f t="shared" si="9"/>
        <v>1580</v>
      </c>
      <c r="O203" s="39">
        <f t="shared" si="10"/>
        <v>820</v>
      </c>
      <c r="P203" s="24" t="s">
        <v>2039</v>
      </c>
      <c r="Q203" s="24" t="s">
        <v>2014</v>
      </c>
      <c r="R203" s="1" t="s">
        <v>2013</v>
      </c>
      <c r="S203" s="15" t="s">
        <v>2082</v>
      </c>
      <c r="T203" s="15" t="s">
        <v>2442</v>
      </c>
      <c r="U203" s="25" t="s">
        <v>2088</v>
      </c>
      <c r="V203" s="25" t="s">
        <v>2434</v>
      </c>
      <c r="W203" s="80">
        <v>45232</v>
      </c>
      <c r="X203" s="21" t="s">
        <v>2823</v>
      </c>
    </row>
    <row r="204" spans="1:24" x14ac:dyDescent="0.2">
      <c r="A204" s="3">
        <v>203</v>
      </c>
      <c r="B204" s="3" t="s">
        <v>847</v>
      </c>
      <c r="C204" s="1" t="s">
        <v>2781</v>
      </c>
      <c r="D204" s="1" t="s">
        <v>869</v>
      </c>
      <c r="E204" s="29" t="s">
        <v>818</v>
      </c>
      <c r="F204" s="66" t="s">
        <v>926</v>
      </c>
      <c r="G204" s="24" t="s">
        <v>2795</v>
      </c>
      <c r="H204" s="15" t="s">
        <v>2788</v>
      </c>
      <c r="I204" s="16">
        <v>39</v>
      </c>
      <c r="J204" s="16" t="str">
        <f t="shared" si="11"/>
        <v>Middle Age</v>
      </c>
      <c r="K204" s="25">
        <v>1</v>
      </c>
      <c r="L204" s="43">
        <v>1265</v>
      </c>
      <c r="M204" s="29">
        <v>700</v>
      </c>
      <c r="N204" s="39">
        <f t="shared" si="9"/>
        <v>1265</v>
      </c>
      <c r="O204" s="39">
        <f t="shared" si="10"/>
        <v>565</v>
      </c>
      <c r="P204" s="24" t="s">
        <v>2039</v>
      </c>
      <c r="Q204" s="24" t="s">
        <v>2014</v>
      </c>
      <c r="R204" s="1" t="s">
        <v>2013</v>
      </c>
      <c r="S204" s="15" t="s">
        <v>2082</v>
      </c>
      <c r="T204" s="15" t="s">
        <v>2442</v>
      </c>
      <c r="U204" s="25" t="s">
        <v>2089</v>
      </c>
      <c r="V204" s="25" t="s">
        <v>2437</v>
      </c>
      <c r="W204" s="80">
        <v>44952</v>
      </c>
      <c r="X204" s="21" t="s">
        <v>2818</v>
      </c>
    </row>
    <row r="205" spans="1:24" x14ac:dyDescent="0.2">
      <c r="A205" s="3">
        <v>204</v>
      </c>
      <c r="B205" s="3" t="s">
        <v>5</v>
      </c>
      <c r="C205" s="1" t="s">
        <v>2781</v>
      </c>
      <c r="D205" s="1" t="s">
        <v>869</v>
      </c>
      <c r="E205" s="29" t="s">
        <v>822</v>
      </c>
      <c r="F205" s="66" t="s">
        <v>927</v>
      </c>
      <c r="G205" s="24" t="s">
        <v>2797</v>
      </c>
      <c r="H205" s="15" t="s">
        <v>2789</v>
      </c>
      <c r="I205" s="16">
        <v>31</v>
      </c>
      <c r="J205" s="16" t="str">
        <f t="shared" si="11"/>
        <v>Young</v>
      </c>
      <c r="K205" s="25">
        <v>3</v>
      </c>
      <c r="L205" s="43">
        <v>1090</v>
      </c>
      <c r="M205" s="29">
        <v>600</v>
      </c>
      <c r="N205" s="39">
        <f t="shared" si="9"/>
        <v>3270</v>
      </c>
      <c r="O205" s="39">
        <f t="shared" si="10"/>
        <v>1470</v>
      </c>
      <c r="P205" s="24" t="s">
        <v>2050</v>
      </c>
      <c r="Q205" s="24" t="s">
        <v>2024</v>
      </c>
      <c r="R205" s="1" t="s">
        <v>2013</v>
      </c>
      <c r="S205" s="15" t="s">
        <v>2082</v>
      </c>
      <c r="T205" s="15" t="s">
        <v>2442</v>
      </c>
      <c r="U205" s="25" t="s">
        <v>2084</v>
      </c>
      <c r="V205" s="25" t="s">
        <v>2435</v>
      </c>
      <c r="W205" s="80">
        <v>44991</v>
      </c>
      <c r="X205" s="21" t="s">
        <v>2816</v>
      </c>
    </row>
    <row r="206" spans="1:24" x14ac:dyDescent="0.2">
      <c r="A206" s="3">
        <v>205</v>
      </c>
      <c r="B206" s="3" t="s">
        <v>5</v>
      </c>
      <c r="C206" s="1" t="s">
        <v>2781</v>
      </c>
      <c r="D206" s="1" t="s">
        <v>869</v>
      </c>
      <c r="E206" s="29" t="s">
        <v>817</v>
      </c>
      <c r="F206" s="67" t="s">
        <v>932</v>
      </c>
      <c r="G206" s="24" t="s">
        <v>2799</v>
      </c>
      <c r="H206" s="15" t="s">
        <v>2789</v>
      </c>
      <c r="I206" s="16">
        <v>44</v>
      </c>
      <c r="J206" s="16" t="str">
        <f t="shared" si="11"/>
        <v>Middle Age</v>
      </c>
      <c r="K206" s="25">
        <v>4</v>
      </c>
      <c r="L206" s="43">
        <v>1090</v>
      </c>
      <c r="M206" s="29">
        <v>600</v>
      </c>
      <c r="N206" s="39">
        <f t="shared" si="9"/>
        <v>4360</v>
      </c>
      <c r="O206" s="39">
        <f t="shared" si="10"/>
        <v>1960</v>
      </c>
      <c r="P206" s="24" t="s">
        <v>2031</v>
      </c>
      <c r="Q206" s="24" t="s">
        <v>2016</v>
      </c>
      <c r="R206" s="1" t="s">
        <v>2013</v>
      </c>
      <c r="S206" s="15" t="s">
        <v>2082</v>
      </c>
      <c r="T206" s="15" t="s">
        <v>2442</v>
      </c>
      <c r="U206" s="25" t="s">
        <v>2087</v>
      </c>
      <c r="V206" s="25" t="s">
        <v>2434</v>
      </c>
      <c r="W206" s="80">
        <v>44949</v>
      </c>
      <c r="X206" s="21" t="s">
        <v>2818</v>
      </c>
    </row>
    <row r="207" spans="1:24" x14ac:dyDescent="0.2">
      <c r="A207" s="1">
        <v>206</v>
      </c>
      <c r="B207" s="1" t="s">
        <v>5</v>
      </c>
      <c r="C207" s="1" t="s">
        <v>2781</v>
      </c>
      <c r="D207" s="1" t="s">
        <v>869</v>
      </c>
      <c r="E207" s="15" t="s">
        <v>826</v>
      </c>
      <c r="F207" s="66" t="s">
        <v>933</v>
      </c>
      <c r="G207" s="24" t="s">
        <v>2801</v>
      </c>
      <c r="H207" s="15" t="s">
        <v>2789</v>
      </c>
      <c r="I207" s="16">
        <v>26</v>
      </c>
      <c r="J207" s="16" t="str">
        <f t="shared" si="11"/>
        <v>Young</v>
      </c>
      <c r="K207" s="25">
        <v>5</v>
      </c>
      <c r="L207" s="42">
        <v>1150</v>
      </c>
      <c r="M207" s="15">
        <v>600</v>
      </c>
      <c r="N207" s="39">
        <f t="shared" si="9"/>
        <v>5750</v>
      </c>
      <c r="O207" s="39">
        <f t="shared" si="10"/>
        <v>2750</v>
      </c>
      <c r="P207" s="24" t="s">
        <v>2017</v>
      </c>
      <c r="Q207" s="24" t="s">
        <v>2016</v>
      </c>
      <c r="R207" s="1" t="s">
        <v>2013</v>
      </c>
      <c r="S207" s="15" t="s">
        <v>2082</v>
      </c>
      <c r="T207" s="15" t="s">
        <v>2442</v>
      </c>
      <c r="U207" s="25" t="s">
        <v>2089</v>
      </c>
      <c r="V207" s="25" t="s">
        <v>2436</v>
      </c>
      <c r="W207" s="80">
        <v>44972</v>
      </c>
      <c r="X207" s="21" t="s">
        <v>2817</v>
      </c>
    </row>
    <row r="208" spans="1:24" x14ac:dyDescent="0.2">
      <c r="A208" s="3">
        <v>207</v>
      </c>
      <c r="B208" s="3" t="s">
        <v>16</v>
      </c>
      <c r="C208" s="1" t="s">
        <v>2781</v>
      </c>
      <c r="D208" s="1" t="s">
        <v>869</v>
      </c>
      <c r="E208" s="29" t="s">
        <v>818</v>
      </c>
      <c r="F208" s="67" t="s">
        <v>934</v>
      </c>
      <c r="G208" s="24" t="s">
        <v>2803</v>
      </c>
      <c r="H208" s="15" t="s">
        <v>2789</v>
      </c>
      <c r="I208" s="16">
        <v>48</v>
      </c>
      <c r="J208" s="16" t="str">
        <f t="shared" si="11"/>
        <v>Middle Age</v>
      </c>
      <c r="K208" s="25">
        <v>2</v>
      </c>
      <c r="L208" s="43">
        <v>710</v>
      </c>
      <c r="M208" s="29">
        <v>400</v>
      </c>
      <c r="N208" s="39">
        <f t="shared" si="9"/>
        <v>1420</v>
      </c>
      <c r="O208" s="39">
        <f t="shared" si="10"/>
        <v>620</v>
      </c>
      <c r="P208" s="24" t="s">
        <v>2047</v>
      </c>
      <c r="Q208" s="24" t="s">
        <v>2024</v>
      </c>
      <c r="R208" s="1" t="s">
        <v>2013</v>
      </c>
      <c r="S208" s="15" t="s">
        <v>2082</v>
      </c>
      <c r="T208" s="15" t="s">
        <v>2442</v>
      </c>
      <c r="U208" s="25" t="s">
        <v>2088</v>
      </c>
      <c r="V208" s="25" t="s">
        <v>2437</v>
      </c>
      <c r="W208" s="80">
        <v>44930</v>
      </c>
      <c r="X208" s="21" t="s">
        <v>2818</v>
      </c>
    </row>
    <row r="209" spans="1:24" x14ac:dyDescent="0.2">
      <c r="A209" s="3">
        <v>208</v>
      </c>
      <c r="B209" s="3" t="s">
        <v>7</v>
      </c>
      <c r="C209" s="1" t="s">
        <v>2781</v>
      </c>
      <c r="D209" s="1" t="s">
        <v>869</v>
      </c>
      <c r="E209" s="29" t="s">
        <v>824</v>
      </c>
      <c r="F209" s="67" t="s">
        <v>935</v>
      </c>
      <c r="G209" s="24" t="s">
        <v>2805</v>
      </c>
      <c r="H209" s="15" t="s">
        <v>2788</v>
      </c>
      <c r="I209" s="16">
        <v>53</v>
      </c>
      <c r="J209" s="16" t="str">
        <f t="shared" si="11"/>
        <v>Old</v>
      </c>
      <c r="K209" s="25">
        <v>3</v>
      </c>
      <c r="L209" s="43">
        <v>790</v>
      </c>
      <c r="M209" s="29">
        <v>500</v>
      </c>
      <c r="N209" s="39">
        <f t="shared" si="9"/>
        <v>2370</v>
      </c>
      <c r="O209" s="39">
        <f t="shared" si="10"/>
        <v>870</v>
      </c>
      <c r="P209" s="24" t="s">
        <v>2052</v>
      </c>
      <c r="Q209" s="15" t="s">
        <v>2016</v>
      </c>
      <c r="R209" s="1" t="s">
        <v>2013</v>
      </c>
      <c r="S209" s="15" t="s">
        <v>2082</v>
      </c>
      <c r="T209" s="15" t="s">
        <v>2442</v>
      </c>
      <c r="U209" s="25" t="s">
        <v>2090</v>
      </c>
      <c r="V209" s="25" t="s">
        <v>2435</v>
      </c>
      <c r="W209" s="80">
        <v>45102</v>
      </c>
      <c r="X209" s="21" t="s">
        <v>2814</v>
      </c>
    </row>
    <row r="210" spans="1:24" x14ac:dyDescent="0.2">
      <c r="A210" s="1">
        <v>209</v>
      </c>
      <c r="B210" s="1" t="s">
        <v>9</v>
      </c>
      <c r="C210" s="1" t="s">
        <v>2781</v>
      </c>
      <c r="D210" s="1" t="s">
        <v>869</v>
      </c>
      <c r="E210" s="15" t="s">
        <v>817</v>
      </c>
      <c r="F210" s="66" t="s">
        <v>881</v>
      </c>
      <c r="G210" s="24" t="s">
        <v>2807</v>
      </c>
      <c r="H210" s="15" t="s">
        <v>2789</v>
      </c>
      <c r="I210" s="16">
        <v>30</v>
      </c>
      <c r="J210" s="16" t="str">
        <f t="shared" si="11"/>
        <v>Young</v>
      </c>
      <c r="K210" s="25">
        <v>1</v>
      </c>
      <c r="L210" s="42">
        <v>1040</v>
      </c>
      <c r="M210" s="15">
        <v>600</v>
      </c>
      <c r="N210" s="39">
        <f t="shared" si="9"/>
        <v>1040</v>
      </c>
      <c r="O210" s="39">
        <f t="shared" si="10"/>
        <v>440</v>
      </c>
      <c r="P210" s="24" t="s">
        <v>2021</v>
      </c>
      <c r="Q210" s="24" t="s">
        <v>2020</v>
      </c>
      <c r="R210" s="1" t="s">
        <v>2013</v>
      </c>
      <c r="S210" s="15" t="s">
        <v>2082</v>
      </c>
      <c r="T210" s="15" t="s">
        <v>2442</v>
      </c>
      <c r="U210" s="25" t="s">
        <v>2086</v>
      </c>
      <c r="V210" s="25" t="s">
        <v>2436</v>
      </c>
      <c r="W210" s="80">
        <v>45290</v>
      </c>
      <c r="X210" s="21" t="s">
        <v>2822</v>
      </c>
    </row>
    <row r="211" spans="1:24" x14ac:dyDescent="0.2">
      <c r="A211" s="1">
        <v>210</v>
      </c>
      <c r="B211" s="1" t="s">
        <v>5</v>
      </c>
      <c r="C211" s="1" t="s">
        <v>2781</v>
      </c>
      <c r="D211" s="1" t="s">
        <v>869</v>
      </c>
      <c r="E211" s="15" t="s">
        <v>824</v>
      </c>
      <c r="F211" s="66" t="s">
        <v>882</v>
      </c>
      <c r="G211" s="24" t="s">
        <v>2809</v>
      </c>
      <c r="H211" s="15" t="s">
        <v>2788</v>
      </c>
      <c r="I211" s="16">
        <v>37</v>
      </c>
      <c r="J211" s="16" t="str">
        <f t="shared" si="11"/>
        <v>Middle Age</v>
      </c>
      <c r="K211" s="25">
        <v>4</v>
      </c>
      <c r="L211" s="42">
        <v>890</v>
      </c>
      <c r="M211" s="15">
        <v>400</v>
      </c>
      <c r="N211" s="39">
        <f t="shared" si="9"/>
        <v>3560</v>
      </c>
      <c r="O211" s="39">
        <f t="shared" si="10"/>
        <v>1960</v>
      </c>
      <c r="P211" s="24" t="s">
        <v>2041</v>
      </c>
      <c r="Q211" s="24" t="s">
        <v>2016</v>
      </c>
      <c r="R211" s="1" t="s">
        <v>2013</v>
      </c>
      <c r="S211" s="15" t="s">
        <v>2082</v>
      </c>
      <c r="T211" s="15" t="s">
        <v>2442</v>
      </c>
      <c r="U211" s="25" t="s">
        <v>2090</v>
      </c>
      <c r="V211" s="25" t="s">
        <v>2434</v>
      </c>
      <c r="W211" s="80">
        <v>45220</v>
      </c>
      <c r="X211" s="21" t="s">
        <v>2821</v>
      </c>
    </row>
    <row r="212" spans="1:24" x14ac:dyDescent="0.2">
      <c r="A212" s="1">
        <v>220</v>
      </c>
      <c r="B212" s="1" t="s">
        <v>5</v>
      </c>
      <c r="C212" s="1" t="s">
        <v>2781</v>
      </c>
      <c r="D212" s="1" t="s">
        <v>869</v>
      </c>
      <c r="E212" s="15" t="s">
        <v>818</v>
      </c>
      <c r="F212" s="66" t="s">
        <v>881</v>
      </c>
      <c r="G212" s="24" t="s">
        <v>2794</v>
      </c>
      <c r="H212" s="15" t="s">
        <v>2789</v>
      </c>
      <c r="I212" s="16">
        <v>42</v>
      </c>
      <c r="J212" s="16" t="str">
        <f t="shared" si="11"/>
        <v>Middle Age</v>
      </c>
      <c r="K212" s="25">
        <v>5</v>
      </c>
      <c r="L212" s="42">
        <v>1000</v>
      </c>
      <c r="M212" s="15">
        <v>600</v>
      </c>
      <c r="N212" s="39">
        <f t="shared" si="9"/>
        <v>5000</v>
      </c>
      <c r="O212" s="39">
        <f t="shared" si="10"/>
        <v>2000</v>
      </c>
      <c r="P212" s="24" t="s">
        <v>2022</v>
      </c>
      <c r="Q212" s="24" t="s">
        <v>2016</v>
      </c>
      <c r="R212" s="1" t="s">
        <v>2013</v>
      </c>
      <c r="S212" s="15" t="s">
        <v>2082</v>
      </c>
      <c r="T212" s="15" t="s">
        <v>2442</v>
      </c>
      <c r="U212" s="25" t="s">
        <v>2084</v>
      </c>
      <c r="V212" s="25" t="s">
        <v>2437</v>
      </c>
      <c r="W212" s="80">
        <v>45028</v>
      </c>
      <c r="X212" s="21" t="s">
        <v>2815</v>
      </c>
    </row>
    <row r="213" spans="1:24" x14ac:dyDescent="0.2">
      <c r="A213" s="1">
        <v>221</v>
      </c>
      <c r="B213" s="1" t="s">
        <v>2</v>
      </c>
      <c r="C213" s="1" t="s">
        <v>2781</v>
      </c>
      <c r="D213" s="1" t="s">
        <v>869</v>
      </c>
      <c r="E213" s="15" t="s">
        <v>817</v>
      </c>
      <c r="F213" s="66" t="s">
        <v>883</v>
      </c>
      <c r="G213" s="24" t="s">
        <v>2792</v>
      </c>
      <c r="H213" s="15" t="s">
        <v>2788</v>
      </c>
      <c r="I213" s="16">
        <v>24</v>
      </c>
      <c r="J213" s="16" t="str">
        <f t="shared" si="11"/>
        <v>Young</v>
      </c>
      <c r="K213" s="25">
        <v>3</v>
      </c>
      <c r="L213" s="42">
        <v>1655</v>
      </c>
      <c r="M213" s="15">
        <v>800</v>
      </c>
      <c r="N213" s="39">
        <f t="shared" si="9"/>
        <v>4965</v>
      </c>
      <c r="O213" s="39">
        <f t="shared" si="10"/>
        <v>2565</v>
      </c>
      <c r="P213" s="24" t="s">
        <v>2062</v>
      </c>
      <c r="Q213" s="15" t="s">
        <v>2828</v>
      </c>
      <c r="R213" s="1" t="s">
        <v>2013</v>
      </c>
      <c r="S213" s="15" t="s">
        <v>2082</v>
      </c>
      <c r="T213" s="15" t="s">
        <v>2442</v>
      </c>
      <c r="U213" s="25" t="s">
        <v>2085</v>
      </c>
      <c r="V213" s="25" t="s">
        <v>2435</v>
      </c>
      <c r="W213" s="80">
        <v>45107</v>
      </c>
      <c r="X213" s="21" t="s">
        <v>2814</v>
      </c>
    </row>
    <row r="214" spans="1:24" x14ac:dyDescent="0.2">
      <c r="A214" s="1">
        <v>222</v>
      </c>
      <c r="B214" s="1" t="s">
        <v>5</v>
      </c>
      <c r="C214" s="1" t="s">
        <v>2781</v>
      </c>
      <c r="D214" s="1" t="s">
        <v>869</v>
      </c>
      <c r="E214" s="15" t="s">
        <v>817</v>
      </c>
      <c r="F214" s="66" t="s">
        <v>884</v>
      </c>
      <c r="G214" s="24" t="s">
        <v>2796</v>
      </c>
      <c r="H214" s="15" t="s">
        <v>2788</v>
      </c>
      <c r="I214" s="16">
        <v>57</v>
      </c>
      <c r="J214" s="16" t="str">
        <f t="shared" si="11"/>
        <v>Old</v>
      </c>
      <c r="K214" s="25">
        <v>2</v>
      </c>
      <c r="L214" s="42">
        <v>1750</v>
      </c>
      <c r="M214" s="15">
        <v>850</v>
      </c>
      <c r="N214" s="39">
        <f t="shared" si="9"/>
        <v>3500</v>
      </c>
      <c r="O214" s="39">
        <f t="shared" si="10"/>
        <v>1800</v>
      </c>
      <c r="P214" s="24" t="s">
        <v>2043</v>
      </c>
      <c r="Q214" s="24" t="s">
        <v>2016</v>
      </c>
      <c r="R214" s="1" t="s">
        <v>2013</v>
      </c>
      <c r="S214" s="15" t="s">
        <v>2082</v>
      </c>
      <c r="T214" s="15" t="s">
        <v>2442</v>
      </c>
      <c r="U214" s="25" t="s">
        <v>2084</v>
      </c>
      <c r="V214" s="25" t="s">
        <v>2434</v>
      </c>
      <c r="W214" s="80">
        <v>45045</v>
      </c>
      <c r="X214" s="21" t="s">
        <v>2815</v>
      </c>
    </row>
    <row r="215" spans="1:24" x14ac:dyDescent="0.2">
      <c r="A215" s="1">
        <v>223</v>
      </c>
      <c r="B215" s="1" t="s">
        <v>2</v>
      </c>
      <c r="C215" s="1" t="s">
        <v>2781</v>
      </c>
      <c r="D215" s="1" t="s">
        <v>869</v>
      </c>
      <c r="E215" s="77" t="s">
        <v>817</v>
      </c>
      <c r="F215" s="67" t="s">
        <v>931</v>
      </c>
      <c r="G215" s="24" t="s">
        <v>2798</v>
      </c>
      <c r="H215" s="15" t="s">
        <v>2788</v>
      </c>
      <c r="I215" s="16">
        <v>35</v>
      </c>
      <c r="J215" s="16" t="str">
        <f t="shared" si="11"/>
        <v>Young</v>
      </c>
      <c r="K215" s="25">
        <v>4</v>
      </c>
      <c r="L215" s="42">
        <v>890</v>
      </c>
      <c r="M215" s="15">
        <v>400</v>
      </c>
      <c r="N215" s="39">
        <f t="shared" si="9"/>
        <v>3560</v>
      </c>
      <c r="O215" s="39">
        <f t="shared" si="10"/>
        <v>1960</v>
      </c>
      <c r="P215" s="24" t="s">
        <v>2046</v>
      </c>
      <c r="Q215" s="24" t="s">
        <v>2016</v>
      </c>
      <c r="R215" s="1" t="s">
        <v>2013</v>
      </c>
      <c r="S215" s="15" t="s">
        <v>2082</v>
      </c>
      <c r="T215" s="15" t="s">
        <v>2442</v>
      </c>
      <c r="U215" s="25" t="s">
        <v>2087</v>
      </c>
      <c r="V215" s="25" t="s">
        <v>2436</v>
      </c>
      <c r="W215" s="80">
        <v>45047</v>
      </c>
      <c r="X215" s="21" t="s">
        <v>2786</v>
      </c>
    </row>
    <row r="216" spans="1:24" x14ac:dyDescent="0.2">
      <c r="A216" s="1">
        <v>224</v>
      </c>
      <c r="B216" s="1" t="s">
        <v>5</v>
      </c>
      <c r="C216" s="1" t="s">
        <v>2781</v>
      </c>
      <c r="D216" s="1" t="s">
        <v>869</v>
      </c>
      <c r="E216" s="15" t="s">
        <v>818</v>
      </c>
      <c r="F216" s="66" t="s">
        <v>929</v>
      </c>
      <c r="G216" s="24" t="s">
        <v>2800</v>
      </c>
      <c r="H216" s="15" t="s">
        <v>2789</v>
      </c>
      <c r="I216" s="16">
        <v>40</v>
      </c>
      <c r="J216" s="16" t="str">
        <f t="shared" si="11"/>
        <v>Middle Age</v>
      </c>
      <c r="K216" s="25">
        <v>1</v>
      </c>
      <c r="L216" s="42">
        <v>1650</v>
      </c>
      <c r="M216" s="15">
        <v>750</v>
      </c>
      <c r="N216" s="39">
        <f t="shared" si="9"/>
        <v>1650</v>
      </c>
      <c r="O216" s="39">
        <f t="shared" si="10"/>
        <v>900</v>
      </c>
      <c r="P216" s="24" t="s">
        <v>2018</v>
      </c>
      <c r="Q216" s="15" t="s">
        <v>2828</v>
      </c>
      <c r="R216" s="1" t="s">
        <v>2013</v>
      </c>
      <c r="S216" s="15" t="s">
        <v>2082</v>
      </c>
      <c r="T216" s="15" t="s">
        <v>2442</v>
      </c>
      <c r="U216" s="25" t="s">
        <v>2090</v>
      </c>
      <c r="V216" s="25" t="s">
        <v>2437</v>
      </c>
      <c r="W216" s="80">
        <v>44944</v>
      </c>
      <c r="X216" s="21" t="s">
        <v>2818</v>
      </c>
    </row>
    <row r="217" spans="1:24" x14ac:dyDescent="0.2">
      <c r="A217" s="10">
        <v>225</v>
      </c>
      <c r="B217" s="10" t="s">
        <v>8</v>
      </c>
      <c r="C217" s="1" t="s">
        <v>2781</v>
      </c>
      <c r="D217" s="1" t="s">
        <v>869</v>
      </c>
      <c r="E217" s="34" t="s">
        <v>818</v>
      </c>
      <c r="F217" s="66" t="s">
        <v>882</v>
      </c>
      <c r="G217" s="24" t="s">
        <v>2802</v>
      </c>
      <c r="H217" s="15" t="s">
        <v>2788</v>
      </c>
      <c r="I217" s="16">
        <v>21</v>
      </c>
      <c r="J217" s="16" t="str">
        <f t="shared" si="11"/>
        <v>Young</v>
      </c>
      <c r="K217" s="25">
        <v>5</v>
      </c>
      <c r="L217" s="48">
        <v>2000</v>
      </c>
      <c r="M217" s="34">
        <v>1300</v>
      </c>
      <c r="N217" s="39">
        <f t="shared" si="9"/>
        <v>10000</v>
      </c>
      <c r="O217" s="39">
        <f t="shared" si="10"/>
        <v>3500</v>
      </c>
      <c r="P217" s="24" t="s">
        <v>2044</v>
      </c>
      <c r="Q217" s="24" t="s">
        <v>2020</v>
      </c>
      <c r="R217" s="1" t="s">
        <v>2013</v>
      </c>
      <c r="S217" s="15" t="s">
        <v>2082</v>
      </c>
      <c r="T217" s="15" t="s">
        <v>2442</v>
      </c>
      <c r="U217" s="25" t="s">
        <v>2088</v>
      </c>
      <c r="V217" s="25" t="s">
        <v>2435</v>
      </c>
      <c r="W217" s="80">
        <v>45055</v>
      </c>
      <c r="X217" s="21" t="s">
        <v>2786</v>
      </c>
    </row>
    <row r="218" spans="1:24" x14ac:dyDescent="0.2">
      <c r="A218" s="1">
        <v>226</v>
      </c>
      <c r="B218" s="1" t="s">
        <v>2</v>
      </c>
      <c r="C218" s="1" t="s">
        <v>2781</v>
      </c>
      <c r="D218" s="1" t="s">
        <v>869</v>
      </c>
      <c r="E218" s="15" t="s">
        <v>824</v>
      </c>
      <c r="F218" s="66" t="s">
        <v>930</v>
      </c>
      <c r="G218" s="24" t="s">
        <v>2804</v>
      </c>
      <c r="H218" s="15" t="s">
        <v>2788</v>
      </c>
      <c r="I218" s="16">
        <v>36</v>
      </c>
      <c r="J218" s="16" t="str">
        <f t="shared" si="11"/>
        <v>Middle Age</v>
      </c>
      <c r="K218" s="25">
        <v>2</v>
      </c>
      <c r="L218" s="42">
        <v>2020</v>
      </c>
      <c r="M218" s="15">
        <v>1200</v>
      </c>
      <c r="N218" s="39">
        <f t="shared" si="9"/>
        <v>4040</v>
      </c>
      <c r="O218" s="39">
        <f t="shared" si="10"/>
        <v>1640</v>
      </c>
      <c r="P218" s="24" t="s">
        <v>2029</v>
      </c>
      <c r="Q218" s="24" t="s">
        <v>2016</v>
      </c>
      <c r="R218" s="1" t="s">
        <v>2013</v>
      </c>
      <c r="S218" s="15" t="s">
        <v>2082</v>
      </c>
      <c r="T218" s="15" t="s">
        <v>2442</v>
      </c>
      <c r="U218" s="25" t="s">
        <v>2085</v>
      </c>
      <c r="V218" s="25" t="s">
        <v>2436</v>
      </c>
      <c r="W218" s="80">
        <v>45286</v>
      </c>
      <c r="X218" s="21" t="s">
        <v>2822</v>
      </c>
    </row>
    <row r="219" spans="1:24" x14ac:dyDescent="0.2">
      <c r="A219" s="1">
        <v>227</v>
      </c>
      <c r="B219" s="1" t="s">
        <v>5</v>
      </c>
      <c r="C219" s="1" t="s">
        <v>2781</v>
      </c>
      <c r="D219" s="1" t="s">
        <v>869</v>
      </c>
      <c r="E219" s="15" t="s">
        <v>822</v>
      </c>
      <c r="F219" s="67" t="s">
        <v>915</v>
      </c>
      <c r="G219" s="24" t="s">
        <v>2806</v>
      </c>
      <c r="H219" s="15" t="s">
        <v>2788</v>
      </c>
      <c r="I219" s="16">
        <v>28</v>
      </c>
      <c r="J219" s="16" t="str">
        <f t="shared" si="11"/>
        <v>Young</v>
      </c>
      <c r="K219" s="25">
        <v>3</v>
      </c>
      <c r="L219" s="42">
        <v>1035</v>
      </c>
      <c r="M219" s="15">
        <v>600</v>
      </c>
      <c r="N219" s="39">
        <f t="shared" si="9"/>
        <v>3105</v>
      </c>
      <c r="O219" s="39">
        <f t="shared" si="10"/>
        <v>1305</v>
      </c>
      <c r="P219" s="24" t="s">
        <v>2062</v>
      </c>
      <c r="Q219" s="15" t="s">
        <v>2828</v>
      </c>
      <c r="R219" s="1" t="s">
        <v>2013</v>
      </c>
      <c r="S219" s="15" t="s">
        <v>2082</v>
      </c>
      <c r="T219" s="15" t="s">
        <v>2442</v>
      </c>
      <c r="U219" s="25" t="s">
        <v>2088</v>
      </c>
      <c r="V219" s="25" t="s">
        <v>2434</v>
      </c>
      <c r="W219" s="80">
        <v>45248</v>
      </c>
      <c r="X219" s="21" t="s">
        <v>2823</v>
      </c>
    </row>
    <row r="220" spans="1:24" x14ac:dyDescent="0.2">
      <c r="A220" s="1">
        <v>228</v>
      </c>
      <c r="B220" s="1" t="s">
        <v>3</v>
      </c>
      <c r="C220" s="1" t="s">
        <v>2781</v>
      </c>
      <c r="D220" s="1" t="s">
        <v>869</v>
      </c>
      <c r="E220" s="15" t="s">
        <v>817</v>
      </c>
      <c r="F220" s="66" t="s">
        <v>920</v>
      </c>
      <c r="G220" s="24" t="s">
        <v>2808</v>
      </c>
      <c r="H220" s="15" t="s">
        <v>2789</v>
      </c>
      <c r="I220" s="16">
        <v>50</v>
      </c>
      <c r="J220" s="16" t="str">
        <f t="shared" si="11"/>
        <v>Old</v>
      </c>
      <c r="K220" s="25">
        <v>4</v>
      </c>
      <c r="L220" s="42">
        <v>990</v>
      </c>
      <c r="M220" s="15">
        <v>500</v>
      </c>
      <c r="N220" s="39">
        <f t="shared" si="9"/>
        <v>3960</v>
      </c>
      <c r="O220" s="39">
        <f t="shared" si="10"/>
        <v>1960</v>
      </c>
      <c r="P220" s="24" t="s">
        <v>2022</v>
      </c>
      <c r="Q220" s="24" t="s">
        <v>2016</v>
      </c>
      <c r="R220" s="1" t="s">
        <v>2013</v>
      </c>
      <c r="S220" s="15" t="s">
        <v>2082</v>
      </c>
      <c r="T220" s="15" t="s">
        <v>2442</v>
      </c>
      <c r="U220" s="25" t="s">
        <v>2088</v>
      </c>
      <c r="V220" s="25" t="s">
        <v>2437</v>
      </c>
      <c r="W220" s="80">
        <v>45073</v>
      </c>
      <c r="X220" s="21" t="s">
        <v>2786</v>
      </c>
    </row>
    <row r="221" spans="1:24" x14ac:dyDescent="0.2">
      <c r="A221" s="1">
        <v>229</v>
      </c>
      <c r="B221" s="1" t="s">
        <v>2</v>
      </c>
      <c r="C221" s="1" t="s">
        <v>2781</v>
      </c>
      <c r="D221" s="1" t="s">
        <v>869</v>
      </c>
      <c r="E221" s="15" t="s">
        <v>817</v>
      </c>
      <c r="F221" s="67" t="s">
        <v>921</v>
      </c>
      <c r="G221" s="24" t="s">
        <v>2810</v>
      </c>
      <c r="H221" s="15" t="s">
        <v>2789</v>
      </c>
      <c r="I221" s="16">
        <v>39</v>
      </c>
      <c r="J221" s="16" t="str">
        <f t="shared" si="11"/>
        <v>Middle Age</v>
      </c>
      <c r="K221" s="25">
        <v>1</v>
      </c>
      <c r="L221" s="42">
        <v>890</v>
      </c>
      <c r="M221" s="15">
        <v>350</v>
      </c>
      <c r="N221" s="39">
        <f t="shared" si="9"/>
        <v>890</v>
      </c>
      <c r="O221" s="39">
        <f t="shared" si="10"/>
        <v>540</v>
      </c>
      <c r="P221" s="24" t="s">
        <v>2046</v>
      </c>
      <c r="Q221" s="24" t="s">
        <v>2016</v>
      </c>
      <c r="R221" s="1" t="s">
        <v>2013</v>
      </c>
      <c r="S221" s="15" t="s">
        <v>2082</v>
      </c>
      <c r="T221" s="15" t="s">
        <v>2442</v>
      </c>
      <c r="U221" s="25" t="s">
        <v>2086</v>
      </c>
      <c r="V221" s="25" t="s">
        <v>2435</v>
      </c>
      <c r="W221" s="80">
        <v>45138</v>
      </c>
      <c r="X221" s="21" t="s">
        <v>2813</v>
      </c>
    </row>
    <row r="222" spans="1:24" x14ac:dyDescent="0.2">
      <c r="A222" s="1">
        <v>230</v>
      </c>
      <c r="B222" s="1" t="s">
        <v>2</v>
      </c>
      <c r="C222" s="1" t="s">
        <v>2781</v>
      </c>
      <c r="D222" s="1" t="s">
        <v>869</v>
      </c>
      <c r="E222" s="15" t="s">
        <v>818</v>
      </c>
      <c r="F222" s="67" t="s">
        <v>922</v>
      </c>
      <c r="G222" s="24" t="s">
        <v>2793</v>
      </c>
      <c r="H222" s="15" t="s">
        <v>2788</v>
      </c>
      <c r="I222" s="16">
        <v>31</v>
      </c>
      <c r="J222" s="16" t="str">
        <f t="shared" si="11"/>
        <v>Young</v>
      </c>
      <c r="K222" s="25">
        <v>5</v>
      </c>
      <c r="L222" s="42">
        <v>1340</v>
      </c>
      <c r="M222" s="15">
        <v>700</v>
      </c>
      <c r="N222" s="39">
        <f t="shared" si="9"/>
        <v>6700</v>
      </c>
      <c r="O222" s="39">
        <f t="shared" si="10"/>
        <v>3200</v>
      </c>
      <c r="P222" s="24" t="s">
        <v>2049</v>
      </c>
      <c r="Q222" s="24" t="s">
        <v>2016</v>
      </c>
      <c r="R222" s="1" t="s">
        <v>2013</v>
      </c>
      <c r="S222" s="15" t="s">
        <v>2082</v>
      </c>
      <c r="T222" s="15" t="s">
        <v>2442</v>
      </c>
      <c r="U222" s="25" t="s">
        <v>2087</v>
      </c>
      <c r="V222" s="25" t="s">
        <v>2434</v>
      </c>
      <c r="W222" s="80">
        <v>45235</v>
      </c>
      <c r="X222" s="21" t="s">
        <v>2823</v>
      </c>
    </row>
    <row r="223" spans="1:24" x14ac:dyDescent="0.2">
      <c r="A223" s="1">
        <v>231</v>
      </c>
      <c r="B223" s="1" t="s">
        <v>200</v>
      </c>
      <c r="C223" s="1" t="s">
        <v>2781</v>
      </c>
      <c r="D223" s="1" t="s">
        <v>869</v>
      </c>
      <c r="E223" s="15" t="s">
        <v>863</v>
      </c>
      <c r="F223" s="67" t="s">
        <v>923</v>
      </c>
      <c r="G223" s="24" t="s">
        <v>2791</v>
      </c>
      <c r="H223" s="15" t="s">
        <v>2788</v>
      </c>
      <c r="I223" s="16">
        <v>44</v>
      </c>
      <c r="J223" s="16" t="str">
        <f t="shared" si="11"/>
        <v>Middle Age</v>
      </c>
      <c r="K223" s="25">
        <v>3</v>
      </c>
      <c r="L223" s="42">
        <v>1500</v>
      </c>
      <c r="M223" s="15">
        <v>775</v>
      </c>
      <c r="N223" s="39">
        <f t="shared" si="9"/>
        <v>4500</v>
      </c>
      <c r="O223" s="39">
        <f t="shared" si="10"/>
        <v>2175</v>
      </c>
      <c r="P223" s="24" t="s">
        <v>2053</v>
      </c>
      <c r="Q223" s="24" t="s">
        <v>2014</v>
      </c>
      <c r="R223" s="1" t="s">
        <v>2013</v>
      </c>
      <c r="S223" s="15" t="s">
        <v>2082</v>
      </c>
      <c r="T223" s="15" t="s">
        <v>2442</v>
      </c>
      <c r="U223" s="25" t="s">
        <v>2084</v>
      </c>
      <c r="V223" s="25" t="s">
        <v>2436</v>
      </c>
      <c r="W223" s="80">
        <v>44957</v>
      </c>
      <c r="X223" s="21" t="s">
        <v>2818</v>
      </c>
    </row>
    <row r="224" spans="1:24" x14ac:dyDescent="0.2">
      <c r="A224" s="1">
        <v>232</v>
      </c>
      <c r="B224" s="1" t="s">
        <v>36</v>
      </c>
      <c r="C224" s="1" t="s">
        <v>2781</v>
      </c>
      <c r="D224" s="1" t="s">
        <v>869</v>
      </c>
      <c r="E224" s="15" t="s">
        <v>863</v>
      </c>
      <c r="F224" s="67" t="s">
        <v>924</v>
      </c>
      <c r="G224" s="24" t="s">
        <v>2795</v>
      </c>
      <c r="H224" s="15" t="s">
        <v>2789</v>
      </c>
      <c r="I224" s="16">
        <v>26</v>
      </c>
      <c r="J224" s="16" t="str">
        <f t="shared" si="11"/>
        <v>Young</v>
      </c>
      <c r="K224" s="25">
        <v>2</v>
      </c>
      <c r="L224" s="42">
        <v>2400</v>
      </c>
      <c r="M224" s="15">
        <f>975+435+900</f>
        <v>2310</v>
      </c>
      <c r="N224" s="39">
        <f t="shared" si="9"/>
        <v>4800</v>
      </c>
      <c r="O224" s="39">
        <f t="shared" si="10"/>
        <v>180</v>
      </c>
      <c r="P224" s="24" t="s">
        <v>2015</v>
      </c>
      <c r="Q224" s="24" t="s">
        <v>2014</v>
      </c>
      <c r="R224" s="1" t="s">
        <v>2013</v>
      </c>
      <c r="S224" s="15" t="s">
        <v>2082</v>
      </c>
      <c r="T224" s="15" t="s">
        <v>2442</v>
      </c>
      <c r="U224" s="25" t="s">
        <v>2086</v>
      </c>
      <c r="V224" s="25" t="s">
        <v>2437</v>
      </c>
      <c r="W224" s="80">
        <v>45291</v>
      </c>
      <c r="X224" s="21" t="s">
        <v>2822</v>
      </c>
    </row>
    <row r="225" spans="1:24" x14ac:dyDescent="0.2">
      <c r="A225" s="1">
        <v>233</v>
      </c>
      <c r="B225" s="1" t="s">
        <v>6</v>
      </c>
      <c r="C225" s="1" t="s">
        <v>2781</v>
      </c>
      <c r="D225" s="1" t="s">
        <v>869</v>
      </c>
      <c r="E225" s="15" t="s">
        <v>818</v>
      </c>
      <c r="F225" s="67" t="s">
        <v>925</v>
      </c>
      <c r="G225" s="24" t="s">
        <v>2797</v>
      </c>
      <c r="H225" s="15" t="s">
        <v>2788</v>
      </c>
      <c r="I225" s="16">
        <v>48</v>
      </c>
      <c r="J225" s="16" t="str">
        <f t="shared" si="11"/>
        <v>Middle Age</v>
      </c>
      <c r="K225" s="25">
        <v>4</v>
      </c>
      <c r="L225" s="42">
        <v>1140</v>
      </c>
      <c r="M225" s="15">
        <v>550</v>
      </c>
      <c r="N225" s="39">
        <f t="shared" si="9"/>
        <v>4560</v>
      </c>
      <c r="O225" s="39">
        <f t="shared" si="10"/>
        <v>2360</v>
      </c>
      <c r="P225" s="24" t="s">
        <v>2026</v>
      </c>
      <c r="Q225" s="15" t="s">
        <v>2014</v>
      </c>
      <c r="R225" s="1" t="s">
        <v>2013</v>
      </c>
      <c r="S225" s="15" t="s">
        <v>2082</v>
      </c>
      <c r="T225" s="15" t="s">
        <v>2442</v>
      </c>
      <c r="U225" s="25" t="s">
        <v>2090</v>
      </c>
      <c r="V225" s="25" t="s">
        <v>2435</v>
      </c>
      <c r="W225" s="80">
        <v>45078</v>
      </c>
      <c r="X225" s="21" t="s">
        <v>2814</v>
      </c>
    </row>
    <row r="226" spans="1:24" x14ac:dyDescent="0.2">
      <c r="A226" s="1">
        <v>234</v>
      </c>
      <c r="B226" s="1" t="s">
        <v>13</v>
      </c>
      <c r="C226" s="1" t="s">
        <v>2781</v>
      </c>
      <c r="D226" s="1" t="s">
        <v>869</v>
      </c>
      <c r="E226" s="15" t="s">
        <v>818</v>
      </c>
      <c r="F226" s="69" t="s">
        <v>904</v>
      </c>
      <c r="G226" s="24" t="s">
        <v>2799</v>
      </c>
      <c r="H226" s="15" t="s">
        <v>2788</v>
      </c>
      <c r="I226" s="16">
        <v>53</v>
      </c>
      <c r="J226" s="16" t="str">
        <f t="shared" si="11"/>
        <v>Old</v>
      </c>
      <c r="K226" s="25">
        <v>1</v>
      </c>
      <c r="L226" s="42">
        <v>940</v>
      </c>
      <c r="M226" s="15">
        <v>650</v>
      </c>
      <c r="N226" s="39">
        <f t="shared" si="9"/>
        <v>940</v>
      </c>
      <c r="O226" s="39">
        <f t="shared" si="10"/>
        <v>290</v>
      </c>
      <c r="P226" s="24" t="s">
        <v>2033</v>
      </c>
      <c r="Q226" s="24" t="s">
        <v>2016</v>
      </c>
      <c r="R226" s="1" t="s">
        <v>2013</v>
      </c>
      <c r="S226" s="15" t="s">
        <v>2082</v>
      </c>
      <c r="T226" s="15" t="s">
        <v>2442</v>
      </c>
      <c r="U226" s="25" t="s">
        <v>2085</v>
      </c>
      <c r="V226" s="25" t="s">
        <v>2436</v>
      </c>
      <c r="W226" s="80">
        <v>44978</v>
      </c>
      <c r="X226" s="21" t="s">
        <v>2817</v>
      </c>
    </row>
    <row r="227" spans="1:24" x14ac:dyDescent="0.2">
      <c r="A227" s="1">
        <v>235</v>
      </c>
      <c r="B227" s="1" t="s">
        <v>831</v>
      </c>
      <c r="C227" s="1" t="s">
        <v>2781</v>
      </c>
      <c r="D227" s="1" t="s">
        <v>869</v>
      </c>
      <c r="E227" s="15" t="s">
        <v>863</v>
      </c>
      <c r="F227" s="66" t="s">
        <v>926</v>
      </c>
      <c r="G227" s="24" t="s">
        <v>2801</v>
      </c>
      <c r="H227" s="15" t="s">
        <v>2788</v>
      </c>
      <c r="I227" s="16">
        <v>30</v>
      </c>
      <c r="J227" s="16" t="str">
        <f t="shared" si="11"/>
        <v>Young</v>
      </c>
      <c r="K227" s="25">
        <v>5</v>
      </c>
      <c r="L227" s="42">
        <v>1175</v>
      </c>
      <c r="M227" s="15">
        <f>8*89+30+220</f>
        <v>962</v>
      </c>
      <c r="N227" s="39">
        <f t="shared" si="9"/>
        <v>5875</v>
      </c>
      <c r="O227" s="39">
        <f t="shared" si="10"/>
        <v>1065</v>
      </c>
      <c r="P227" s="24" t="s">
        <v>2047</v>
      </c>
      <c r="Q227" s="24" t="s">
        <v>2024</v>
      </c>
      <c r="R227" s="1" t="s">
        <v>2013</v>
      </c>
      <c r="S227" s="15" t="s">
        <v>2082</v>
      </c>
      <c r="T227" s="15" t="s">
        <v>2442</v>
      </c>
      <c r="U227" s="25" t="s">
        <v>2084</v>
      </c>
      <c r="V227" s="25" t="s">
        <v>2434</v>
      </c>
      <c r="W227" s="80">
        <v>45207</v>
      </c>
      <c r="X227" s="21" t="s">
        <v>2821</v>
      </c>
    </row>
    <row r="228" spans="1:24" x14ac:dyDescent="0.2">
      <c r="A228" s="1">
        <v>236</v>
      </c>
      <c r="B228" s="1" t="s">
        <v>16</v>
      </c>
      <c r="C228" s="1" t="s">
        <v>2781</v>
      </c>
      <c r="D228" s="1" t="s">
        <v>869</v>
      </c>
      <c r="E228" s="15" t="s">
        <v>824</v>
      </c>
      <c r="F228" s="66" t="s">
        <v>927</v>
      </c>
      <c r="G228" s="24" t="s">
        <v>2803</v>
      </c>
      <c r="H228" s="15" t="s">
        <v>2789</v>
      </c>
      <c r="I228" s="16">
        <v>37</v>
      </c>
      <c r="J228" s="16" t="str">
        <f t="shared" si="11"/>
        <v>Middle Age</v>
      </c>
      <c r="K228" s="25">
        <v>2</v>
      </c>
      <c r="L228" s="42">
        <v>1090</v>
      </c>
      <c r="M228" s="15">
        <v>600</v>
      </c>
      <c r="N228" s="39">
        <f t="shared" si="9"/>
        <v>2180</v>
      </c>
      <c r="O228" s="39">
        <f t="shared" si="10"/>
        <v>980</v>
      </c>
      <c r="P228" s="24" t="s">
        <v>2018</v>
      </c>
      <c r="Q228" s="15" t="s">
        <v>2828</v>
      </c>
      <c r="R228" s="1" t="s">
        <v>2013</v>
      </c>
      <c r="S228" s="15" t="s">
        <v>2082</v>
      </c>
      <c r="T228" s="15" t="s">
        <v>2442</v>
      </c>
      <c r="U228" s="25" t="s">
        <v>2083</v>
      </c>
      <c r="V228" s="25" t="s">
        <v>2437</v>
      </c>
      <c r="W228" s="80">
        <v>45227</v>
      </c>
      <c r="X228" s="21" t="s">
        <v>2821</v>
      </c>
    </row>
    <row r="229" spans="1:24" x14ac:dyDescent="0.2">
      <c r="A229" s="1">
        <v>237</v>
      </c>
      <c r="B229" s="1" t="s">
        <v>16</v>
      </c>
      <c r="C229" s="1" t="s">
        <v>2781</v>
      </c>
      <c r="D229" s="1" t="s">
        <v>869</v>
      </c>
      <c r="E229" s="15" t="s">
        <v>823</v>
      </c>
      <c r="F229" s="67" t="s">
        <v>932</v>
      </c>
      <c r="G229" s="24" t="s">
        <v>2805</v>
      </c>
      <c r="H229" s="15" t="s">
        <v>2789</v>
      </c>
      <c r="I229" s="16">
        <v>42</v>
      </c>
      <c r="J229" s="16" t="str">
        <f t="shared" si="11"/>
        <v>Middle Age</v>
      </c>
      <c r="K229" s="25">
        <v>3</v>
      </c>
      <c r="L229" s="42">
        <v>2175</v>
      </c>
      <c r="M229" s="15">
        <f>850+3.5*89+100</f>
        <v>1261.5</v>
      </c>
      <c r="N229" s="39">
        <f t="shared" si="9"/>
        <v>6525</v>
      </c>
      <c r="O229" s="39">
        <f t="shared" si="10"/>
        <v>2740.5</v>
      </c>
      <c r="P229" s="24" t="s">
        <v>2030</v>
      </c>
      <c r="Q229" s="24" t="s">
        <v>2024</v>
      </c>
      <c r="R229" s="1" t="s">
        <v>2013</v>
      </c>
      <c r="S229" s="15" t="s">
        <v>2082</v>
      </c>
      <c r="T229" s="15" t="s">
        <v>2442</v>
      </c>
      <c r="U229" s="25" t="s">
        <v>2084</v>
      </c>
      <c r="V229" s="25" t="s">
        <v>2435</v>
      </c>
      <c r="W229" s="80">
        <v>44939</v>
      </c>
      <c r="X229" s="21" t="s">
        <v>2818</v>
      </c>
    </row>
    <row r="230" spans="1:24" x14ac:dyDescent="0.2">
      <c r="A230" s="1">
        <v>238</v>
      </c>
      <c r="B230" s="1" t="s">
        <v>16</v>
      </c>
      <c r="C230" s="1" t="s">
        <v>2781</v>
      </c>
      <c r="D230" s="1" t="s">
        <v>869</v>
      </c>
      <c r="E230" s="15" t="s">
        <v>822</v>
      </c>
      <c r="F230" s="66" t="s">
        <v>881</v>
      </c>
      <c r="G230" s="24" t="s">
        <v>2807</v>
      </c>
      <c r="H230" s="15" t="s">
        <v>2789</v>
      </c>
      <c r="I230" s="16">
        <v>24</v>
      </c>
      <c r="J230" s="16" t="str">
        <f t="shared" si="11"/>
        <v>Young</v>
      </c>
      <c r="K230" s="25">
        <v>4</v>
      </c>
      <c r="L230" s="42">
        <v>750</v>
      </c>
      <c r="M230" s="15">
        <v>750</v>
      </c>
      <c r="N230" s="39">
        <f t="shared" si="9"/>
        <v>3000</v>
      </c>
      <c r="O230" s="39">
        <f t="shared" si="10"/>
        <v>0</v>
      </c>
      <c r="P230" s="24" t="s">
        <v>2053</v>
      </c>
      <c r="Q230" s="24" t="s">
        <v>2014</v>
      </c>
      <c r="R230" s="1" t="s">
        <v>2013</v>
      </c>
      <c r="S230" s="15" t="s">
        <v>2082</v>
      </c>
      <c r="T230" s="15" t="s">
        <v>2442</v>
      </c>
      <c r="U230" s="25" t="s">
        <v>2088</v>
      </c>
      <c r="V230" s="25" t="s">
        <v>2434</v>
      </c>
      <c r="W230" s="80">
        <v>45194</v>
      </c>
      <c r="X230" s="21" t="s">
        <v>2820</v>
      </c>
    </row>
    <row r="231" spans="1:24" x14ac:dyDescent="0.2">
      <c r="A231" s="1">
        <v>239</v>
      </c>
      <c r="B231" s="1" t="s">
        <v>16</v>
      </c>
      <c r="C231" s="1" t="s">
        <v>2781</v>
      </c>
      <c r="D231" s="1" t="s">
        <v>869</v>
      </c>
      <c r="E231" s="15" t="s">
        <v>863</v>
      </c>
      <c r="F231" s="66" t="s">
        <v>883</v>
      </c>
      <c r="G231" s="24" t="s">
        <v>2809</v>
      </c>
      <c r="H231" s="15" t="s">
        <v>2788</v>
      </c>
      <c r="I231" s="16">
        <v>57</v>
      </c>
      <c r="J231" s="16" t="str">
        <f t="shared" si="11"/>
        <v>Old</v>
      </c>
      <c r="K231" s="25">
        <v>1</v>
      </c>
      <c r="L231" s="42">
        <v>2475</v>
      </c>
      <c r="M231" s="15">
        <f>780+89*2+90+20+20+40</f>
        <v>1128</v>
      </c>
      <c r="N231" s="39">
        <f t="shared" si="9"/>
        <v>2475</v>
      </c>
      <c r="O231" s="39">
        <f t="shared" si="10"/>
        <v>1347</v>
      </c>
      <c r="P231" s="24" t="s">
        <v>2027</v>
      </c>
      <c r="Q231" s="24" t="s">
        <v>2014</v>
      </c>
      <c r="R231" s="1" t="s">
        <v>2013</v>
      </c>
      <c r="S231" s="15" t="s">
        <v>2082</v>
      </c>
      <c r="T231" s="15" t="s">
        <v>2442</v>
      </c>
      <c r="U231" s="25" t="s">
        <v>2087</v>
      </c>
      <c r="V231" s="25" t="s">
        <v>2436</v>
      </c>
      <c r="W231" s="80">
        <v>44993</v>
      </c>
      <c r="X231" s="21" t="s">
        <v>2816</v>
      </c>
    </row>
    <row r="232" spans="1:24" x14ac:dyDescent="0.2">
      <c r="A232" s="1">
        <v>240</v>
      </c>
      <c r="B232" s="1" t="s">
        <v>7</v>
      </c>
      <c r="C232" s="1" t="s">
        <v>2781</v>
      </c>
      <c r="D232" s="1" t="s">
        <v>869</v>
      </c>
      <c r="E232" s="15" t="s">
        <v>864</v>
      </c>
      <c r="F232" s="66" t="s">
        <v>884</v>
      </c>
      <c r="G232" s="24" t="s">
        <v>2794</v>
      </c>
      <c r="H232" s="15" t="s">
        <v>2788</v>
      </c>
      <c r="I232" s="16">
        <v>35</v>
      </c>
      <c r="J232" s="16" t="str">
        <f t="shared" si="11"/>
        <v>Young</v>
      </c>
      <c r="K232" s="25">
        <v>5</v>
      </c>
      <c r="L232" s="42">
        <v>2775</v>
      </c>
      <c r="M232" s="15">
        <f>870+2*89+90+60+40+40</f>
        <v>1278</v>
      </c>
      <c r="N232" s="39">
        <f t="shared" si="9"/>
        <v>13875</v>
      </c>
      <c r="O232" s="39">
        <f t="shared" si="10"/>
        <v>7485</v>
      </c>
      <c r="P232" s="24" t="s">
        <v>2022</v>
      </c>
      <c r="Q232" s="24" t="s">
        <v>2016</v>
      </c>
      <c r="R232" s="1" t="s">
        <v>2013</v>
      </c>
      <c r="S232" s="15" t="s">
        <v>2082</v>
      </c>
      <c r="T232" s="15" t="s">
        <v>2442</v>
      </c>
      <c r="U232" s="25" t="s">
        <v>2087</v>
      </c>
      <c r="V232" s="25" t="s">
        <v>2437</v>
      </c>
      <c r="W232" s="80">
        <v>45156</v>
      </c>
      <c r="X232" s="21" t="s">
        <v>2819</v>
      </c>
    </row>
    <row r="233" spans="1:24" x14ac:dyDescent="0.2">
      <c r="A233" s="1">
        <v>241</v>
      </c>
      <c r="B233" s="15" t="s">
        <v>7</v>
      </c>
      <c r="C233" s="1" t="s">
        <v>2781</v>
      </c>
      <c r="D233" s="1" t="s">
        <v>869</v>
      </c>
      <c r="E233" s="15" t="s">
        <v>824</v>
      </c>
      <c r="F233" s="67" t="s">
        <v>931</v>
      </c>
      <c r="G233" s="24" t="s">
        <v>2792</v>
      </c>
      <c r="H233" s="15" t="s">
        <v>2788</v>
      </c>
      <c r="I233" s="16">
        <v>40</v>
      </c>
      <c r="J233" s="16" t="str">
        <f t="shared" si="11"/>
        <v>Middle Age</v>
      </c>
      <c r="K233" s="25">
        <v>3</v>
      </c>
      <c r="L233" s="42">
        <v>1340</v>
      </c>
      <c r="M233" s="15">
        <v>700</v>
      </c>
      <c r="N233" s="39">
        <f t="shared" si="9"/>
        <v>4020</v>
      </c>
      <c r="O233" s="39">
        <f t="shared" si="10"/>
        <v>1920</v>
      </c>
      <c r="P233" s="24" t="s">
        <v>2036</v>
      </c>
      <c r="Q233" s="24" t="s">
        <v>2014</v>
      </c>
      <c r="R233" s="1" t="s">
        <v>2013</v>
      </c>
      <c r="S233" s="15" t="s">
        <v>2082</v>
      </c>
      <c r="T233" s="15" t="s">
        <v>2442</v>
      </c>
      <c r="U233" s="25" t="s">
        <v>2088</v>
      </c>
      <c r="V233" s="25" t="s">
        <v>2435</v>
      </c>
      <c r="W233" s="80">
        <v>44939</v>
      </c>
      <c r="X233" s="21" t="s">
        <v>2818</v>
      </c>
    </row>
    <row r="234" spans="1:24" x14ac:dyDescent="0.2">
      <c r="A234" s="1">
        <v>242</v>
      </c>
      <c r="B234" s="15" t="s">
        <v>12</v>
      </c>
      <c r="C234" s="1" t="s">
        <v>2781</v>
      </c>
      <c r="D234" s="1" t="s">
        <v>869</v>
      </c>
      <c r="E234" s="15" t="s">
        <v>818</v>
      </c>
      <c r="F234" s="66" t="s">
        <v>929</v>
      </c>
      <c r="G234" s="24" t="s">
        <v>2796</v>
      </c>
      <c r="H234" s="15" t="s">
        <v>2789</v>
      </c>
      <c r="I234" s="16">
        <v>21</v>
      </c>
      <c r="J234" s="16" t="str">
        <f t="shared" si="11"/>
        <v>Young</v>
      </c>
      <c r="K234" s="25">
        <v>2</v>
      </c>
      <c r="L234" s="42">
        <v>1013</v>
      </c>
      <c r="M234" s="15">
        <v>650</v>
      </c>
      <c r="N234" s="39">
        <f t="shared" si="9"/>
        <v>2026</v>
      </c>
      <c r="O234" s="39">
        <f t="shared" si="10"/>
        <v>726</v>
      </c>
      <c r="P234" s="24" t="s">
        <v>2056</v>
      </c>
      <c r="Q234" s="24" t="s">
        <v>2024</v>
      </c>
      <c r="R234" s="1" t="s">
        <v>2013</v>
      </c>
      <c r="S234" s="15" t="s">
        <v>2082</v>
      </c>
      <c r="T234" s="15" t="s">
        <v>2442</v>
      </c>
      <c r="U234" s="25" t="s">
        <v>2089</v>
      </c>
      <c r="V234" s="25" t="s">
        <v>2436</v>
      </c>
      <c r="W234" s="80">
        <v>45287</v>
      </c>
      <c r="X234" s="21" t="s">
        <v>2822</v>
      </c>
    </row>
    <row r="235" spans="1:24" x14ac:dyDescent="0.2">
      <c r="A235" s="1">
        <v>243</v>
      </c>
      <c r="B235" s="15" t="s">
        <v>5</v>
      </c>
      <c r="C235" s="1" t="s">
        <v>2781</v>
      </c>
      <c r="D235" s="1" t="s">
        <v>869</v>
      </c>
      <c r="E235" s="15" t="s">
        <v>821</v>
      </c>
      <c r="F235" s="66" t="s">
        <v>882</v>
      </c>
      <c r="G235" s="24" t="s">
        <v>2798</v>
      </c>
      <c r="H235" s="15" t="s">
        <v>2788</v>
      </c>
      <c r="I235" s="16">
        <v>59</v>
      </c>
      <c r="J235" s="16" t="str">
        <f t="shared" si="11"/>
        <v>Old</v>
      </c>
      <c r="K235" s="25">
        <v>4</v>
      </c>
      <c r="L235" s="42">
        <v>1013</v>
      </c>
      <c r="M235" s="15">
        <v>600</v>
      </c>
      <c r="N235" s="39">
        <f t="shared" si="9"/>
        <v>4052</v>
      </c>
      <c r="O235" s="39">
        <f t="shared" si="10"/>
        <v>1652</v>
      </c>
      <c r="P235" s="24" t="s">
        <v>2052</v>
      </c>
      <c r="Q235" s="15" t="s">
        <v>2016</v>
      </c>
      <c r="R235" s="1" t="s">
        <v>2013</v>
      </c>
      <c r="S235" s="15" t="s">
        <v>2082</v>
      </c>
      <c r="T235" s="15" t="s">
        <v>2442</v>
      </c>
      <c r="U235" s="25" t="s">
        <v>2083</v>
      </c>
      <c r="V235" s="25" t="s">
        <v>2434</v>
      </c>
      <c r="W235" s="80">
        <v>45081</v>
      </c>
      <c r="X235" s="21" t="s">
        <v>2814</v>
      </c>
    </row>
    <row r="236" spans="1:24" x14ac:dyDescent="0.2">
      <c r="A236" s="1">
        <v>244</v>
      </c>
      <c r="B236" s="15" t="s">
        <v>5</v>
      </c>
      <c r="C236" s="1" t="s">
        <v>2781</v>
      </c>
      <c r="D236" s="1" t="s">
        <v>869</v>
      </c>
      <c r="E236" s="15" t="s">
        <v>818</v>
      </c>
      <c r="F236" s="66" t="s">
        <v>880</v>
      </c>
      <c r="G236" s="24" t="s">
        <v>2800</v>
      </c>
      <c r="H236" s="15" t="s">
        <v>2789</v>
      </c>
      <c r="I236" s="16">
        <v>34</v>
      </c>
      <c r="J236" s="16" t="str">
        <f t="shared" si="11"/>
        <v>Young</v>
      </c>
      <c r="K236" s="25">
        <v>1</v>
      </c>
      <c r="L236" s="42">
        <v>1240</v>
      </c>
      <c r="M236" s="15">
        <v>650</v>
      </c>
      <c r="N236" s="39">
        <f t="shared" si="9"/>
        <v>1240</v>
      </c>
      <c r="O236" s="39">
        <f t="shared" si="10"/>
        <v>590</v>
      </c>
      <c r="P236" s="24" t="s">
        <v>2042</v>
      </c>
      <c r="Q236" s="15" t="s">
        <v>2828</v>
      </c>
      <c r="R236" s="1" t="s">
        <v>2013</v>
      </c>
      <c r="S236" s="15" t="s">
        <v>2082</v>
      </c>
      <c r="T236" s="15" t="s">
        <v>2442</v>
      </c>
      <c r="U236" s="25" t="s">
        <v>2085</v>
      </c>
      <c r="V236" s="25" t="s">
        <v>2437</v>
      </c>
      <c r="W236" s="80">
        <v>45025</v>
      </c>
      <c r="X236" s="21" t="s">
        <v>2815</v>
      </c>
    </row>
    <row r="237" spans="1:24" x14ac:dyDescent="0.2">
      <c r="A237" s="1">
        <v>245</v>
      </c>
      <c r="B237" s="15" t="s">
        <v>13</v>
      </c>
      <c r="C237" s="1" t="s">
        <v>2781</v>
      </c>
      <c r="D237" s="1" t="s">
        <v>869</v>
      </c>
      <c r="E237" s="15" t="s">
        <v>818</v>
      </c>
      <c r="F237" s="66" t="s">
        <v>878</v>
      </c>
      <c r="G237" s="24" t="s">
        <v>2802</v>
      </c>
      <c r="H237" s="15" t="s">
        <v>2789</v>
      </c>
      <c r="I237" s="16">
        <v>27</v>
      </c>
      <c r="J237" s="16" t="str">
        <f t="shared" si="11"/>
        <v>Young</v>
      </c>
      <c r="K237" s="25">
        <v>5</v>
      </c>
      <c r="L237" s="42">
        <v>990</v>
      </c>
      <c r="M237" s="15">
        <v>500</v>
      </c>
      <c r="N237" s="39">
        <f t="shared" si="9"/>
        <v>4950</v>
      </c>
      <c r="O237" s="39">
        <f t="shared" si="10"/>
        <v>2450</v>
      </c>
      <c r="P237" s="24" t="s">
        <v>2031</v>
      </c>
      <c r="Q237" s="24" t="s">
        <v>2016</v>
      </c>
      <c r="R237" s="1" t="s">
        <v>2013</v>
      </c>
      <c r="S237" s="15" t="s">
        <v>2082</v>
      </c>
      <c r="T237" s="15" t="s">
        <v>2442</v>
      </c>
      <c r="U237" s="25" t="s">
        <v>2088</v>
      </c>
      <c r="V237" s="25" t="s">
        <v>2435</v>
      </c>
      <c r="W237" s="80">
        <v>45287</v>
      </c>
      <c r="X237" s="21" t="s">
        <v>2822</v>
      </c>
    </row>
    <row r="238" spans="1:24" x14ac:dyDescent="0.2">
      <c r="A238" s="1">
        <v>246</v>
      </c>
      <c r="B238" s="15" t="s">
        <v>8</v>
      </c>
      <c r="C238" s="1" t="s">
        <v>2781</v>
      </c>
      <c r="D238" s="1" t="s">
        <v>869</v>
      </c>
      <c r="E238" s="15" t="s">
        <v>818</v>
      </c>
      <c r="F238" s="66" t="s">
        <v>879</v>
      </c>
      <c r="G238" s="24" t="s">
        <v>2804</v>
      </c>
      <c r="H238" s="15" t="s">
        <v>2788</v>
      </c>
      <c r="I238" s="16">
        <v>45</v>
      </c>
      <c r="J238" s="16" t="str">
        <f t="shared" si="11"/>
        <v>Middle Age</v>
      </c>
      <c r="K238" s="25">
        <v>3</v>
      </c>
      <c r="L238" s="42">
        <v>890</v>
      </c>
      <c r="M238" s="15">
        <v>450</v>
      </c>
      <c r="N238" s="39">
        <f t="shared" si="9"/>
        <v>2670</v>
      </c>
      <c r="O238" s="39">
        <f t="shared" si="10"/>
        <v>1320</v>
      </c>
      <c r="P238" s="24" t="s">
        <v>2038</v>
      </c>
      <c r="Q238" s="15" t="s">
        <v>2016</v>
      </c>
      <c r="R238" s="1" t="s">
        <v>2013</v>
      </c>
      <c r="S238" s="15" t="s">
        <v>2082</v>
      </c>
      <c r="T238" s="15" t="s">
        <v>2442</v>
      </c>
      <c r="U238" s="25" t="s">
        <v>2087</v>
      </c>
      <c r="V238" s="25" t="s">
        <v>2434</v>
      </c>
      <c r="W238" s="80">
        <v>45216</v>
      </c>
      <c r="X238" s="21" t="s">
        <v>2821</v>
      </c>
    </row>
    <row r="239" spans="1:24" x14ac:dyDescent="0.2">
      <c r="A239" s="1">
        <v>247</v>
      </c>
      <c r="B239" s="15" t="s">
        <v>832</v>
      </c>
      <c r="C239" s="1" t="s">
        <v>2781</v>
      </c>
      <c r="D239" s="1" t="s">
        <v>869</v>
      </c>
      <c r="E239" s="15" t="s">
        <v>864</v>
      </c>
      <c r="F239" s="66" t="s">
        <v>880</v>
      </c>
      <c r="G239" s="24" t="s">
        <v>2806</v>
      </c>
      <c r="H239" s="15" t="s">
        <v>2789</v>
      </c>
      <c r="I239" s="16">
        <v>52</v>
      </c>
      <c r="J239" s="16" t="str">
        <f t="shared" si="11"/>
        <v>Old</v>
      </c>
      <c r="K239" s="25">
        <v>1</v>
      </c>
      <c r="L239" s="42">
        <f>33*14</f>
        <v>462</v>
      </c>
      <c r="M239" s="15">
        <f>20*15</f>
        <v>300</v>
      </c>
      <c r="N239" s="39">
        <f t="shared" si="9"/>
        <v>462</v>
      </c>
      <c r="O239" s="39">
        <f t="shared" si="10"/>
        <v>162</v>
      </c>
      <c r="P239" s="24" t="s">
        <v>2050</v>
      </c>
      <c r="Q239" s="24" t="s">
        <v>2024</v>
      </c>
      <c r="R239" s="1" t="s">
        <v>2013</v>
      </c>
      <c r="S239" s="15" t="s">
        <v>2082</v>
      </c>
      <c r="T239" s="15" t="s">
        <v>2442</v>
      </c>
      <c r="U239" s="25" t="s">
        <v>2084</v>
      </c>
      <c r="V239" s="25" t="s">
        <v>2436</v>
      </c>
      <c r="W239" s="80">
        <v>45062</v>
      </c>
      <c r="X239" s="21" t="s">
        <v>2786</v>
      </c>
    </row>
    <row r="240" spans="1:24" x14ac:dyDescent="0.2">
      <c r="A240" s="1">
        <v>248</v>
      </c>
      <c r="B240" s="15" t="s">
        <v>360</v>
      </c>
      <c r="C240" s="1" t="s">
        <v>2782</v>
      </c>
      <c r="D240" s="1" t="s">
        <v>2493</v>
      </c>
      <c r="E240" s="15" t="s">
        <v>863</v>
      </c>
      <c r="F240" s="66" t="s">
        <v>881</v>
      </c>
      <c r="G240" s="24" t="s">
        <v>2808</v>
      </c>
      <c r="H240" s="15" t="s">
        <v>2789</v>
      </c>
      <c r="I240" s="16">
        <v>23</v>
      </c>
      <c r="J240" s="16" t="str">
        <f t="shared" si="11"/>
        <v>Young</v>
      </c>
      <c r="K240" s="25">
        <v>2</v>
      </c>
      <c r="L240" s="42">
        <v>1390</v>
      </c>
      <c r="M240" s="15">
        <v>550</v>
      </c>
      <c r="N240" s="39">
        <f t="shared" si="9"/>
        <v>2780</v>
      </c>
      <c r="O240" s="39">
        <f t="shared" si="10"/>
        <v>1680</v>
      </c>
      <c r="P240" s="24" t="s">
        <v>2060</v>
      </c>
      <c r="Q240" s="24" t="s">
        <v>2024</v>
      </c>
      <c r="R240" s="1" t="s">
        <v>2013</v>
      </c>
      <c r="S240" s="15" t="s">
        <v>2082</v>
      </c>
      <c r="T240" s="15" t="s">
        <v>2442</v>
      </c>
      <c r="U240" s="25" t="s">
        <v>2084</v>
      </c>
      <c r="V240" s="25" t="s">
        <v>2437</v>
      </c>
      <c r="W240" s="80">
        <v>45221</v>
      </c>
      <c r="X240" s="21" t="s">
        <v>2821</v>
      </c>
    </row>
    <row r="241" spans="1:24" x14ac:dyDescent="0.2">
      <c r="A241" s="1">
        <v>249</v>
      </c>
      <c r="B241" s="15" t="s">
        <v>633</v>
      </c>
      <c r="C241" s="1" t="s">
        <v>2782</v>
      </c>
      <c r="D241" s="1" t="s">
        <v>2455</v>
      </c>
      <c r="E241" s="15" t="s">
        <v>822</v>
      </c>
      <c r="F241" s="66" t="s">
        <v>882</v>
      </c>
      <c r="G241" s="24" t="s">
        <v>2810</v>
      </c>
      <c r="H241" s="15" t="s">
        <v>2788</v>
      </c>
      <c r="I241" s="16">
        <v>38</v>
      </c>
      <c r="J241" s="16" t="str">
        <f t="shared" si="11"/>
        <v>Middle Age</v>
      </c>
      <c r="K241" s="25">
        <v>4</v>
      </c>
      <c r="L241" s="42">
        <v>1830</v>
      </c>
      <c r="M241" s="15">
        <v>830</v>
      </c>
      <c r="N241" s="39">
        <f t="shared" si="9"/>
        <v>7320</v>
      </c>
      <c r="O241" s="39">
        <f t="shared" si="10"/>
        <v>4000</v>
      </c>
      <c r="P241" s="24" t="s">
        <v>2019</v>
      </c>
      <c r="Q241" s="24" t="s">
        <v>2014</v>
      </c>
      <c r="R241" s="1" t="s">
        <v>2013</v>
      </c>
      <c r="S241" s="15" t="s">
        <v>2082</v>
      </c>
      <c r="T241" s="15" t="s">
        <v>2442</v>
      </c>
      <c r="U241" s="25" t="s">
        <v>2083</v>
      </c>
      <c r="V241" s="25" t="s">
        <v>2435</v>
      </c>
      <c r="W241" s="80">
        <v>45248</v>
      </c>
      <c r="X241" s="21" t="s">
        <v>2823</v>
      </c>
    </row>
    <row r="242" spans="1:24" x14ac:dyDescent="0.2">
      <c r="A242" s="1">
        <v>250</v>
      </c>
      <c r="B242" s="15" t="s">
        <v>13</v>
      </c>
      <c r="C242" s="1" t="s">
        <v>2781</v>
      </c>
      <c r="D242" s="1" t="s">
        <v>869</v>
      </c>
      <c r="E242" s="15" t="s">
        <v>817</v>
      </c>
      <c r="F242" s="66" t="s">
        <v>881</v>
      </c>
      <c r="G242" s="24" t="s">
        <v>2793</v>
      </c>
      <c r="H242" s="15" t="s">
        <v>2789</v>
      </c>
      <c r="I242" s="16">
        <v>41</v>
      </c>
      <c r="J242" s="16" t="str">
        <f t="shared" si="11"/>
        <v>Middle Age</v>
      </c>
      <c r="K242" s="25">
        <v>5</v>
      </c>
      <c r="L242" s="42">
        <v>990</v>
      </c>
      <c r="M242" s="15">
        <v>500</v>
      </c>
      <c r="N242" s="39">
        <f t="shared" si="9"/>
        <v>4950</v>
      </c>
      <c r="O242" s="39">
        <f t="shared" si="10"/>
        <v>2450</v>
      </c>
      <c r="P242" s="24" t="s">
        <v>2025</v>
      </c>
      <c r="Q242" s="24" t="s">
        <v>2024</v>
      </c>
      <c r="R242" s="1" t="s">
        <v>2013</v>
      </c>
      <c r="S242" s="15" t="s">
        <v>2082</v>
      </c>
      <c r="T242" s="15" t="s">
        <v>2442</v>
      </c>
      <c r="U242" s="25" t="s">
        <v>2090</v>
      </c>
      <c r="V242" s="25" t="s">
        <v>2436</v>
      </c>
      <c r="W242" s="80">
        <v>45096</v>
      </c>
      <c r="X242" s="21" t="s">
        <v>2814</v>
      </c>
    </row>
    <row r="243" spans="1:24" x14ac:dyDescent="0.2">
      <c r="A243" s="1">
        <v>251</v>
      </c>
      <c r="B243" s="15" t="s">
        <v>833</v>
      </c>
      <c r="C243" s="1" t="s">
        <v>2781</v>
      </c>
      <c r="D243" s="1" t="s">
        <v>869</v>
      </c>
      <c r="E243" s="15" t="s">
        <v>821</v>
      </c>
      <c r="F243" s="66" t="s">
        <v>883</v>
      </c>
      <c r="G243" s="24" t="s">
        <v>2791</v>
      </c>
      <c r="H243" s="15" t="s">
        <v>2788</v>
      </c>
      <c r="I243" s="16">
        <v>29</v>
      </c>
      <c r="J243" s="16" t="str">
        <f t="shared" si="11"/>
        <v>Young</v>
      </c>
      <c r="K243" s="25">
        <v>2</v>
      </c>
      <c r="L243" s="42">
        <v>850</v>
      </c>
      <c r="M243" s="15">
        <v>550</v>
      </c>
      <c r="N243" s="39">
        <f t="shared" si="9"/>
        <v>1700</v>
      </c>
      <c r="O243" s="39">
        <f t="shared" si="10"/>
        <v>600</v>
      </c>
      <c r="P243" s="24" t="s">
        <v>2026</v>
      </c>
      <c r="Q243" s="15" t="s">
        <v>2014</v>
      </c>
      <c r="R243" s="1" t="s">
        <v>2013</v>
      </c>
      <c r="S243" s="15" t="s">
        <v>2082</v>
      </c>
      <c r="T243" s="15" t="s">
        <v>2442</v>
      </c>
      <c r="U243" s="25" t="s">
        <v>2088</v>
      </c>
      <c r="V243" s="25" t="s">
        <v>2434</v>
      </c>
      <c r="W243" s="80">
        <v>44981</v>
      </c>
      <c r="X243" s="21" t="s">
        <v>2817</v>
      </c>
    </row>
    <row r="244" spans="1:24" x14ac:dyDescent="0.2">
      <c r="A244" s="1">
        <v>252</v>
      </c>
      <c r="B244" s="15" t="s">
        <v>555</v>
      </c>
      <c r="C244" s="1" t="s">
        <v>2782</v>
      </c>
      <c r="D244" s="1" t="s">
        <v>2494</v>
      </c>
      <c r="E244" s="15" t="s">
        <v>822</v>
      </c>
      <c r="F244" s="66" t="s">
        <v>884</v>
      </c>
      <c r="G244" s="24" t="s">
        <v>2795</v>
      </c>
      <c r="H244" s="15" t="s">
        <v>2788</v>
      </c>
      <c r="I244" s="16">
        <v>60</v>
      </c>
      <c r="J244" s="16" t="str">
        <f t="shared" si="11"/>
        <v>Old</v>
      </c>
      <c r="K244" s="25">
        <v>3</v>
      </c>
      <c r="L244" s="42">
        <v>1475</v>
      </c>
      <c r="M244" s="15">
        <v>475</v>
      </c>
      <c r="N244" s="39">
        <f t="shared" si="9"/>
        <v>4425</v>
      </c>
      <c r="O244" s="39">
        <f t="shared" si="10"/>
        <v>3000</v>
      </c>
      <c r="P244" s="24" t="s">
        <v>2059</v>
      </c>
      <c r="Q244" s="24" t="s">
        <v>2016</v>
      </c>
      <c r="R244" s="1" t="s">
        <v>2013</v>
      </c>
      <c r="S244" s="15" t="s">
        <v>2082</v>
      </c>
      <c r="T244" s="15" t="s">
        <v>2442</v>
      </c>
      <c r="U244" s="25" t="s">
        <v>2084</v>
      </c>
      <c r="V244" s="25" t="s">
        <v>2437</v>
      </c>
      <c r="W244" s="80">
        <v>45111</v>
      </c>
      <c r="X244" s="21" t="s">
        <v>2813</v>
      </c>
    </row>
    <row r="245" spans="1:24" x14ac:dyDescent="0.2">
      <c r="A245" s="1">
        <v>253</v>
      </c>
      <c r="B245" s="15" t="s">
        <v>848</v>
      </c>
      <c r="C245" s="1" t="s">
        <v>2782</v>
      </c>
      <c r="D245" s="1" t="s">
        <v>2495</v>
      </c>
      <c r="E245" s="15" t="s">
        <v>865</v>
      </c>
      <c r="F245" s="67" t="s">
        <v>931</v>
      </c>
      <c r="G245" s="24" t="s">
        <v>2797</v>
      </c>
      <c r="H245" s="15" t="s">
        <v>2788</v>
      </c>
      <c r="I245" s="16">
        <v>33</v>
      </c>
      <c r="J245" s="16" t="str">
        <f t="shared" si="11"/>
        <v>Young</v>
      </c>
      <c r="K245" s="25">
        <v>1</v>
      </c>
      <c r="L245" s="42">
        <f>100*20.2+350*3</f>
        <v>3070</v>
      </c>
      <c r="M245" s="15">
        <f>85.5*21+427.5+142</f>
        <v>2365</v>
      </c>
      <c r="N245" s="39">
        <f t="shared" si="9"/>
        <v>3070</v>
      </c>
      <c r="O245" s="39">
        <f t="shared" si="10"/>
        <v>705</v>
      </c>
      <c r="P245" s="24" t="s">
        <v>2023</v>
      </c>
      <c r="Q245" s="15" t="s">
        <v>2828</v>
      </c>
      <c r="R245" s="1" t="s">
        <v>2013</v>
      </c>
      <c r="S245" s="15" t="s">
        <v>2082</v>
      </c>
      <c r="T245" s="15" t="s">
        <v>2442</v>
      </c>
      <c r="U245" s="25" t="s">
        <v>2084</v>
      </c>
      <c r="V245" s="25" t="s">
        <v>2435</v>
      </c>
      <c r="W245" s="80">
        <v>45135</v>
      </c>
      <c r="X245" s="21" t="s">
        <v>2813</v>
      </c>
    </row>
    <row r="246" spans="1:24" x14ac:dyDescent="0.2">
      <c r="A246" s="1">
        <v>254</v>
      </c>
      <c r="B246" s="15" t="s">
        <v>524</v>
      </c>
      <c r="C246" s="1" t="s">
        <v>2782</v>
      </c>
      <c r="D246" s="1" t="s">
        <v>2496</v>
      </c>
      <c r="E246" s="15" t="s">
        <v>863</v>
      </c>
      <c r="F246" s="66" t="s">
        <v>929</v>
      </c>
      <c r="G246" s="24" t="s">
        <v>2799</v>
      </c>
      <c r="H246" s="15" t="s">
        <v>2788</v>
      </c>
      <c r="I246" s="16">
        <v>22</v>
      </c>
      <c r="J246" s="16" t="str">
        <f t="shared" si="11"/>
        <v>Young</v>
      </c>
      <c r="K246" s="25">
        <v>4</v>
      </c>
      <c r="L246" s="42">
        <v>1500</v>
      </c>
      <c r="M246" s="15">
        <v>640</v>
      </c>
      <c r="N246" s="39">
        <f t="shared" si="9"/>
        <v>6000</v>
      </c>
      <c r="O246" s="39">
        <f t="shared" si="10"/>
        <v>3440</v>
      </c>
      <c r="P246" s="24" t="s">
        <v>2054</v>
      </c>
      <c r="Q246" s="24" t="s">
        <v>2016</v>
      </c>
      <c r="R246" s="1" t="s">
        <v>2013</v>
      </c>
      <c r="S246" s="15" t="s">
        <v>2082</v>
      </c>
      <c r="T246" s="15" t="s">
        <v>2442</v>
      </c>
      <c r="U246" s="25" t="s">
        <v>2084</v>
      </c>
      <c r="V246" s="25" t="s">
        <v>2434</v>
      </c>
      <c r="W246" s="80">
        <v>44936</v>
      </c>
      <c r="X246" s="21" t="s">
        <v>2818</v>
      </c>
    </row>
    <row r="247" spans="1:24" x14ac:dyDescent="0.2">
      <c r="A247" s="1">
        <v>255</v>
      </c>
      <c r="B247" s="15" t="s">
        <v>13</v>
      </c>
      <c r="C247" s="1" t="s">
        <v>2781</v>
      </c>
      <c r="D247" s="1" t="s">
        <v>869</v>
      </c>
      <c r="E247" s="15" t="s">
        <v>821</v>
      </c>
      <c r="F247" s="66" t="s">
        <v>882</v>
      </c>
      <c r="G247" s="24" t="s">
        <v>2801</v>
      </c>
      <c r="H247" s="15" t="s">
        <v>2788</v>
      </c>
      <c r="I247" s="16">
        <v>47</v>
      </c>
      <c r="J247" s="16" t="str">
        <f t="shared" si="11"/>
        <v>Middle Age</v>
      </c>
      <c r="K247" s="25">
        <v>5</v>
      </c>
      <c r="L247" s="42">
        <v>990</v>
      </c>
      <c r="M247" s="15">
        <v>500</v>
      </c>
      <c r="N247" s="39">
        <f t="shared" si="9"/>
        <v>4950</v>
      </c>
      <c r="O247" s="39">
        <f t="shared" si="10"/>
        <v>2450</v>
      </c>
      <c r="P247" s="24" t="s">
        <v>2047</v>
      </c>
      <c r="Q247" s="24" t="s">
        <v>2024</v>
      </c>
      <c r="R247" s="1" t="s">
        <v>2013</v>
      </c>
      <c r="S247" s="15" t="s">
        <v>2082</v>
      </c>
      <c r="T247" s="15" t="s">
        <v>2442</v>
      </c>
      <c r="U247" s="25" t="s">
        <v>2089</v>
      </c>
      <c r="V247" s="25" t="s">
        <v>2436</v>
      </c>
      <c r="W247" s="80">
        <v>45089</v>
      </c>
      <c r="X247" s="21" t="s">
        <v>2814</v>
      </c>
    </row>
    <row r="248" spans="1:24" x14ac:dyDescent="0.2">
      <c r="A248" s="1">
        <v>256</v>
      </c>
      <c r="B248" s="15" t="s">
        <v>13</v>
      </c>
      <c r="C248" s="1" t="s">
        <v>2781</v>
      </c>
      <c r="D248" s="1" t="s">
        <v>869</v>
      </c>
      <c r="E248" s="15" t="s">
        <v>824</v>
      </c>
      <c r="F248" s="66" t="s">
        <v>930</v>
      </c>
      <c r="G248" s="24" t="s">
        <v>2803</v>
      </c>
      <c r="H248" s="15" t="s">
        <v>2788</v>
      </c>
      <c r="I248" s="16">
        <v>55</v>
      </c>
      <c r="J248" s="16" t="str">
        <f t="shared" si="11"/>
        <v>Old</v>
      </c>
      <c r="K248" s="25">
        <v>3</v>
      </c>
      <c r="L248" s="42">
        <v>790</v>
      </c>
      <c r="M248" s="15">
        <v>380</v>
      </c>
      <c r="N248" s="39">
        <f t="shared" si="9"/>
        <v>2370</v>
      </c>
      <c r="O248" s="39">
        <f t="shared" si="10"/>
        <v>1230</v>
      </c>
      <c r="P248" s="24" t="s">
        <v>2056</v>
      </c>
      <c r="Q248" s="24" t="s">
        <v>2024</v>
      </c>
      <c r="R248" s="1" t="s">
        <v>2013</v>
      </c>
      <c r="S248" s="15" t="s">
        <v>2082</v>
      </c>
      <c r="T248" s="15" t="s">
        <v>2442</v>
      </c>
      <c r="U248" s="25" t="s">
        <v>2088</v>
      </c>
      <c r="V248" s="25" t="s">
        <v>2437</v>
      </c>
      <c r="W248" s="80">
        <v>45241</v>
      </c>
      <c r="X248" s="21" t="s">
        <v>2823</v>
      </c>
    </row>
    <row r="249" spans="1:24" x14ac:dyDescent="0.2">
      <c r="A249" s="1">
        <v>257</v>
      </c>
      <c r="B249" s="15" t="s">
        <v>12</v>
      </c>
      <c r="C249" s="1" t="s">
        <v>2781</v>
      </c>
      <c r="D249" s="1" t="s">
        <v>869</v>
      </c>
      <c r="E249" s="15" t="s">
        <v>824</v>
      </c>
      <c r="F249" s="67" t="s">
        <v>915</v>
      </c>
      <c r="G249" s="24" t="s">
        <v>2805</v>
      </c>
      <c r="H249" s="15" t="s">
        <v>2788</v>
      </c>
      <c r="I249" s="16">
        <v>36</v>
      </c>
      <c r="J249" s="16" t="str">
        <f t="shared" si="11"/>
        <v>Middle Age</v>
      </c>
      <c r="K249" s="25">
        <v>2</v>
      </c>
      <c r="L249" s="42">
        <v>1240</v>
      </c>
      <c r="M249" s="15">
        <v>650</v>
      </c>
      <c r="N249" s="39">
        <f t="shared" si="9"/>
        <v>2480</v>
      </c>
      <c r="O249" s="39">
        <f t="shared" si="10"/>
        <v>1180</v>
      </c>
      <c r="P249" s="24" t="s">
        <v>2034</v>
      </c>
      <c r="Q249" s="24" t="s">
        <v>2016</v>
      </c>
      <c r="R249" s="1" t="s">
        <v>2013</v>
      </c>
      <c r="S249" s="15" t="s">
        <v>2082</v>
      </c>
      <c r="T249" s="15" t="s">
        <v>2442</v>
      </c>
      <c r="U249" s="25" t="s">
        <v>2085</v>
      </c>
      <c r="V249" s="25" t="s">
        <v>2435</v>
      </c>
      <c r="W249" s="80">
        <v>45165</v>
      </c>
      <c r="X249" s="21" t="s">
        <v>2819</v>
      </c>
    </row>
    <row r="250" spans="1:24" x14ac:dyDescent="0.2">
      <c r="A250" s="1">
        <v>258</v>
      </c>
      <c r="B250" s="15" t="s">
        <v>5</v>
      </c>
      <c r="C250" s="1" t="s">
        <v>2781</v>
      </c>
      <c r="D250" s="1" t="s">
        <v>869</v>
      </c>
      <c r="E250" s="15" t="s">
        <v>821</v>
      </c>
      <c r="F250" s="66" t="s">
        <v>920</v>
      </c>
      <c r="G250" s="24" t="s">
        <v>2807</v>
      </c>
      <c r="H250" s="15" t="s">
        <v>2789</v>
      </c>
      <c r="I250" s="16">
        <v>28</v>
      </c>
      <c r="J250" s="16" t="str">
        <f t="shared" si="11"/>
        <v>Young</v>
      </c>
      <c r="K250" s="25">
        <v>4</v>
      </c>
      <c r="L250" s="42">
        <v>1240</v>
      </c>
      <c r="M250" s="15">
        <v>650</v>
      </c>
      <c r="N250" s="39">
        <f t="shared" si="9"/>
        <v>4960</v>
      </c>
      <c r="O250" s="39">
        <f t="shared" si="10"/>
        <v>2360</v>
      </c>
      <c r="P250" s="24" t="s">
        <v>2025</v>
      </c>
      <c r="Q250" s="24" t="s">
        <v>2024</v>
      </c>
      <c r="R250" s="1" t="s">
        <v>2013</v>
      </c>
      <c r="S250" s="15" t="s">
        <v>2082</v>
      </c>
      <c r="T250" s="15" t="s">
        <v>2442</v>
      </c>
      <c r="U250" s="25" t="s">
        <v>2086</v>
      </c>
      <c r="V250" s="25" t="s">
        <v>2436</v>
      </c>
      <c r="W250" s="80">
        <v>45178</v>
      </c>
      <c r="X250" s="21" t="s">
        <v>2820</v>
      </c>
    </row>
    <row r="251" spans="1:24" x14ac:dyDescent="0.2">
      <c r="A251" s="1">
        <v>259</v>
      </c>
      <c r="B251" s="15" t="s">
        <v>16</v>
      </c>
      <c r="C251" s="1" t="s">
        <v>2781</v>
      </c>
      <c r="D251" s="1" t="s">
        <v>869</v>
      </c>
      <c r="E251" s="15" t="s">
        <v>818</v>
      </c>
      <c r="F251" s="67" t="s">
        <v>921</v>
      </c>
      <c r="G251" s="24" t="s">
        <v>2809</v>
      </c>
      <c r="H251" s="15" t="s">
        <v>2789</v>
      </c>
      <c r="I251" s="16">
        <v>50</v>
      </c>
      <c r="J251" s="16" t="str">
        <f t="shared" si="11"/>
        <v>Old</v>
      </c>
      <c r="K251" s="25">
        <v>1</v>
      </c>
      <c r="L251" s="42">
        <v>170</v>
      </c>
      <c r="M251" s="15">
        <v>50</v>
      </c>
      <c r="N251" s="39">
        <f t="shared" si="9"/>
        <v>170</v>
      </c>
      <c r="O251" s="39">
        <f t="shared" si="10"/>
        <v>120</v>
      </c>
      <c r="P251" s="24" t="s">
        <v>2043</v>
      </c>
      <c r="Q251" s="24" t="s">
        <v>2016</v>
      </c>
      <c r="R251" s="1" t="s">
        <v>2013</v>
      </c>
      <c r="S251" s="15" t="s">
        <v>2082</v>
      </c>
      <c r="T251" s="15" t="s">
        <v>2442</v>
      </c>
      <c r="U251" s="25" t="s">
        <v>2084</v>
      </c>
      <c r="V251" s="25" t="s">
        <v>2434</v>
      </c>
      <c r="W251" s="80">
        <v>44991</v>
      </c>
      <c r="X251" s="21" t="s">
        <v>2816</v>
      </c>
    </row>
    <row r="252" spans="1:24" x14ac:dyDescent="0.2">
      <c r="A252" s="1">
        <v>260</v>
      </c>
      <c r="B252" s="15" t="s">
        <v>6</v>
      </c>
      <c r="C252" s="1" t="s">
        <v>2781</v>
      </c>
      <c r="D252" s="1" t="s">
        <v>869</v>
      </c>
      <c r="E252" s="15" t="s">
        <v>821</v>
      </c>
      <c r="F252" s="66" t="s">
        <v>930</v>
      </c>
      <c r="G252" s="24" t="s">
        <v>2794</v>
      </c>
      <c r="H252" s="15" t="s">
        <v>2788</v>
      </c>
      <c r="I252" s="16">
        <v>39</v>
      </c>
      <c r="J252" s="16" t="str">
        <f t="shared" si="11"/>
        <v>Middle Age</v>
      </c>
      <c r="K252" s="25">
        <v>5</v>
      </c>
      <c r="L252" s="42">
        <v>920</v>
      </c>
      <c r="M252" s="15">
        <v>500</v>
      </c>
      <c r="N252" s="39">
        <f t="shared" si="9"/>
        <v>4600</v>
      </c>
      <c r="O252" s="39">
        <f t="shared" si="10"/>
        <v>2100</v>
      </c>
      <c r="P252" s="24" t="s">
        <v>2041</v>
      </c>
      <c r="Q252" s="24" t="s">
        <v>2016</v>
      </c>
      <c r="R252" s="1" t="s">
        <v>2013</v>
      </c>
      <c r="S252" s="15" t="s">
        <v>2082</v>
      </c>
      <c r="T252" s="15" t="s">
        <v>2442</v>
      </c>
      <c r="U252" s="25" t="s">
        <v>2088</v>
      </c>
      <c r="V252" s="25" t="s">
        <v>2437</v>
      </c>
      <c r="W252" s="80">
        <v>45188</v>
      </c>
      <c r="X252" s="21" t="s">
        <v>2820</v>
      </c>
    </row>
    <row r="253" spans="1:24" x14ac:dyDescent="0.2">
      <c r="A253" s="1">
        <v>261</v>
      </c>
      <c r="B253" s="15" t="s">
        <v>6</v>
      </c>
      <c r="C253" s="1" t="s">
        <v>2781</v>
      </c>
      <c r="D253" s="1" t="s">
        <v>869</v>
      </c>
      <c r="E253" s="15" t="s">
        <v>821</v>
      </c>
      <c r="F253" s="67" t="s">
        <v>915</v>
      </c>
      <c r="G253" s="24" t="s">
        <v>2792</v>
      </c>
      <c r="H253" s="15" t="s">
        <v>2788</v>
      </c>
      <c r="I253" s="16">
        <v>31</v>
      </c>
      <c r="J253" s="16" t="str">
        <f t="shared" si="11"/>
        <v>Young</v>
      </c>
      <c r="K253" s="25">
        <v>2</v>
      </c>
      <c r="L253" s="42">
        <v>920</v>
      </c>
      <c r="M253" s="15">
        <v>500</v>
      </c>
      <c r="N253" s="39">
        <f t="shared" si="9"/>
        <v>1840</v>
      </c>
      <c r="O253" s="39">
        <f t="shared" si="10"/>
        <v>840</v>
      </c>
      <c r="P253" s="24" t="s">
        <v>2032</v>
      </c>
      <c r="Q253" s="15" t="s">
        <v>2016</v>
      </c>
      <c r="R253" s="1" t="s">
        <v>2013</v>
      </c>
      <c r="S253" s="15" t="s">
        <v>2082</v>
      </c>
      <c r="T253" s="15" t="s">
        <v>2442</v>
      </c>
      <c r="U253" s="25" t="s">
        <v>2083</v>
      </c>
      <c r="V253" s="25" t="s">
        <v>2435</v>
      </c>
      <c r="W253" s="80">
        <v>45084</v>
      </c>
      <c r="X253" s="21" t="s">
        <v>2814</v>
      </c>
    </row>
    <row r="254" spans="1:24" x14ac:dyDescent="0.2">
      <c r="A254" s="1">
        <v>262</v>
      </c>
      <c r="B254" s="15" t="s">
        <v>22</v>
      </c>
      <c r="C254" s="1" t="s">
        <v>2782</v>
      </c>
      <c r="D254" s="1" t="s">
        <v>2465</v>
      </c>
      <c r="E254" s="15" t="s">
        <v>865</v>
      </c>
      <c r="F254" s="66" t="s">
        <v>920</v>
      </c>
      <c r="G254" s="24" t="s">
        <v>2796</v>
      </c>
      <c r="H254" s="15" t="s">
        <v>2789</v>
      </c>
      <c r="I254" s="16">
        <v>44</v>
      </c>
      <c r="J254" s="16" t="str">
        <f t="shared" si="11"/>
        <v>Middle Age</v>
      </c>
      <c r="K254" s="25">
        <v>3</v>
      </c>
      <c r="L254" s="42">
        <v>3740</v>
      </c>
      <c r="M254" s="15">
        <v>1500</v>
      </c>
      <c r="N254" s="39">
        <f t="shared" si="9"/>
        <v>11220</v>
      </c>
      <c r="O254" s="39">
        <f t="shared" si="10"/>
        <v>6720</v>
      </c>
      <c r="P254" s="24" t="s">
        <v>2062</v>
      </c>
      <c r="Q254" s="15" t="s">
        <v>2828</v>
      </c>
      <c r="R254" s="1" t="s">
        <v>2013</v>
      </c>
      <c r="S254" s="15" t="s">
        <v>2082</v>
      </c>
      <c r="T254" s="15" t="s">
        <v>2442</v>
      </c>
      <c r="U254" s="25" t="s">
        <v>2089</v>
      </c>
      <c r="V254" s="25" t="s">
        <v>2434</v>
      </c>
      <c r="W254" s="80">
        <v>45135</v>
      </c>
      <c r="X254" s="21" t="s">
        <v>2813</v>
      </c>
    </row>
    <row r="255" spans="1:24" x14ac:dyDescent="0.2">
      <c r="A255" s="1">
        <v>263</v>
      </c>
      <c r="B255" s="15" t="s">
        <v>633</v>
      </c>
      <c r="C255" s="1" t="s">
        <v>2782</v>
      </c>
      <c r="D255" s="1" t="s">
        <v>2497</v>
      </c>
      <c r="E255" s="15" t="s">
        <v>822</v>
      </c>
      <c r="F255" s="67" t="s">
        <v>921</v>
      </c>
      <c r="G255" s="24" t="s">
        <v>2798</v>
      </c>
      <c r="H255" s="15" t="s">
        <v>2789</v>
      </c>
      <c r="I255" s="16">
        <v>26</v>
      </c>
      <c r="J255" s="16" t="str">
        <f t="shared" si="11"/>
        <v>Young</v>
      </c>
      <c r="K255" s="25">
        <v>4</v>
      </c>
      <c r="L255" s="42">
        <v>2300</v>
      </c>
      <c r="M255" s="15">
        <v>1700</v>
      </c>
      <c r="N255" s="39">
        <f t="shared" si="9"/>
        <v>9200</v>
      </c>
      <c r="O255" s="39">
        <f t="shared" si="10"/>
        <v>2400</v>
      </c>
      <c r="P255" s="24" t="s">
        <v>2032</v>
      </c>
      <c r="Q255" s="15" t="s">
        <v>2016</v>
      </c>
      <c r="R255" s="1" t="s">
        <v>2013</v>
      </c>
      <c r="S255" s="15" t="s">
        <v>2082</v>
      </c>
      <c r="T255" s="15" t="s">
        <v>2442</v>
      </c>
      <c r="U255" s="25" t="s">
        <v>2085</v>
      </c>
      <c r="V255" s="25" t="s">
        <v>2436</v>
      </c>
      <c r="W255" s="80">
        <v>45014</v>
      </c>
      <c r="X255" s="21" t="s">
        <v>2816</v>
      </c>
    </row>
    <row r="256" spans="1:24" x14ac:dyDescent="0.2">
      <c r="A256" s="1">
        <v>264</v>
      </c>
      <c r="B256" s="15" t="s">
        <v>849</v>
      </c>
      <c r="C256" s="1" t="s">
        <v>2782</v>
      </c>
      <c r="D256" s="1" t="s">
        <v>2498</v>
      </c>
      <c r="E256" s="15" t="s">
        <v>828</v>
      </c>
      <c r="F256" s="67" t="s">
        <v>922</v>
      </c>
      <c r="G256" s="24" t="s">
        <v>2800</v>
      </c>
      <c r="H256" s="15" t="s">
        <v>2788</v>
      </c>
      <c r="I256" s="16">
        <v>48</v>
      </c>
      <c r="J256" s="16" t="str">
        <f t="shared" si="11"/>
        <v>Middle Age</v>
      </c>
      <c r="K256" s="25">
        <v>1</v>
      </c>
      <c r="L256" s="42">
        <v>1570</v>
      </c>
      <c r="M256" s="15">
        <v>630</v>
      </c>
      <c r="N256" s="39">
        <f t="shared" si="9"/>
        <v>1570</v>
      </c>
      <c r="O256" s="39">
        <f t="shared" si="10"/>
        <v>940</v>
      </c>
      <c r="P256" s="24" t="s">
        <v>2033</v>
      </c>
      <c r="Q256" s="24" t="s">
        <v>2016</v>
      </c>
      <c r="R256" s="1" t="s">
        <v>2013</v>
      </c>
      <c r="S256" s="15" t="s">
        <v>2082</v>
      </c>
      <c r="T256" s="15" t="s">
        <v>2442</v>
      </c>
      <c r="U256" s="25" t="s">
        <v>2089</v>
      </c>
      <c r="V256" s="25" t="s">
        <v>2437</v>
      </c>
      <c r="W256" s="80">
        <v>45126</v>
      </c>
      <c r="X256" s="21" t="s">
        <v>2813</v>
      </c>
    </row>
    <row r="257" spans="1:24" x14ac:dyDescent="0.2">
      <c r="A257" s="1">
        <v>254</v>
      </c>
      <c r="B257" s="15" t="s">
        <v>117</v>
      </c>
      <c r="C257" s="1" t="s">
        <v>2782</v>
      </c>
      <c r="D257" s="1" t="s">
        <v>2466</v>
      </c>
      <c r="E257" s="15" t="s">
        <v>863</v>
      </c>
      <c r="F257" s="67" t="s">
        <v>923</v>
      </c>
      <c r="G257" s="24" t="s">
        <v>2802</v>
      </c>
      <c r="H257" s="15" t="s">
        <v>2788</v>
      </c>
      <c r="I257" s="16">
        <v>53</v>
      </c>
      <c r="J257" s="16" t="str">
        <f t="shared" si="11"/>
        <v>Old</v>
      </c>
      <c r="K257" s="25">
        <v>5</v>
      </c>
      <c r="L257" s="42">
        <v>4400</v>
      </c>
      <c r="M257" s="15">
        <f>1430+5*86+110+30+40+80</f>
        <v>2120</v>
      </c>
      <c r="N257" s="39">
        <f t="shared" si="9"/>
        <v>22000</v>
      </c>
      <c r="O257" s="39">
        <f t="shared" si="10"/>
        <v>11400</v>
      </c>
      <c r="P257" s="24" t="s">
        <v>2056</v>
      </c>
      <c r="Q257" s="24" t="s">
        <v>2024</v>
      </c>
      <c r="R257" s="1" t="s">
        <v>2013</v>
      </c>
      <c r="S257" s="15" t="s">
        <v>2082</v>
      </c>
      <c r="T257" s="15" t="s">
        <v>2442</v>
      </c>
      <c r="U257" s="25" t="s">
        <v>2088</v>
      </c>
      <c r="V257" s="25" t="s">
        <v>2435</v>
      </c>
      <c r="W257" s="80">
        <v>45042</v>
      </c>
      <c r="X257" s="21" t="s">
        <v>2815</v>
      </c>
    </row>
    <row r="258" spans="1:24" x14ac:dyDescent="0.2">
      <c r="A258" s="1">
        <v>255</v>
      </c>
      <c r="B258" s="15" t="s">
        <v>200</v>
      </c>
      <c r="C258" s="1" t="s">
        <v>2782</v>
      </c>
      <c r="D258" s="1" t="s">
        <v>2467</v>
      </c>
      <c r="E258" s="15" t="s">
        <v>864</v>
      </c>
      <c r="F258" s="67" t="s">
        <v>924</v>
      </c>
      <c r="G258" s="24" t="s">
        <v>2804</v>
      </c>
      <c r="H258" s="15" t="s">
        <v>2789</v>
      </c>
      <c r="I258" s="16">
        <v>30</v>
      </c>
      <c r="J258" s="16" t="str">
        <f t="shared" si="11"/>
        <v>Young</v>
      </c>
      <c r="K258" s="25">
        <v>3</v>
      </c>
      <c r="L258" s="42">
        <v>3950</v>
      </c>
      <c r="M258" s="15">
        <f>980+5*85+110+30+60+30</f>
        <v>1635</v>
      </c>
      <c r="N258" s="39">
        <f t="shared" ref="N258:N321" si="12">L258*K258</f>
        <v>11850</v>
      </c>
      <c r="O258" s="39">
        <f t="shared" ref="O258:O321" si="13">N258-(M258*K258)</f>
        <v>6945</v>
      </c>
      <c r="P258" s="24" t="s">
        <v>2049</v>
      </c>
      <c r="Q258" s="24" t="s">
        <v>2016</v>
      </c>
      <c r="R258" s="1" t="s">
        <v>2013</v>
      </c>
      <c r="S258" s="15" t="s">
        <v>2082</v>
      </c>
      <c r="T258" s="15" t="s">
        <v>2442</v>
      </c>
      <c r="U258" s="25" t="s">
        <v>2090</v>
      </c>
      <c r="V258" s="25" t="s">
        <v>2436</v>
      </c>
      <c r="W258" s="80">
        <v>45106</v>
      </c>
      <c r="X258" s="21" t="s">
        <v>2814</v>
      </c>
    </row>
    <row r="259" spans="1:24" x14ac:dyDescent="0.2">
      <c r="A259" s="1">
        <v>256</v>
      </c>
      <c r="B259" s="15" t="s">
        <v>8</v>
      </c>
      <c r="C259" s="1" t="s">
        <v>2781</v>
      </c>
      <c r="D259" s="1" t="s">
        <v>869</v>
      </c>
      <c r="E259" s="15" t="s">
        <v>864</v>
      </c>
      <c r="F259" s="67" t="s">
        <v>925</v>
      </c>
      <c r="G259" s="24" t="s">
        <v>2806</v>
      </c>
      <c r="H259" s="15" t="s">
        <v>2788</v>
      </c>
      <c r="I259" s="16">
        <v>37</v>
      </c>
      <c r="J259" s="16" t="str">
        <f t="shared" ref="J259:J322" si="14">IF(I259&lt;=35,"Young",IF(I259&lt;=49,"Middle Age",IF(I259&gt;=50,"Old")))</f>
        <v>Middle Age</v>
      </c>
      <c r="K259" s="25">
        <v>2</v>
      </c>
      <c r="L259" s="42">
        <f>33*9</f>
        <v>297</v>
      </c>
      <c r="M259" s="15">
        <v>130</v>
      </c>
      <c r="N259" s="39">
        <f t="shared" si="12"/>
        <v>594</v>
      </c>
      <c r="O259" s="39">
        <f t="shared" si="13"/>
        <v>334</v>
      </c>
      <c r="P259" s="24" t="s">
        <v>2052</v>
      </c>
      <c r="Q259" s="15" t="s">
        <v>2016</v>
      </c>
      <c r="R259" s="1" t="s">
        <v>2013</v>
      </c>
      <c r="S259" s="15" t="s">
        <v>2082</v>
      </c>
      <c r="T259" s="15" t="s">
        <v>2442</v>
      </c>
      <c r="U259" s="25" t="s">
        <v>2085</v>
      </c>
      <c r="V259" s="25" t="s">
        <v>2434</v>
      </c>
      <c r="W259" s="80">
        <v>44959</v>
      </c>
      <c r="X259" s="21" t="s">
        <v>2817</v>
      </c>
    </row>
    <row r="260" spans="1:24" x14ac:dyDescent="0.2">
      <c r="A260" s="1">
        <v>257</v>
      </c>
      <c r="B260" s="15" t="s">
        <v>8</v>
      </c>
      <c r="C260" s="1" t="s">
        <v>2781</v>
      </c>
      <c r="D260" s="1" t="s">
        <v>869</v>
      </c>
      <c r="E260" s="15" t="s">
        <v>864</v>
      </c>
      <c r="F260" s="69" t="s">
        <v>904</v>
      </c>
      <c r="G260" s="24" t="s">
        <v>2808</v>
      </c>
      <c r="H260" s="15" t="s">
        <v>2788</v>
      </c>
      <c r="I260" s="16">
        <v>42</v>
      </c>
      <c r="J260" s="16" t="str">
        <f t="shared" si="14"/>
        <v>Middle Age</v>
      </c>
      <c r="K260" s="25">
        <v>4</v>
      </c>
      <c r="L260" s="42">
        <f>33*9</f>
        <v>297</v>
      </c>
      <c r="M260" s="15">
        <v>130</v>
      </c>
      <c r="N260" s="39">
        <f t="shared" si="12"/>
        <v>1188</v>
      </c>
      <c r="O260" s="39">
        <f t="shared" si="13"/>
        <v>668</v>
      </c>
      <c r="P260" s="24" t="s">
        <v>2021</v>
      </c>
      <c r="Q260" s="24" t="s">
        <v>2020</v>
      </c>
      <c r="R260" s="1" t="s">
        <v>2013</v>
      </c>
      <c r="S260" s="15" t="s">
        <v>2082</v>
      </c>
      <c r="T260" s="15" t="s">
        <v>2442</v>
      </c>
      <c r="U260" s="25" t="s">
        <v>2083</v>
      </c>
      <c r="V260" s="25" t="s">
        <v>2437</v>
      </c>
      <c r="W260" s="80">
        <v>44993</v>
      </c>
      <c r="X260" s="21" t="s">
        <v>2816</v>
      </c>
    </row>
    <row r="261" spans="1:24" x14ac:dyDescent="0.2">
      <c r="A261" s="1">
        <v>258</v>
      </c>
      <c r="B261" s="15" t="s">
        <v>5</v>
      </c>
      <c r="C261" s="1" t="s">
        <v>2781</v>
      </c>
      <c r="D261" s="1" t="s">
        <v>869</v>
      </c>
      <c r="E261" s="15" t="s">
        <v>826</v>
      </c>
      <c r="F261" s="66" t="s">
        <v>926</v>
      </c>
      <c r="G261" s="24" t="s">
        <v>2810</v>
      </c>
      <c r="H261" s="15" t="s">
        <v>2788</v>
      </c>
      <c r="I261" s="16">
        <v>24</v>
      </c>
      <c r="J261" s="16" t="str">
        <f t="shared" si="14"/>
        <v>Young</v>
      </c>
      <c r="K261" s="25">
        <v>1</v>
      </c>
      <c r="L261" s="42">
        <v>890</v>
      </c>
      <c r="M261" s="15">
        <v>400</v>
      </c>
      <c r="N261" s="39">
        <f t="shared" si="12"/>
        <v>890</v>
      </c>
      <c r="O261" s="39">
        <f t="shared" si="13"/>
        <v>490</v>
      </c>
      <c r="P261" s="24" t="s">
        <v>2028</v>
      </c>
      <c r="Q261" s="15" t="s">
        <v>2024</v>
      </c>
      <c r="R261" s="1" t="s">
        <v>2013</v>
      </c>
      <c r="S261" s="15" t="s">
        <v>2082</v>
      </c>
      <c r="T261" s="15" t="s">
        <v>2442</v>
      </c>
      <c r="U261" s="25" t="s">
        <v>2084</v>
      </c>
      <c r="V261" s="25" t="s">
        <v>2435</v>
      </c>
      <c r="W261" s="80">
        <v>45176</v>
      </c>
      <c r="X261" s="21" t="s">
        <v>2820</v>
      </c>
    </row>
    <row r="262" spans="1:24" x14ac:dyDescent="0.2">
      <c r="A262" s="1">
        <v>259</v>
      </c>
      <c r="B262" s="15" t="s">
        <v>5</v>
      </c>
      <c r="C262" s="1" t="s">
        <v>2781</v>
      </c>
      <c r="D262" s="1" t="s">
        <v>869</v>
      </c>
      <c r="E262" s="15" t="s">
        <v>822</v>
      </c>
      <c r="F262" s="66" t="s">
        <v>927</v>
      </c>
      <c r="G262" s="24" t="s">
        <v>2793</v>
      </c>
      <c r="H262" s="15" t="s">
        <v>2789</v>
      </c>
      <c r="I262" s="16">
        <v>57</v>
      </c>
      <c r="J262" s="16" t="str">
        <f t="shared" si="14"/>
        <v>Old</v>
      </c>
      <c r="K262" s="25">
        <v>5</v>
      </c>
      <c r="L262" s="42">
        <v>1240</v>
      </c>
      <c r="M262" s="15">
        <v>650</v>
      </c>
      <c r="N262" s="39">
        <f t="shared" si="12"/>
        <v>6200</v>
      </c>
      <c r="O262" s="39">
        <f t="shared" si="13"/>
        <v>2950</v>
      </c>
      <c r="P262" s="24" t="s">
        <v>2060</v>
      </c>
      <c r="Q262" s="24" t="s">
        <v>2024</v>
      </c>
      <c r="R262" s="1" t="s">
        <v>2013</v>
      </c>
      <c r="S262" s="15" t="s">
        <v>2082</v>
      </c>
      <c r="T262" s="15" t="s">
        <v>2442</v>
      </c>
      <c r="U262" s="25" t="s">
        <v>2084</v>
      </c>
      <c r="V262" s="25" t="s">
        <v>2434</v>
      </c>
      <c r="W262" s="80">
        <v>45110</v>
      </c>
      <c r="X262" s="21" t="s">
        <v>2813</v>
      </c>
    </row>
    <row r="263" spans="1:24" x14ac:dyDescent="0.2">
      <c r="A263" s="1">
        <v>260</v>
      </c>
      <c r="B263" s="15" t="s">
        <v>13</v>
      </c>
      <c r="C263" s="1" t="s">
        <v>2781</v>
      </c>
      <c r="D263" s="1" t="s">
        <v>869</v>
      </c>
      <c r="E263" s="15" t="s">
        <v>824</v>
      </c>
      <c r="F263" s="67" t="s">
        <v>932</v>
      </c>
      <c r="G263" s="24" t="s">
        <v>2791</v>
      </c>
      <c r="H263" s="15" t="s">
        <v>2789</v>
      </c>
      <c r="I263" s="16">
        <v>35</v>
      </c>
      <c r="J263" s="16" t="str">
        <f t="shared" si="14"/>
        <v>Young</v>
      </c>
      <c r="K263" s="25">
        <v>2</v>
      </c>
      <c r="L263" s="42">
        <f>990+250</f>
        <v>1240</v>
      </c>
      <c r="M263" s="15">
        <v>700</v>
      </c>
      <c r="N263" s="39">
        <f t="shared" si="12"/>
        <v>2480</v>
      </c>
      <c r="O263" s="39">
        <f t="shared" si="13"/>
        <v>1080</v>
      </c>
      <c r="P263" s="24" t="s">
        <v>2045</v>
      </c>
      <c r="Q263" s="24" t="s">
        <v>2014</v>
      </c>
      <c r="R263" s="1" t="s">
        <v>2013</v>
      </c>
      <c r="S263" s="15" t="s">
        <v>2082</v>
      </c>
      <c r="T263" s="15" t="s">
        <v>2442</v>
      </c>
      <c r="U263" s="25" t="s">
        <v>2083</v>
      </c>
      <c r="V263" s="25" t="s">
        <v>2436</v>
      </c>
      <c r="W263" s="80">
        <v>45162</v>
      </c>
      <c r="X263" s="21" t="s">
        <v>2819</v>
      </c>
    </row>
    <row r="264" spans="1:24" x14ac:dyDescent="0.2">
      <c r="A264" s="1">
        <v>261</v>
      </c>
      <c r="B264" s="15" t="s">
        <v>7</v>
      </c>
      <c r="C264" s="1" t="s">
        <v>2781</v>
      </c>
      <c r="D264" s="1" t="s">
        <v>869</v>
      </c>
      <c r="E264" s="15" t="s">
        <v>817</v>
      </c>
      <c r="F264" s="67" t="s">
        <v>922</v>
      </c>
      <c r="G264" s="24" t="s">
        <v>2795</v>
      </c>
      <c r="H264" s="15" t="s">
        <v>2788</v>
      </c>
      <c r="I264" s="16">
        <v>40</v>
      </c>
      <c r="J264" s="16" t="str">
        <f t="shared" si="14"/>
        <v>Middle Age</v>
      </c>
      <c r="K264" s="25">
        <v>3</v>
      </c>
      <c r="L264" s="42">
        <v>1190</v>
      </c>
      <c r="M264" s="15">
        <v>700</v>
      </c>
      <c r="N264" s="39">
        <f t="shared" si="12"/>
        <v>3570</v>
      </c>
      <c r="O264" s="39">
        <f t="shared" si="13"/>
        <v>1470</v>
      </c>
      <c r="P264" s="24" t="s">
        <v>2025</v>
      </c>
      <c r="Q264" s="24" t="s">
        <v>2024</v>
      </c>
      <c r="R264" s="1" t="s">
        <v>2013</v>
      </c>
      <c r="S264" s="15" t="s">
        <v>2082</v>
      </c>
      <c r="T264" s="15" t="s">
        <v>2442</v>
      </c>
      <c r="U264" s="25" t="s">
        <v>2089</v>
      </c>
      <c r="V264" s="25" t="s">
        <v>2437</v>
      </c>
      <c r="W264" s="80">
        <v>45178</v>
      </c>
      <c r="X264" s="21" t="s">
        <v>2820</v>
      </c>
    </row>
    <row r="265" spans="1:24" x14ac:dyDescent="0.2">
      <c r="A265" s="1">
        <v>262</v>
      </c>
      <c r="B265" s="15" t="s">
        <v>12</v>
      </c>
      <c r="C265" s="1" t="s">
        <v>2781</v>
      </c>
      <c r="D265" s="1" t="s">
        <v>869</v>
      </c>
      <c r="E265" s="15" t="s">
        <v>826</v>
      </c>
      <c r="F265" s="67" t="s">
        <v>923</v>
      </c>
      <c r="G265" s="24" t="s">
        <v>2797</v>
      </c>
      <c r="H265" s="15" t="s">
        <v>2788</v>
      </c>
      <c r="I265" s="16">
        <v>21</v>
      </c>
      <c r="J265" s="16" t="str">
        <f t="shared" si="14"/>
        <v>Young</v>
      </c>
      <c r="K265" s="25">
        <v>4</v>
      </c>
      <c r="L265" s="42">
        <v>1090</v>
      </c>
      <c r="M265" s="15">
        <v>650</v>
      </c>
      <c r="N265" s="39">
        <f t="shared" si="12"/>
        <v>4360</v>
      </c>
      <c r="O265" s="39">
        <f t="shared" si="13"/>
        <v>1760</v>
      </c>
      <c r="P265" s="24" t="s">
        <v>2032</v>
      </c>
      <c r="Q265" s="15" t="s">
        <v>2016</v>
      </c>
      <c r="R265" s="1" t="s">
        <v>2013</v>
      </c>
      <c r="S265" s="15" t="s">
        <v>2082</v>
      </c>
      <c r="T265" s="15" t="s">
        <v>2442</v>
      </c>
      <c r="U265" s="25" t="s">
        <v>2088</v>
      </c>
      <c r="V265" s="25" t="s">
        <v>2435</v>
      </c>
      <c r="W265" s="80">
        <v>44953</v>
      </c>
      <c r="X265" s="21" t="s">
        <v>2818</v>
      </c>
    </row>
    <row r="266" spans="1:24" x14ac:dyDescent="0.2">
      <c r="A266" s="1">
        <v>263</v>
      </c>
      <c r="B266" s="15" t="s">
        <v>5</v>
      </c>
      <c r="C266" s="1" t="s">
        <v>2781</v>
      </c>
      <c r="D266" s="1" t="s">
        <v>869</v>
      </c>
      <c r="E266" s="15" t="s">
        <v>817</v>
      </c>
      <c r="F266" s="67" t="s">
        <v>924</v>
      </c>
      <c r="G266" s="24" t="s">
        <v>2799</v>
      </c>
      <c r="H266" s="15" t="s">
        <v>2789</v>
      </c>
      <c r="I266" s="16">
        <v>59</v>
      </c>
      <c r="J266" s="16" t="str">
        <f t="shared" si="14"/>
        <v>Old</v>
      </c>
      <c r="K266" s="25">
        <v>1</v>
      </c>
      <c r="L266" s="42">
        <v>990</v>
      </c>
      <c r="M266" s="15">
        <v>600</v>
      </c>
      <c r="N266" s="39">
        <f t="shared" si="12"/>
        <v>990</v>
      </c>
      <c r="O266" s="39">
        <f t="shared" si="13"/>
        <v>390</v>
      </c>
      <c r="P266" s="24" t="s">
        <v>2059</v>
      </c>
      <c r="Q266" s="24" t="s">
        <v>2016</v>
      </c>
      <c r="R266" s="1" t="s">
        <v>2013</v>
      </c>
      <c r="S266" s="15" t="s">
        <v>2082</v>
      </c>
      <c r="T266" s="15" t="s">
        <v>2442</v>
      </c>
      <c r="U266" s="25" t="s">
        <v>2086</v>
      </c>
      <c r="V266" s="25" t="s">
        <v>2436</v>
      </c>
      <c r="W266" s="80">
        <v>45186</v>
      </c>
      <c r="X266" s="21" t="s">
        <v>2820</v>
      </c>
    </row>
    <row r="267" spans="1:24" x14ac:dyDescent="0.2">
      <c r="A267" s="1">
        <v>264</v>
      </c>
      <c r="B267" s="15" t="s">
        <v>23</v>
      </c>
      <c r="C267" s="1" t="s">
        <v>2782</v>
      </c>
      <c r="D267" s="1" t="s">
        <v>2468</v>
      </c>
      <c r="E267" s="15" t="s">
        <v>828</v>
      </c>
      <c r="F267" s="67" t="s">
        <v>925</v>
      </c>
      <c r="G267" s="24" t="s">
        <v>2801</v>
      </c>
      <c r="H267" s="15" t="s">
        <v>2788</v>
      </c>
      <c r="I267" s="16">
        <v>32</v>
      </c>
      <c r="J267" s="16" t="str">
        <f t="shared" si="14"/>
        <v>Young</v>
      </c>
      <c r="K267" s="25">
        <v>5</v>
      </c>
      <c r="L267" s="42">
        <v>2940</v>
      </c>
      <c r="M267" s="15">
        <f>582+5*89+216+40+110+50</f>
        <v>1443</v>
      </c>
      <c r="N267" s="39">
        <f t="shared" si="12"/>
        <v>14700</v>
      </c>
      <c r="O267" s="39">
        <f t="shared" si="13"/>
        <v>7485</v>
      </c>
      <c r="P267" s="24" t="s">
        <v>2051</v>
      </c>
      <c r="Q267" s="15" t="s">
        <v>2828</v>
      </c>
      <c r="R267" s="1" t="s">
        <v>2013</v>
      </c>
      <c r="S267" s="15" t="s">
        <v>2082</v>
      </c>
      <c r="T267" s="15" t="s">
        <v>2442</v>
      </c>
      <c r="U267" s="25" t="s">
        <v>2090</v>
      </c>
      <c r="V267" s="25" t="s">
        <v>2434</v>
      </c>
      <c r="W267" s="80">
        <v>44967</v>
      </c>
      <c r="X267" s="21" t="s">
        <v>2817</v>
      </c>
    </row>
    <row r="268" spans="1:24" x14ac:dyDescent="0.2">
      <c r="A268" s="1">
        <v>265</v>
      </c>
      <c r="B268" s="15" t="s">
        <v>633</v>
      </c>
      <c r="C268" s="1" t="s">
        <v>2782</v>
      </c>
      <c r="D268" s="1" t="s">
        <v>2499</v>
      </c>
      <c r="E268" s="15" t="s">
        <v>864</v>
      </c>
      <c r="F268" s="69" t="s">
        <v>904</v>
      </c>
      <c r="G268" s="24" t="s">
        <v>2803</v>
      </c>
      <c r="H268" s="15" t="s">
        <v>2788</v>
      </c>
      <c r="I268" s="16">
        <v>46</v>
      </c>
      <c r="J268" s="16" t="str">
        <f t="shared" si="14"/>
        <v>Middle Age</v>
      </c>
      <c r="K268" s="25">
        <v>3</v>
      </c>
      <c r="L268" s="42">
        <v>1200</v>
      </c>
      <c r="M268" s="15">
        <v>200</v>
      </c>
      <c r="N268" s="39">
        <f t="shared" si="12"/>
        <v>3600</v>
      </c>
      <c r="O268" s="39">
        <f t="shared" si="13"/>
        <v>3000</v>
      </c>
      <c r="P268" s="24" t="s">
        <v>2048</v>
      </c>
      <c r="Q268" s="24" t="s">
        <v>2014</v>
      </c>
      <c r="R268" s="1" t="s">
        <v>2013</v>
      </c>
      <c r="S268" s="15" t="s">
        <v>2082</v>
      </c>
      <c r="T268" s="15" t="s">
        <v>2442</v>
      </c>
      <c r="U268" s="25" t="s">
        <v>2090</v>
      </c>
      <c r="V268" s="25" t="s">
        <v>2437</v>
      </c>
      <c r="W268" s="80">
        <v>45048</v>
      </c>
      <c r="X268" s="21" t="s">
        <v>2786</v>
      </c>
    </row>
    <row r="269" spans="1:24" x14ac:dyDescent="0.2">
      <c r="A269" s="1">
        <v>266</v>
      </c>
      <c r="B269" s="15" t="s">
        <v>7</v>
      </c>
      <c r="C269" s="1" t="s">
        <v>2781</v>
      </c>
      <c r="D269" s="1" t="s">
        <v>869</v>
      </c>
      <c r="E269" s="15" t="s">
        <v>828</v>
      </c>
      <c r="F269" s="66" t="s">
        <v>926</v>
      </c>
      <c r="G269" s="24" t="s">
        <v>2805</v>
      </c>
      <c r="H269" s="15" t="s">
        <v>2788</v>
      </c>
      <c r="I269" s="16">
        <v>54</v>
      </c>
      <c r="J269" s="16" t="str">
        <f t="shared" si="14"/>
        <v>Old</v>
      </c>
      <c r="K269" s="25">
        <v>2</v>
      </c>
      <c r="L269" s="42">
        <v>1190</v>
      </c>
      <c r="M269" s="15">
        <v>700</v>
      </c>
      <c r="N269" s="39">
        <f t="shared" si="12"/>
        <v>2380</v>
      </c>
      <c r="O269" s="39">
        <f t="shared" si="13"/>
        <v>980</v>
      </c>
      <c r="P269" s="24" t="s">
        <v>2018</v>
      </c>
      <c r="Q269" s="15" t="s">
        <v>2828</v>
      </c>
      <c r="R269" s="1" t="s">
        <v>2013</v>
      </c>
      <c r="S269" s="15" t="s">
        <v>2082</v>
      </c>
      <c r="T269" s="15" t="s">
        <v>2442</v>
      </c>
      <c r="U269" s="25" t="s">
        <v>2088</v>
      </c>
      <c r="V269" s="25" t="s">
        <v>2435</v>
      </c>
      <c r="W269" s="80">
        <v>45213</v>
      </c>
      <c r="X269" s="21" t="s">
        <v>2821</v>
      </c>
    </row>
    <row r="270" spans="1:24" x14ac:dyDescent="0.2">
      <c r="A270" s="1">
        <v>267</v>
      </c>
      <c r="B270" s="15" t="s">
        <v>850</v>
      </c>
      <c r="C270" s="1" t="s">
        <v>2782</v>
      </c>
      <c r="D270" s="1" t="s">
        <v>2500</v>
      </c>
      <c r="E270" s="15" t="s">
        <v>822</v>
      </c>
      <c r="F270" s="66" t="s">
        <v>927</v>
      </c>
      <c r="G270" s="24" t="s">
        <v>2807</v>
      </c>
      <c r="H270" s="15" t="s">
        <v>2789</v>
      </c>
      <c r="I270" s="16">
        <v>25</v>
      </c>
      <c r="J270" s="16" t="str">
        <f t="shared" si="14"/>
        <v>Young</v>
      </c>
      <c r="K270" s="25">
        <v>4</v>
      </c>
      <c r="L270" s="42">
        <v>6800</v>
      </c>
      <c r="M270" s="15">
        <f>2179+1400+90</f>
        <v>3669</v>
      </c>
      <c r="N270" s="39">
        <f t="shared" si="12"/>
        <v>27200</v>
      </c>
      <c r="O270" s="39">
        <f t="shared" si="13"/>
        <v>12524</v>
      </c>
      <c r="P270" s="24" t="s">
        <v>2062</v>
      </c>
      <c r="Q270" s="15" t="s">
        <v>2828</v>
      </c>
      <c r="R270" s="1" t="s">
        <v>2013</v>
      </c>
      <c r="S270" s="15" t="s">
        <v>2082</v>
      </c>
      <c r="T270" s="15" t="s">
        <v>2442</v>
      </c>
      <c r="U270" s="25" t="s">
        <v>2089</v>
      </c>
      <c r="V270" s="25" t="s">
        <v>2434</v>
      </c>
      <c r="W270" s="80">
        <v>45013</v>
      </c>
      <c r="X270" s="21" t="s">
        <v>2816</v>
      </c>
    </row>
    <row r="271" spans="1:24" x14ac:dyDescent="0.2">
      <c r="A271" s="1">
        <v>268</v>
      </c>
      <c r="B271" s="15" t="s">
        <v>5</v>
      </c>
      <c r="C271" s="1" t="s">
        <v>2781</v>
      </c>
      <c r="D271" s="1" t="s">
        <v>869</v>
      </c>
      <c r="E271" s="15" t="s">
        <v>826</v>
      </c>
      <c r="F271" s="67" t="s">
        <v>932</v>
      </c>
      <c r="G271" s="24" t="s">
        <v>2809</v>
      </c>
      <c r="H271" s="15" t="s">
        <v>2789</v>
      </c>
      <c r="I271" s="16">
        <v>43</v>
      </c>
      <c r="J271" s="16" t="str">
        <f t="shared" si="14"/>
        <v>Middle Age</v>
      </c>
      <c r="K271" s="25">
        <v>1</v>
      </c>
      <c r="L271" s="42">
        <v>1090</v>
      </c>
      <c r="M271" s="15">
        <v>650</v>
      </c>
      <c r="N271" s="39">
        <f t="shared" si="12"/>
        <v>1090</v>
      </c>
      <c r="O271" s="39">
        <f t="shared" si="13"/>
        <v>440</v>
      </c>
      <c r="P271" s="24" t="s">
        <v>2025</v>
      </c>
      <c r="Q271" s="24" t="s">
        <v>2024</v>
      </c>
      <c r="R271" s="1" t="s">
        <v>2013</v>
      </c>
      <c r="S271" s="15" t="s">
        <v>2082</v>
      </c>
      <c r="T271" s="15" t="s">
        <v>2442</v>
      </c>
      <c r="U271" s="25" t="s">
        <v>2083</v>
      </c>
      <c r="V271" s="25" t="s">
        <v>2436</v>
      </c>
      <c r="W271" s="80">
        <v>45198</v>
      </c>
      <c r="X271" s="21" t="s">
        <v>2820</v>
      </c>
    </row>
    <row r="272" spans="1:24" x14ac:dyDescent="0.2">
      <c r="A272" s="1">
        <v>269</v>
      </c>
      <c r="B272" s="15" t="s">
        <v>13</v>
      </c>
      <c r="C272" s="1" t="s">
        <v>2781</v>
      </c>
      <c r="D272" s="1" t="s">
        <v>869</v>
      </c>
      <c r="E272" s="15" t="s">
        <v>824</v>
      </c>
      <c r="F272" s="66" t="s">
        <v>933</v>
      </c>
      <c r="G272" s="24" t="s">
        <v>2794</v>
      </c>
      <c r="H272" s="15" t="s">
        <v>2789</v>
      </c>
      <c r="I272" s="16">
        <v>58</v>
      </c>
      <c r="J272" s="16" t="str">
        <f t="shared" si="14"/>
        <v>Old</v>
      </c>
      <c r="K272" s="25">
        <v>5</v>
      </c>
      <c r="L272" s="42">
        <v>990</v>
      </c>
      <c r="M272" s="15">
        <v>500</v>
      </c>
      <c r="N272" s="39">
        <f t="shared" si="12"/>
        <v>4950</v>
      </c>
      <c r="O272" s="39">
        <f t="shared" si="13"/>
        <v>2450</v>
      </c>
      <c r="P272" s="24" t="s">
        <v>2021</v>
      </c>
      <c r="Q272" s="24" t="s">
        <v>2020</v>
      </c>
      <c r="R272" s="1" t="s">
        <v>2013</v>
      </c>
      <c r="S272" s="15" t="s">
        <v>2082</v>
      </c>
      <c r="T272" s="15" t="s">
        <v>2442</v>
      </c>
      <c r="U272" s="25" t="s">
        <v>2083</v>
      </c>
      <c r="V272" s="25" t="s">
        <v>2437</v>
      </c>
      <c r="W272" s="80">
        <v>45074</v>
      </c>
      <c r="X272" s="21" t="s">
        <v>2786</v>
      </c>
    </row>
    <row r="273" spans="1:24" x14ac:dyDescent="0.2">
      <c r="A273" s="1">
        <v>270</v>
      </c>
      <c r="B273" s="15" t="s">
        <v>91</v>
      </c>
      <c r="C273" s="1" t="s">
        <v>2782</v>
      </c>
      <c r="D273" s="1" t="s">
        <v>2501</v>
      </c>
      <c r="E273" s="15" t="s">
        <v>863</v>
      </c>
      <c r="F273" s="67" t="s">
        <v>934</v>
      </c>
      <c r="G273" s="24" t="s">
        <v>2792</v>
      </c>
      <c r="H273" s="15" t="s">
        <v>2789</v>
      </c>
      <c r="I273" s="16">
        <v>20</v>
      </c>
      <c r="J273" s="16" t="str">
        <f t="shared" si="14"/>
        <v>Young</v>
      </c>
      <c r="K273" s="25">
        <v>2</v>
      </c>
      <c r="L273" s="42">
        <v>1800</v>
      </c>
      <c r="M273" s="15">
        <f>317+1.5*86+40+20+60+50+50</f>
        <v>666</v>
      </c>
      <c r="N273" s="39">
        <f t="shared" si="12"/>
        <v>3600</v>
      </c>
      <c r="O273" s="39">
        <f t="shared" si="13"/>
        <v>2268</v>
      </c>
      <c r="P273" s="24" t="s">
        <v>2031</v>
      </c>
      <c r="Q273" s="24" t="s">
        <v>2016</v>
      </c>
      <c r="R273" s="1" t="s">
        <v>2013</v>
      </c>
      <c r="S273" s="15" t="s">
        <v>2082</v>
      </c>
      <c r="T273" s="15" t="s">
        <v>2442</v>
      </c>
      <c r="U273" s="25" t="s">
        <v>2086</v>
      </c>
      <c r="V273" s="25" t="s">
        <v>2435</v>
      </c>
      <c r="W273" s="80">
        <v>44975</v>
      </c>
      <c r="X273" s="21" t="s">
        <v>2817</v>
      </c>
    </row>
    <row r="274" spans="1:24" x14ac:dyDescent="0.2">
      <c r="A274" s="1">
        <v>271</v>
      </c>
      <c r="B274" s="15" t="s">
        <v>13</v>
      </c>
      <c r="C274" s="1" t="s">
        <v>2781</v>
      </c>
      <c r="D274" s="1" t="s">
        <v>869</v>
      </c>
      <c r="E274" s="15" t="s">
        <v>824</v>
      </c>
      <c r="F274" s="67" t="s">
        <v>935</v>
      </c>
      <c r="G274" s="24" t="s">
        <v>2796</v>
      </c>
      <c r="H274" s="15" t="s">
        <v>2788</v>
      </c>
      <c r="I274" s="16">
        <v>49</v>
      </c>
      <c r="J274" s="16" t="str">
        <f t="shared" si="14"/>
        <v>Middle Age</v>
      </c>
      <c r="K274" s="25">
        <v>3</v>
      </c>
      <c r="L274" s="42">
        <v>990</v>
      </c>
      <c r="M274" s="15">
        <v>500</v>
      </c>
      <c r="N274" s="39">
        <f t="shared" si="12"/>
        <v>2970</v>
      </c>
      <c r="O274" s="39">
        <f t="shared" si="13"/>
        <v>1470</v>
      </c>
      <c r="P274" s="24" t="s">
        <v>2036</v>
      </c>
      <c r="Q274" s="24" t="s">
        <v>2014</v>
      </c>
      <c r="R274" s="1" t="s">
        <v>2013</v>
      </c>
      <c r="S274" s="15" t="s">
        <v>2082</v>
      </c>
      <c r="T274" s="15" t="s">
        <v>2442</v>
      </c>
      <c r="U274" s="25" t="s">
        <v>2089</v>
      </c>
      <c r="V274" s="25" t="s">
        <v>2436</v>
      </c>
      <c r="W274" s="80">
        <v>45082</v>
      </c>
      <c r="X274" s="21" t="s">
        <v>2814</v>
      </c>
    </row>
    <row r="275" spans="1:24" x14ac:dyDescent="0.2">
      <c r="A275" s="1">
        <v>272</v>
      </c>
      <c r="B275" s="15" t="s">
        <v>5</v>
      </c>
      <c r="C275" s="1" t="s">
        <v>2781</v>
      </c>
      <c r="D275" s="1" t="s">
        <v>869</v>
      </c>
      <c r="E275" s="15" t="s">
        <v>824</v>
      </c>
      <c r="F275" s="66" t="s">
        <v>881</v>
      </c>
      <c r="G275" s="24" t="s">
        <v>2798</v>
      </c>
      <c r="H275" s="15" t="s">
        <v>2789</v>
      </c>
      <c r="I275" s="16">
        <v>34</v>
      </c>
      <c r="J275" s="16" t="str">
        <f t="shared" si="14"/>
        <v>Young</v>
      </c>
      <c r="K275" s="25">
        <v>4</v>
      </c>
      <c r="L275" s="42">
        <f>1090+150</f>
        <v>1240</v>
      </c>
      <c r="M275" s="15">
        <v>650</v>
      </c>
      <c r="N275" s="39">
        <f t="shared" si="12"/>
        <v>4960</v>
      </c>
      <c r="O275" s="39">
        <f t="shared" si="13"/>
        <v>2360</v>
      </c>
      <c r="P275" s="24" t="s">
        <v>2048</v>
      </c>
      <c r="Q275" s="24" t="s">
        <v>2014</v>
      </c>
      <c r="R275" s="1" t="s">
        <v>2013</v>
      </c>
      <c r="S275" s="15" t="s">
        <v>2082</v>
      </c>
      <c r="T275" s="15" t="s">
        <v>2442</v>
      </c>
      <c r="U275" s="25" t="s">
        <v>2086</v>
      </c>
      <c r="V275" s="25" t="s">
        <v>2434</v>
      </c>
      <c r="W275" s="80">
        <v>44999</v>
      </c>
      <c r="X275" s="21" t="s">
        <v>2816</v>
      </c>
    </row>
    <row r="276" spans="1:24" x14ac:dyDescent="0.2">
      <c r="A276" s="1">
        <v>273</v>
      </c>
      <c r="B276" s="15" t="s">
        <v>6</v>
      </c>
      <c r="C276" s="1" t="s">
        <v>2781</v>
      </c>
      <c r="D276" s="1" t="s">
        <v>869</v>
      </c>
      <c r="E276" s="15" t="s">
        <v>817</v>
      </c>
      <c r="F276" s="66" t="s">
        <v>882</v>
      </c>
      <c r="G276" s="24" t="s">
        <v>2800</v>
      </c>
      <c r="H276" s="15" t="s">
        <v>2788</v>
      </c>
      <c r="I276" s="16">
        <v>27</v>
      </c>
      <c r="J276" s="16" t="str">
        <f t="shared" si="14"/>
        <v>Young</v>
      </c>
      <c r="K276" s="25">
        <v>1</v>
      </c>
      <c r="L276" s="42">
        <v>1840</v>
      </c>
      <c r="M276" s="15">
        <v>1000</v>
      </c>
      <c r="N276" s="39">
        <f t="shared" si="12"/>
        <v>1840</v>
      </c>
      <c r="O276" s="39">
        <f t="shared" si="13"/>
        <v>840</v>
      </c>
      <c r="P276" s="24" t="s">
        <v>2038</v>
      </c>
      <c r="Q276" s="15" t="s">
        <v>2016</v>
      </c>
      <c r="R276" s="1" t="s">
        <v>2013</v>
      </c>
      <c r="S276" s="15" t="s">
        <v>2082</v>
      </c>
      <c r="T276" s="15" t="s">
        <v>2442</v>
      </c>
      <c r="U276" s="25" t="s">
        <v>2083</v>
      </c>
      <c r="V276" s="25" t="s">
        <v>2437</v>
      </c>
      <c r="W276" s="80">
        <v>45068</v>
      </c>
      <c r="X276" s="21" t="s">
        <v>2786</v>
      </c>
    </row>
    <row r="277" spans="1:24" x14ac:dyDescent="0.2">
      <c r="A277" s="1">
        <v>274</v>
      </c>
      <c r="B277" s="15" t="s">
        <v>26</v>
      </c>
      <c r="C277" s="1" t="s">
        <v>2782</v>
      </c>
      <c r="D277" s="1" t="s">
        <v>2469</v>
      </c>
      <c r="E277" s="15" t="s">
        <v>864</v>
      </c>
      <c r="F277" s="66" t="s">
        <v>881</v>
      </c>
      <c r="G277" s="24" t="s">
        <v>2802</v>
      </c>
      <c r="H277" s="15" t="s">
        <v>2789</v>
      </c>
      <c r="I277" s="16">
        <v>45</v>
      </c>
      <c r="J277" s="16" t="str">
        <f t="shared" si="14"/>
        <v>Middle Age</v>
      </c>
      <c r="K277" s="25">
        <v>5</v>
      </c>
      <c r="L277" s="42">
        <v>1700</v>
      </c>
      <c r="M277" s="15">
        <f>231+86*1.5+60+40+20+50</f>
        <v>530</v>
      </c>
      <c r="N277" s="39">
        <f t="shared" si="12"/>
        <v>8500</v>
      </c>
      <c r="O277" s="39">
        <f t="shared" si="13"/>
        <v>5850</v>
      </c>
      <c r="P277" s="24" t="s">
        <v>2015</v>
      </c>
      <c r="Q277" s="24" t="s">
        <v>2014</v>
      </c>
      <c r="R277" s="1" t="s">
        <v>2013</v>
      </c>
      <c r="S277" s="15" t="s">
        <v>2082</v>
      </c>
      <c r="T277" s="15" t="s">
        <v>2442</v>
      </c>
      <c r="U277" s="25" t="s">
        <v>2084</v>
      </c>
      <c r="V277" s="25" t="s">
        <v>2435</v>
      </c>
      <c r="W277" s="80">
        <v>45269</v>
      </c>
      <c r="X277" s="21" t="s">
        <v>2822</v>
      </c>
    </row>
    <row r="278" spans="1:24" x14ac:dyDescent="0.2">
      <c r="A278" s="1">
        <v>275</v>
      </c>
      <c r="B278" s="15" t="s">
        <v>27</v>
      </c>
      <c r="C278" s="1" t="s">
        <v>2782</v>
      </c>
      <c r="D278" s="1" t="s">
        <v>2470</v>
      </c>
      <c r="E278" s="15" t="s">
        <v>822</v>
      </c>
      <c r="F278" s="66" t="s">
        <v>883</v>
      </c>
      <c r="G278" s="24" t="s">
        <v>2804</v>
      </c>
      <c r="H278" s="15" t="s">
        <v>2788</v>
      </c>
      <c r="I278" s="16">
        <v>52</v>
      </c>
      <c r="J278" s="16" t="str">
        <f t="shared" si="14"/>
        <v>Old</v>
      </c>
      <c r="K278" s="25">
        <v>3</v>
      </c>
      <c r="L278" s="42">
        <v>4300</v>
      </c>
      <c r="M278" s="15">
        <v>2300</v>
      </c>
      <c r="N278" s="39">
        <f t="shared" si="12"/>
        <v>12900</v>
      </c>
      <c r="O278" s="39">
        <f t="shared" si="13"/>
        <v>6000</v>
      </c>
      <c r="P278" s="24" t="s">
        <v>2032</v>
      </c>
      <c r="Q278" s="15" t="s">
        <v>2016</v>
      </c>
      <c r="R278" s="1" t="s">
        <v>2013</v>
      </c>
      <c r="S278" s="15" t="s">
        <v>2082</v>
      </c>
      <c r="T278" s="15" t="s">
        <v>2442</v>
      </c>
      <c r="U278" s="25" t="s">
        <v>2090</v>
      </c>
      <c r="V278" s="25" t="s">
        <v>2434</v>
      </c>
      <c r="W278" s="80">
        <v>45115</v>
      </c>
      <c r="X278" s="21" t="s">
        <v>2813</v>
      </c>
    </row>
    <row r="279" spans="1:24" x14ac:dyDescent="0.2">
      <c r="A279" s="1">
        <v>276</v>
      </c>
      <c r="B279" s="15" t="s">
        <v>834</v>
      </c>
      <c r="C279" s="1" t="s">
        <v>2782</v>
      </c>
      <c r="D279" s="1" t="s">
        <v>2502</v>
      </c>
      <c r="E279" s="15" t="s">
        <v>828</v>
      </c>
      <c r="F279" s="66" t="s">
        <v>884</v>
      </c>
      <c r="G279" s="24" t="s">
        <v>2806</v>
      </c>
      <c r="H279" s="15" t="s">
        <v>2788</v>
      </c>
      <c r="I279" s="16">
        <v>23</v>
      </c>
      <c r="J279" s="16" t="str">
        <f t="shared" si="14"/>
        <v>Young</v>
      </c>
      <c r="K279" s="25">
        <v>2</v>
      </c>
      <c r="L279" s="42">
        <v>2000</v>
      </c>
      <c r="M279" s="15">
        <v>620</v>
      </c>
      <c r="N279" s="39">
        <f t="shared" si="12"/>
        <v>4000</v>
      </c>
      <c r="O279" s="39">
        <f t="shared" si="13"/>
        <v>2760</v>
      </c>
      <c r="P279" s="24" t="s">
        <v>2025</v>
      </c>
      <c r="Q279" s="24" t="s">
        <v>2024</v>
      </c>
      <c r="R279" s="1" t="s">
        <v>2013</v>
      </c>
      <c r="S279" s="15" t="s">
        <v>2082</v>
      </c>
      <c r="T279" s="15" t="s">
        <v>2442</v>
      </c>
      <c r="U279" s="25" t="s">
        <v>2085</v>
      </c>
      <c r="V279" s="25" t="s">
        <v>2436</v>
      </c>
      <c r="W279" s="80">
        <v>45280</v>
      </c>
      <c r="X279" s="21" t="s">
        <v>2822</v>
      </c>
    </row>
    <row r="280" spans="1:24" x14ac:dyDescent="0.2">
      <c r="A280" s="1">
        <v>277</v>
      </c>
      <c r="B280" s="15" t="s">
        <v>150</v>
      </c>
      <c r="C280" s="1" t="s">
        <v>2782</v>
      </c>
      <c r="D280" s="1" t="s">
        <v>2503</v>
      </c>
      <c r="E280" s="15" t="s">
        <v>865</v>
      </c>
      <c r="F280" s="66" t="s">
        <v>936</v>
      </c>
      <c r="G280" s="24" t="s">
        <v>2808</v>
      </c>
      <c r="H280" s="15" t="s">
        <v>2788</v>
      </c>
      <c r="I280" s="16">
        <v>38</v>
      </c>
      <c r="J280" s="16" t="str">
        <f t="shared" si="14"/>
        <v>Middle Age</v>
      </c>
      <c r="K280" s="25">
        <v>4</v>
      </c>
      <c r="L280" s="42">
        <v>2760</v>
      </c>
      <c r="M280" s="15">
        <v>1160</v>
      </c>
      <c r="N280" s="39">
        <f t="shared" si="12"/>
        <v>11040</v>
      </c>
      <c r="O280" s="39">
        <f t="shared" si="13"/>
        <v>6400</v>
      </c>
      <c r="P280" s="24" t="s">
        <v>2050</v>
      </c>
      <c r="Q280" s="24" t="s">
        <v>2024</v>
      </c>
      <c r="R280" s="1" t="s">
        <v>2013</v>
      </c>
      <c r="S280" s="15" t="s">
        <v>2082</v>
      </c>
      <c r="T280" s="15" t="s">
        <v>2442</v>
      </c>
      <c r="U280" s="25" t="s">
        <v>2084</v>
      </c>
      <c r="V280" s="25" t="s">
        <v>2437</v>
      </c>
      <c r="W280" s="80">
        <v>45212</v>
      </c>
      <c r="X280" s="21" t="s">
        <v>2821</v>
      </c>
    </row>
    <row r="281" spans="1:24" x14ac:dyDescent="0.2">
      <c r="A281" s="1">
        <v>278</v>
      </c>
      <c r="B281" s="15" t="s">
        <v>28</v>
      </c>
      <c r="C281" s="1" t="s">
        <v>2782</v>
      </c>
      <c r="D281" s="1" t="s">
        <v>2471</v>
      </c>
      <c r="E281" s="15" t="s">
        <v>863</v>
      </c>
      <c r="F281" s="66" t="s">
        <v>937</v>
      </c>
      <c r="G281" s="24" t="s">
        <v>2810</v>
      </c>
      <c r="H281" s="15" t="s">
        <v>2788</v>
      </c>
      <c r="I281" s="16">
        <v>41</v>
      </c>
      <c r="J281" s="16" t="str">
        <f t="shared" si="14"/>
        <v>Middle Age</v>
      </c>
      <c r="K281" s="25">
        <v>1</v>
      </c>
      <c r="L281" s="42">
        <v>1690</v>
      </c>
      <c r="M281" s="15">
        <v>680</v>
      </c>
      <c r="N281" s="39">
        <f t="shared" si="12"/>
        <v>1690</v>
      </c>
      <c r="O281" s="39">
        <f t="shared" si="13"/>
        <v>1010</v>
      </c>
      <c r="P281" s="24" t="s">
        <v>2058</v>
      </c>
      <c r="Q281" s="24" t="s">
        <v>2020</v>
      </c>
      <c r="R281" s="1" t="s">
        <v>2013</v>
      </c>
      <c r="S281" s="15" t="s">
        <v>2082</v>
      </c>
      <c r="T281" s="15" t="s">
        <v>2442</v>
      </c>
      <c r="U281" s="25" t="s">
        <v>2089</v>
      </c>
      <c r="V281" s="25" t="s">
        <v>2435</v>
      </c>
      <c r="W281" s="80">
        <v>44950</v>
      </c>
      <c r="X281" s="21" t="s">
        <v>2818</v>
      </c>
    </row>
    <row r="282" spans="1:24" x14ac:dyDescent="0.2">
      <c r="A282" s="1">
        <v>279</v>
      </c>
      <c r="B282" s="15" t="s">
        <v>29</v>
      </c>
      <c r="C282" s="1" t="s">
        <v>2782</v>
      </c>
      <c r="D282" s="1" t="s">
        <v>2472</v>
      </c>
      <c r="E282" s="15" t="s">
        <v>828</v>
      </c>
      <c r="F282" s="66" t="s">
        <v>938</v>
      </c>
      <c r="G282" s="24" t="s">
        <v>2793</v>
      </c>
      <c r="H282" s="15" t="s">
        <v>2788</v>
      </c>
      <c r="I282" s="16">
        <v>29</v>
      </c>
      <c r="J282" s="16" t="str">
        <f t="shared" si="14"/>
        <v>Young</v>
      </c>
      <c r="K282" s="25">
        <v>5</v>
      </c>
      <c r="L282" s="42">
        <v>1720</v>
      </c>
      <c r="M282" s="15">
        <v>570</v>
      </c>
      <c r="N282" s="39">
        <f t="shared" si="12"/>
        <v>8600</v>
      </c>
      <c r="O282" s="39">
        <f t="shared" si="13"/>
        <v>5750</v>
      </c>
      <c r="P282" s="24" t="s">
        <v>2044</v>
      </c>
      <c r="Q282" s="24" t="s">
        <v>2020</v>
      </c>
      <c r="R282" s="1" t="s">
        <v>2013</v>
      </c>
      <c r="S282" s="15" t="s">
        <v>2082</v>
      </c>
      <c r="T282" s="15" t="s">
        <v>2442</v>
      </c>
      <c r="U282" s="25" t="s">
        <v>2090</v>
      </c>
      <c r="V282" s="25" t="s">
        <v>2436</v>
      </c>
      <c r="W282" s="80">
        <v>45268</v>
      </c>
      <c r="X282" s="21" t="s">
        <v>2822</v>
      </c>
    </row>
    <row r="283" spans="1:24" x14ac:dyDescent="0.2">
      <c r="A283" s="1">
        <v>280</v>
      </c>
      <c r="B283" s="15" t="s">
        <v>835</v>
      </c>
      <c r="C283" s="1" t="s">
        <v>2782</v>
      </c>
      <c r="D283" s="1" t="s">
        <v>2504</v>
      </c>
      <c r="E283" s="15" t="s">
        <v>866</v>
      </c>
      <c r="F283" s="66" t="s">
        <v>876</v>
      </c>
      <c r="G283" s="24" t="s">
        <v>2791</v>
      </c>
      <c r="H283" s="15" t="s">
        <v>2788</v>
      </c>
      <c r="I283" s="16">
        <v>60</v>
      </c>
      <c r="J283" s="16" t="str">
        <f t="shared" si="14"/>
        <v>Old</v>
      </c>
      <c r="K283" s="25">
        <v>2</v>
      </c>
      <c r="L283" s="42">
        <v>2100</v>
      </c>
      <c r="M283" s="15">
        <v>860</v>
      </c>
      <c r="N283" s="39">
        <f t="shared" si="12"/>
        <v>4200</v>
      </c>
      <c r="O283" s="39">
        <f t="shared" si="13"/>
        <v>2480</v>
      </c>
      <c r="P283" s="24" t="s">
        <v>2058</v>
      </c>
      <c r="Q283" s="24" t="s">
        <v>2020</v>
      </c>
      <c r="R283" s="1" t="s">
        <v>2013</v>
      </c>
      <c r="S283" s="15" t="s">
        <v>2082</v>
      </c>
      <c r="T283" s="15" t="s">
        <v>2442</v>
      </c>
      <c r="U283" s="25" t="s">
        <v>2088</v>
      </c>
      <c r="V283" s="25" t="s">
        <v>2434</v>
      </c>
      <c r="W283" s="80">
        <v>45170</v>
      </c>
      <c r="X283" s="21" t="s">
        <v>2820</v>
      </c>
    </row>
    <row r="284" spans="1:24" x14ac:dyDescent="0.2">
      <c r="A284" s="1">
        <v>281</v>
      </c>
      <c r="B284" s="15" t="s">
        <v>836</v>
      </c>
      <c r="C284" s="1" t="s">
        <v>2782</v>
      </c>
      <c r="D284" s="1" t="s">
        <v>2505</v>
      </c>
      <c r="E284" s="15" t="s">
        <v>863</v>
      </c>
      <c r="F284" s="66" t="s">
        <v>939</v>
      </c>
      <c r="G284" s="24" t="s">
        <v>2795</v>
      </c>
      <c r="H284" s="15" t="s">
        <v>2788</v>
      </c>
      <c r="I284" s="16">
        <v>33</v>
      </c>
      <c r="J284" s="16" t="str">
        <f t="shared" si="14"/>
        <v>Young</v>
      </c>
      <c r="K284" s="25">
        <v>3</v>
      </c>
      <c r="L284" s="42">
        <v>1800</v>
      </c>
      <c r="M284" s="15">
        <v>630</v>
      </c>
      <c r="N284" s="39">
        <f t="shared" si="12"/>
        <v>5400</v>
      </c>
      <c r="O284" s="39">
        <f t="shared" si="13"/>
        <v>3510</v>
      </c>
      <c r="P284" s="24" t="s">
        <v>2040</v>
      </c>
      <c r="Q284" s="15" t="s">
        <v>2014</v>
      </c>
      <c r="R284" s="1" t="s">
        <v>2013</v>
      </c>
      <c r="S284" s="15" t="s">
        <v>2082</v>
      </c>
      <c r="T284" s="15" t="s">
        <v>2442</v>
      </c>
      <c r="U284" s="25" t="s">
        <v>2088</v>
      </c>
      <c r="V284" s="25" t="s">
        <v>2437</v>
      </c>
      <c r="W284" s="80">
        <v>45177</v>
      </c>
      <c r="X284" s="21" t="s">
        <v>2820</v>
      </c>
    </row>
    <row r="285" spans="1:24" x14ac:dyDescent="0.2">
      <c r="A285" s="1">
        <v>282</v>
      </c>
      <c r="B285" s="15" t="s">
        <v>837</v>
      </c>
      <c r="C285" s="1" t="s">
        <v>2782</v>
      </c>
      <c r="D285" s="1" t="s">
        <v>2473</v>
      </c>
      <c r="E285" s="15" t="s">
        <v>866</v>
      </c>
      <c r="F285" s="66" t="s">
        <v>940</v>
      </c>
      <c r="G285" s="24" t="s">
        <v>2797</v>
      </c>
      <c r="H285" s="15" t="s">
        <v>2789</v>
      </c>
      <c r="I285" s="16">
        <v>22</v>
      </c>
      <c r="J285" s="16" t="str">
        <f t="shared" si="14"/>
        <v>Young</v>
      </c>
      <c r="K285" s="25">
        <v>4</v>
      </c>
      <c r="L285" s="42">
        <v>2750</v>
      </c>
      <c r="M285" s="15">
        <v>1250</v>
      </c>
      <c r="N285" s="39">
        <f t="shared" si="12"/>
        <v>11000</v>
      </c>
      <c r="O285" s="39">
        <f t="shared" si="13"/>
        <v>6000</v>
      </c>
      <c r="P285" s="24" t="s">
        <v>2055</v>
      </c>
      <c r="Q285" s="24" t="s">
        <v>2014</v>
      </c>
      <c r="R285" s="1" t="s">
        <v>2013</v>
      </c>
      <c r="S285" s="15" t="s">
        <v>2082</v>
      </c>
      <c r="T285" s="15" t="s">
        <v>2442</v>
      </c>
      <c r="U285" s="25" t="s">
        <v>2088</v>
      </c>
      <c r="V285" s="25" t="s">
        <v>2435</v>
      </c>
      <c r="W285" s="80">
        <v>44934</v>
      </c>
      <c r="X285" s="21" t="s">
        <v>2818</v>
      </c>
    </row>
    <row r="286" spans="1:24" x14ac:dyDescent="0.2">
      <c r="A286" s="1">
        <v>283</v>
      </c>
      <c r="B286" s="15" t="s">
        <v>633</v>
      </c>
      <c r="C286" s="1" t="s">
        <v>2782</v>
      </c>
      <c r="D286" s="1" t="s">
        <v>2506</v>
      </c>
      <c r="E286" s="15" t="s">
        <v>868</v>
      </c>
      <c r="F286" s="66" t="s">
        <v>25</v>
      </c>
      <c r="G286" s="24" t="s">
        <v>2799</v>
      </c>
      <c r="H286" s="15" t="s">
        <v>2789</v>
      </c>
      <c r="I286" s="16">
        <v>47</v>
      </c>
      <c r="J286" s="16" t="str">
        <f t="shared" si="14"/>
        <v>Middle Age</v>
      </c>
      <c r="K286" s="25">
        <v>1</v>
      </c>
      <c r="L286" s="42">
        <v>550</v>
      </c>
      <c r="M286" s="15">
        <f>86*5</f>
        <v>430</v>
      </c>
      <c r="N286" s="39">
        <f t="shared" si="12"/>
        <v>550</v>
      </c>
      <c r="O286" s="39">
        <f t="shared" si="13"/>
        <v>120</v>
      </c>
      <c r="P286" s="24" t="s">
        <v>2057</v>
      </c>
      <c r="Q286" s="24" t="s">
        <v>2020</v>
      </c>
      <c r="R286" s="1" t="s">
        <v>2013</v>
      </c>
      <c r="S286" s="15" t="s">
        <v>2082</v>
      </c>
      <c r="T286" s="15" t="s">
        <v>2442</v>
      </c>
      <c r="U286" s="25" t="s">
        <v>2090</v>
      </c>
      <c r="V286" s="25" t="s">
        <v>2434</v>
      </c>
      <c r="W286" s="80">
        <v>45054</v>
      </c>
      <c r="X286" s="21" t="s">
        <v>2786</v>
      </c>
    </row>
    <row r="287" spans="1:24" x14ac:dyDescent="0.2">
      <c r="A287" s="1">
        <v>284</v>
      </c>
      <c r="B287" s="15" t="s">
        <v>851</v>
      </c>
      <c r="C287" s="1" t="s">
        <v>2782</v>
      </c>
      <c r="D287" s="1" t="s">
        <v>2507</v>
      </c>
      <c r="E287" s="15" t="s">
        <v>822</v>
      </c>
      <c r="F287" s="66" t="s">
        <v>941</v>
      </c>
      <c r="G287" s="24" t="s">
        <v>2801</v>
      </c>
      <c r="H287" s="15" t="s">
        <v>2789</v>
      </c>
      <c r="I287" s="16">
        <v>55</v>
      </c>
      <c r="J287" s="16" t="str">
        <f t="shared" si="14"/>
        <v>Old</v>
      </c>
      <c r="K287" s="25">
        <v>5</v>
      </c>
      <c r="L287" s="42">
        <v>370</v>
      </c>
      <c r="M287" s="15">
        <v>100</v>
      </c>
      <c r="N287" s="39">
        <f t="shared" si="12"/>
        <v>1850</v>
      </c>
      <c r="O287" s="39">
        <f t="shared" si="13"/>
        <v>1350</v>
      </c>
      <c r="P287" s="24" t="s">
        <v>2028</v>
      </c>
      <c r="Q287" s="15" t="s">
        <v>2024</v>
      </c>
      <c r="R287" s="1" t="s">
        <v>2013</v>
      </c>
      <c r="S287" s="15" t="s">
        <v>2082</v>
      </c>
      <c r="T287" s="15" t="s">
        <v>2442</v>
      </c>
      <c r="U287" s="25" t="s">
        <v>2088</v>
      </c>
      <c r="V287" s="25" t="s">
        <v>2436</v>
      </c>
      <c r="W287" s="80">
        <v>44972</v>
      </c>
      <c r="X287" s="21" t="s">
        <v>2817</v>
      </c>
    </row>
    <row r="288" spans="1:24" x14ac:dyDescent="0.2">
      <c r="A288" s="1">
        <v>285</v>
      </c>
      <c r="B288" s="15" t="s">
        <v>30</v>
      </c>
      <c r="C288" s="1" t="s">
        <v>2782</v>
      </c>
      <c r="D288" s="1" t="s">
        <v>2474</v>
      </c>
      <c r="E288" s="15" t="s">
        <v>828</v>
      </c>
      <c r="F288" s="66" t="s">
        <v>888</v>
      </c>
      <c r="G288" s="24" t="s">
        <v>2803</v>
      </c>
      <c r="H288" s="15" t="s">
        <v>2788</v>
      </c>
      <c r="I288" s="16">
        <v>36</v>
      </c>
      <c r="J288" s="16" t="str">
        <f t="shared" si="14"/>
        <v>Middle Age</v>
      </c>
      <c r="K288" s="25">
        <v>3</v>
      </c>
      <c r="L288" s="42">
        <v>3900</v>
      </c>
      <c r="M288" s="15">
        <v>1900</v>
      </c>
      <c r="N288" s="39">
        <f t="shared" si="12"/>
        <v>11700</v>
      </c>
      <c r="O288" s="39">
        <f t="shared" si="13"/>
        <v>6000</v>
      </c>
      <c r="P288" s="24" t="s">
        <v>2059</v>
      </c>
      <c r="Q288" s="24" t="s">
        <v>2016</v>
      </c>
      <c r="R288" s="1" t="s">
        <v>2013</v>
      </c>
      <c r="S288" s="15" t="s">
        <v>2082</v>
      </c>
      <c r="T288" s="15" t="s">
        <v>2442</v>
      </c>
      <c r="U288" s="25" t="s">
        <v>2085</v>
      </c>
      <c r="V288" s="25" t="s">
        <v>2437</v>
      </c>
      <c r="W288" s="80">
        <v>45160</v>
      </c>
      <c r="X288" s="21" t="s">
        <v>2819</v>
      </c>
    </row>
    <row r="289" spans="1:24" x14ac:dyDescent="0.2">
      <c r="A289" s="1">
        <v>286</v>
      </c>
      <c r="B289" s="15" t="s">
        <v>838</v>
      </c>
      <c r="C289" s="1" t="s">
        <v>2782</v>
      </c>
      <c r="D289" s="1" t="s">
        <v>2475</v>
      </c>
      <c r="E289" s="15" t="s">
        <v>864</v>
      </c>
      <c r="F289" s="66" t="s">
        <v>887</v>
      </c>
      <c r="G289" s="24" t="s">
        <v>2805</v>
      </c>
      <c r="H289" s="15" t="s">
        <v>2788</v>
      </c>
      <c r="I289" s="16">
        <v>28</v>
      </c>
      <c r="J289" s="16" t="str">
        <f t="shared" si="14"/>
        <v>Young</v>
      </c>
      <c r="K289" s="25">
        <v>2</v>
      </c>
      <c r="L289" s="42">
        <v>2070</v>
      </c>
      <c r="M289" s="15">
        <v>1070</v>
      </c>
      <c r="N289" s="39">
        <f t="shared" si="12"/>
        <v>4140</v>
      </c>
      <c r="O289" s="39">
        <f t="shared" si="13"/>
        <v>2000</v>
      </c>
      <c r="P289" s="24" t="s">
        <v>2030</v>
      </c>
      <c r="Q289" s="24" t="s">
        <v>2024</v>
      </c>
      <c r="R289" s="1" t="s">
        <v>2013</v>
      </c>
      <c r="S289" s="15" t="s">
        <v>2082</v>
      </c>
      <c r="T289" s="15" t="s">
        <v>2442</v>
      </c>
      <c r="U289" s="25" t="s">
        <v>2088</v>
      </c>
      <c r="V289" s="25" t="s">
        <v>2435</v>
      </c>
      <c r="W289" s="80">
        <v>45004</v>
      </c>
      <c r="X289" s="21" t="s">
        <v>2816</v>
      </c>
    </row>
    <row r="290" spans="1:24" x14ac:dyDescent="0.2">
      <c r="A290" s="1">
        <v>287</v>
      </c>
      <c r="B290" s="15" t="s">
        <v>839</v>
      </c>
      <c r="C290" s="1" t="s">
        <v>2782</v>
      </c>
      <c r="D290" s="1" t="s">
        <v>2508</v>
      </c>
      <c r="E290" s="15" t="s">
        <v>823</v>
      </c>
      <c r="F290" s="66" t="s">
        <v>901</v>
      </c>
      <c r="G290" s="24" t="s">
        <v>2807</v>
      </c>
      <c r="H290" s="15" t="s">
        <v>2789</v>
      </c>
      <c r="I290" s="16">
        <v>50</v>
      </c>
      <c r="J290" s="16" t="str">
        <f t="shared" si="14"/>
        <v>Old</v>
      </c>
      <c r="K290" s="25">
        <v>4</v>
      </c>
      <c r="L290" s="42">
        <v>1150</v>
      </c>
      <c r="M290" s="15">
        <v>500</v>
      </c>
      <c r="N290" s="39">
        <f t="shared" si="12"/>
        <v>4600</v>
      </c>
      <c r="O290" s="39">
        <f t="shared" si="13"/>
        <v>2600</v>
      </c>
      <c r="P290" s="24" t="s">
        <v>2047</v>
      </c>
      <c r="Q290" s="24" t="s">
        <v>2024</v>
      </c>
      <c r="R290" s="1" t="s">
        <v>2013</v>
      </c>
      <c r="S290" s="15" t="s">
        <v>2082</v>
      </c>
      <c r="T290" s="15" t="s">
        <v>2442</v>
      </c>
      <c r="U290" s="25" t="s">
        <v>2085</v>
      </c>
      <c r="V290" s="25" t="s">
        <v>2436</v>
      </c>
      <c r="W290" s="80">
        <v>44979</v>
      </c>
      <c r="X290" s="21" t="s">
        <v>2817</v>
      </c>
    </row>
    <row r="291" spans="1:24" x14ac:dyDescent="0.2">
      <c r="A291" s="1">
        <v>288</v>
      </c>
      <c r="B291" s="15" t="s">
        <v>85</v>
      </c>
      <c r="C291" s="1" t="s">
        <v>2782</v>
      </c>
      <c r="D291" s="1" t="s">
        <v>2509</v>
      </c>
      <c r="E291" s="15" t="s">
        <v>823</v>
      </c>
      <c r="F291" s="66" t="s">
        <v>885</v>
      </c>
      <c r="G291" s="24" t="s">
        <v>2809</v>
      </c>
      <c r="H291" s="15" t="s">
        <v>2789</v>
      </c>
      <c r="I291" s="16">
        <v>39</v>
      </c>
      <c r="J291" s="16" t="str">
        <f t="shared" si="14"/>
        <v>Middle Age</v>
      </c>
      <c r="K291" s="25">
        <v>1</v>
      </c>
      <c r="L291" s="42">
        <v>1630</v>
      </c>
      <c r="M291" s="15">
        <v>680</v>
      </c>
      <c r="N291" s="39">
        <f t="shared" si="12"/>
        <v>1630</v>
      </c>
      <c r="O291" s="39">
        <f t="shared" si="13"/>
        <v>950</v>
      </c>
      <c r="P291" s="24" t="s">
        <v>2021</v>
      </c>
      <c r="Q291" s="24" t="s">
        <v>2020</v>
      </c>
      <c r="R291" s="1" t="s">
        <v>2013</v>
      </c>
      <c r="S291" s="15" t="s">
        <v>2082</v>
      </c>
      <c r="T291" s="15" t="s">
        <v>2442</v>
      </c>
      <c r="U291" s="25" t="s">
        <v>2085</v>
      </c>
      <c r="V291" s="25" t="s">
        <v>2434</v>
      </c>
      <c r="W291" s="80">
        <v>45008</v>
      </c>
      <c r="X291" s="21" t="s">
        <v>2816</v>
      </c>
    </row>
    <row r="292" spans="1:24" x14ac:dyDescent="0.2">
      <c r="A292" s="1">
        <v>289</v>
      </c>
      <c r="B292" s="15" t="s">
        <v>852</v>
      </c>
      <c r="C292" s="1" t="s">
        <v>2782</v>
      </c>
      <c r="D292" s="1" t="s">
        <v>31</v>
      </c>
      <c r="E292" s="15" t="s">
        <v>863</v>
      </c>
      <c r="F292" s="66" t="s">
        <v>882</v>
      </c>
      <c r="G292" s="24" t="s">
        <v>2794</v>
      </c>
      <c r="H292" s="15" t="s">
        <v>2788</v>
      </c>
      <c r="I292" s="16">
        <v>31</v>
      </c>
      <c r="J292" s="16" t="str">
        <f t="shared" si="14"/>
        <v>Young</v>
      </c>
      <c r="K292" s="25">
        <v>5</v>
      </c>
      <c r="L292" s="42">
        <v>1440</v>
      </c>
      <c r="M292" s="15">
        <v>640</v>
      </c>
      <c r="N292" s="39">
        <f t="shared" si="12"/>
        <v>7200</v>
      </c>
      <c r="O292" s="39">
        <f t="shared" si="13"/>
        <v>4000</v>
      </c>
      <c r="P292" s="24" t="s">
        <v>2027</v>
      </c>
      <c r="Q292" s="24" t="s">
        <v>2014</v>
      </c>
      <c r="R292" s="1" t="s">
        <v>2013</v>
      </c>
      <c r="S292" s="15" t="s">
        <v>2082</v>
      </c>
      <c r="T292" s="15" t="s">
        <v>2442</v>
      </c>
      <c r="U292" s="25" t="s">
        <v>2083</v>
      </c>
      <c r="V292" s="25" t="s">
        <v>2437</v>
      </c>
      <c r="W292" s="80">
        <v>45098</v>
      </c>
      <c r="X292" s="21" t="s">
        <v>2814</v>
      </c>
    </row>
    <row r="293" spans="1:24" x14ac:dyDescent="0.2">
      <c r="A293" s="1">
        <v>290</v>
      </c>
      <c r="B293" s="15" t="s">
        <v>79</v>
      </c>
      <c r="C293" s="1" t="s">
        <v>2782</v>
      </c>
      <c r="D293" s="1" t="s">
        <v>2510</v>
      </c>
      <c r="E293" s="15" t="s">
        <v>822</v>
      </c>
      <c r="F293" s="66" t="s">
        <v>942</v>
      </c>
      <c r="G293" s="24" t="s">
        <v>2792</v>
      </c>
      <c r="H293" s="15" t="s">
        <v>2789</v>
      </c>
      <c r="I293" s="16">
        <v>44</v>
      </c>
      <c r="J293" s="16" t="str">
        <f t="shared" si="14"/>
        <v>Middle Age</v>
      </c>
      <c r="K293" s="25">
        <v>2</v>
      </c>
      <c r="L293" s="42">
        <v>3310</v>
      </c>
      <c r="M293" s="15">
        <v>1310</v>
      </c>
      <c r="N293" s="39">
        <f t="shared" si="12"/>
        <v>6620</v>
      </c>
      <c r="O293" s="39">
        <f t="shared" si="13"/>
        <v>4000</v>
      </c>
      <c r="P293" s="24" t="s">
        <v>2026</v>
      </c>
      <c r="Q293" s="15" t="s">
        <v>2014</v>
      </c>
      <c r="R293" s="1" t="s">
        <v>2013</v>
      </c>
      <c r="S293" s="15" t="s">
        <v>2082</v>
      </c>
      <c r="T293" s="15" t="s">
        <v>2442</v>
      </c>
      <c r="U293" s="25" t="s">
        <v>2084</v>
      </c>
      <c r="V293" s="25" t="s">
        <v>2435</v>
      </c>
      <c r="W293" s="80">
        <v>45062</v>
      </c>
      <c r="X293" s="21" t="s">
        <v>2786</v>
      </c>
    </row>
    <row r="294" spans="1:24" x14ac:dyDescent="0.2">
      <c r="A294" s="1">
        <v>291</v>
      </c>
      <c r="B294" s="15" t="s">
        <v>5</v>
      </c>
      <c r="C294" s="1" t="s">
        <v>2781</v>
      </c>
      <c r="D294" s="1" t="s">
        <v>869</v>
      </c>
      <c r="E294" s="15" t="s">
        <v>817</v>
      </c>
      <c r="F294" s="66" t="s">
        <v>943</v>
      </c>
      <c r="G294" s="24" t="s">
        <v>2796</v>
      </c>
      <c r="H294" s="15" t="s">
        <v>2789</v>
      </c>
      <c r="I294" s="16">
        <v>26</v>
      </c>
      <c r="J294" s="16" t="str">
        <f t="shared" si="14"/>
        <v>Young</v>
      </c>
      <c r="K294" s="25">
        <v>3</v>
      </c>
      <c r="L294" s="42">
        <v>1090</v>
      </c>
      <c r="M294" s="15">
        <v>550</v>
      </c>
      <c r="N294" s="39">
        <f t="shared" si="12"/>
        <v>3270</v>
      </c>
      <c r="O294" s="39">
        <f t="shared" si="13"/>
        <v>1620</v>
      </c>
      <c r="P294" s="24" t="s">
        <v>2059</v>
      </c>
      <c r="Q294" s="24" t="s">
        <v>2016</v>
      </c>
      <c r="R294" s="1" t="s">
        <v>2013</v>
      </c>
      <c r="S294" s="15" t="s">
        <v>2082</v>
      </c>
      <c r="T294" s="15" t="s">
        <v>2442</v>
      </c>
      <c r="U294" s="25" t="s">
        <v>2083</v>
      </c>
      <c r="V294" s="25" t="s">
        <v>2434</v>
      </c>
      <c r="W294" s="80">
        <v>45127</v>
      </c>
      <c r="X294" s="21" t="s">
        <v>2813</v>
      </c>
    </row>
    <row r="295" spans="1:24" x14ac:dyDescent="0.2">
      <c r="A295" s="1">
        <v>292</v>
      </c>
      <c r="B295" s="15" t="s">
        <v>32</v>
      </c>
      <c r="C295" s="1" t="s">
        <v>2782</v>
      </c>
      <c r="D295" s="1" t="s">
        <v>2476</v>
      </c>
      <c r="E295" s="15" t="s">
        <v>865</v>
      </c>
      <c r="F295" s="66" t="s">
        <v>907</v>
      </c>
      <c r="G295" s="24" t="s">
        <v>2798</v>
      </c>
      <c r="H295" s="15" t="s">
        <v>2789</v>
      </c>
      <c r="I295" s="16">
        <v>48</v>
      </c>
      <c r="J295" s="16" t="str">
        <f t="shared" si="14"/>
        <v>Middle Age</v>
      </c>
      <c r="K295" s="25">
        <v>4</v>
      </c>
      <c r="L295" s="42">
        <v>4100</v>
      </c>
      <c r="M295" s="15">
        <v>2050</v>
      </c>
      <c r="N295" s="39">
        <f t="shared" si="12"/>
        <v>16400</v>
      </c>
      <c r="O295" s="39">
        <f t="shared" si="13"/>
        <v>8200</v>
      </c>
      <c r="P295" s="24" t="s">
        <v>2029</v>
      </c>
      <c r="Q295" s="24" t="s">
        <v>2016</v>
      </c>
      <c r="R295" s="1" t="s">
        <v>2013</v>
      </c>
      <c r="S295" s="15" t="s">
        <v>2082</v>
      </c>
      <c r="T295" s="15" t="s">
        <v>2442</v>
      </c>
      <c r="U295" s="25" t="s">
        <v>2085</v>
      </c>
      <c r="V295" s="25" t="s">
        <v>2436</v>
      </c>
      <c r="W295" s="80">
        <v>44997</v>
      </c>
      <c r="X295" s="21" t="s">
        <v>2816</v>
      </c>
    </row>
    <row r="296" spans="1:24" x14ac:dyDescent="0.2">
      <c r="A296" s="1">
        <v>293</v>
      </c>
      <c r="B296" s="15" t="s">
        <v>7</v>
      </c>
      <c r="C296" s="1" t="s">
        <v>2781</v>
      </c>
      <c r="D296" s="1" t="s">
        <v>869</v>
      </c>
      <c r="E296" s="15" t="s">
        <v>824</v>
      </c>
      <c r="F296" s="66" t="s">
        <v>870</v>
      </c>
      <c r="G296" s="24" t="s">
        <v>2800</v>
      </c>
      <c r="H296" s="15" t="s">
        <v>2788</v>
      </c>
      <c r="I296" s="16">
        <v>53</v>
      </c>
      <c r="J296" s="16" t="str">
        <f t="shared" si="14"/>
        <v>Old</v>
      </c>
      <c r="K296" s="25">
        <v>1</v>
      </c>
      <c r="L296" s="42">
        <v>1190</v>
      </c>
      <c r="M296" s="15">
        <v>700</v>
      </c>
      <c r="N296" s="39">
        <f t="shared" si="12"/>
        <v>1190</v>
      </c>
      <c r="O296" s="39">
        <f t="shared" si="13"/>
        <v>490</v>
      </c>
      <c r="P296" s="24" t="s">
        <v>2022</v>
      </c>
      <c r="Q296" s="24" t="s">
        <v>2016</v>
      </c>
      <c r="R296" s="1" t="s">
        <v>2013</v>
      </c>
      <c r="S296" s="15" t="s">
        <v>2082</v>
      </c>
      <c r="T296" s="15" t="s">
        <v>2442</v>
      </c>
      <c r="U296" s="25" t="s">
        <v>2084</v>
      </c>
      <c r="V296" s="25" t="s">
        <v>2437</v>
      </c>
      <c r="W296" s="80">
        <v>45096</v>
      </c>
      <c r="X296" s="21" t="s">
        <v>2814</v>
      </c>
    </row>
    <row r="297" spans="1:24" x14ac:dyDescent="0.2">
      <c r="A297" s="1">
        <v>294</v>
      </c>
      <c r="B297" s="15" t="s">
        <v>7</v>
      </c>
      <c r="C297" s="1" t="s">
        <v>2781</v>
      </c>
      <c r="D297" s="1" t="s">
        <v>869</v>
      </c>
      <c r="E297" s="15" t="s">
        <v>817</v>
      </c>
      <c r="F297" s="66" t="s">
        <v>944</v>
      </c>
      <c r="G297" s="24" t="s">
        <v>2802</v>
      </c>
      <c r="H297" s="15" t="s">
        <v>2789</v>
      </c>
      <c r="I297" s="16">
        <v>30</v>
      </c>
      <c r="J297" s="16" t="str">
        <f t="shared" si="14"/>
        <v>Young</v>
      </c>
      <c r="K297" s="25">
        <v>5</v>
      </c>
      <c r="L297" s="42">
        <v>1390</v>
      </c>
      <c r="M297" s="15">
        <v>700</v>
      </c>
      <c r="N297" s="39">
        <f t="shared" si="12"/>
        <v>6950</v>
      </c>
      <c r="O297" s="39">
        <f t="shared" si="13"/>
        <v>3450</v>
      </c>
      <c r="P297" s="24" t="s">
        <v>2061</v>
      </c>
      <c r="Q297" s="24" t="s">
        <v>2014</v>
      </c>
      <c r="R297" s="1" t="s">
        <v>2013</v>
      </c>
      <c r="S297" s="15" t="s">
        <v>2082</v>
      </c>
      <c r="T297" s="15" t="s">
        <v>2442</v>
      </c>
      <c r="U297" s="25" t="s">
        <v>2089</v>
      </c>
      <c r="V297" s="25" t="s">
        <v>2435</v>
      </c>
      <c r="W297" s="80">
        <v>44962</v>
      </c>
      <c r="X297" s="21" t="s">
        <v>2817</v>
      </c>
    </row>
    <row r="298" spans="1:24" x14ac:dyDescent="0.2">
      <c r="A298" s="1">
        <v>295</v>
      </c>
      <c r="B298" s="15" t="s">
        <v>13</v>
      </c>
      <c r="C298" s="1" t="s">
        <v>2781</v>
      </c>
      <c r="D298" s="1" t="s">
        <v>869</v>
      </c>
      <c r="E298" s="15" t="s">
        <v>824</v>
      </c>
      <c r="F298" s="66" t="s">
        <v>945</v>
      </c>
      <c r="G298" s="24" t="s">
        <v>2804</v>
      </c>
      <c r="H298" s="15" t="s">
        <v>2788</v>
      </c>
      <c r="I298" s="16">
        <v>37</v>
      </c>
      <c r="J298" s="16" t="str">
        <f t="shared" si="14"/>
        <v>Middle Age</v>
      </c>
      <c r="K298" s="25">
        <v>5</v>
      </c>
      <c r="L298" s="42">
        <v>1340</v>
      </c>
      <c r="M298" s="15">
        <v>760</v>
      </c>
      <c r="N298" s="39">
        <f t="shared" si="12"/>
        <v>6700</v>
      </c>
      <c r="O298" s="39">
        <f t="shared" si="13"/>
        <v>2900</v>
      </c>
      <c r="P298" s="24" t="s">
        <v>2025</v>
      </c>
      <c r="Q298" s="24" t="s">
        <v>2024</v>
      </c>
      <c r="R298" s="1" t="s">
        <v>2013</v>
      </c>
      <c r="S298" s="15" t="s">
        <v>2082</v>
      </c>
      <c r="T298" s="15" t="s">
        <v>2442</v>
      </c>
      <c r="U298" s="25" t="s">
        <v>2088</v>
      </c>
      <c r="V298" s="25" t="s">
        <v>2436</v>
      </c>
      <c r="W298" s="80">
        <v>45068</v>
      </c>
      <c r="X298" s="21" t="s">
        <v>2786</v>
      </c>
    </row>
    <row r="299" spans="1:24" x14ac:dyDescent="0.2">
      <c r="A299" s="1">
        <v>296</v>
      </c>
      <c r="B299" s="15" t="s">
        <v>7</v>
      </c>
      <c r="C299" s="1" t="s">
        <v>2781</v>
      </c>
      <c r="D299" s="1" t="s">
        <v>869</v>
      </c>
      <c r="E299" s="15" t="s">
        <v>824</v>
      </c>
      <c r="F299" s="66" t="s">
        <v>946</v>
      </c>
      <c r="G299" s="24" t="s">
        <v>2806</v>
      </c>
      <c r="H299" s="15" t="s">
        <v>2788</v>
      </c>
      <c r="I299" s="16">
        <v>42</v>
      </c>
      <c r="J299" s="16" t="str">
        <f t="shared" si="14"/>
        <v>Middle Age</v>
      </c>
      <c r="K299" s="25">
        <v>3</v>
      </c>
      <c r="L299" s="42">
        <v>1490</v>
      </c>
      <c r="M299" s="15">
        <v>900</v>
      </c>
      <c r="N299" s="39">
        <f t="shared" si="12"/>
        <v>4470</v>
      </c>
      <c r="O299" s="39">
        <f t="shared" si="13"/>
        <v>1770</v>
      </c>
      <c r="P299" s="24" t="s">
        <v>2019</v>
      </c>
      <c r="Q299" s="24" t="s">
        <v>2014</v>
      </c>
      <c r="R299" s="1" t="s">
        <v>2013</v>
      </c>
      <c r="S299" s="15" t="s">
        <v>2082</v>
      </c>
      <c r="T299" s="15" t="s">
        <v>2442</v>
      </c>
      <c r="U299" s="25" t="s">
        <v>2083</v>
      </c>
      <c r="V299" s="25" t="s">
        <v>2434</v>
      </c>
      <c r="W299" s="80">
        <v>45037</v>
      </c>
      <c r="X299" s="21" t="s">
        <v>2815</v>
      </c>
    </row>
    <row r="300" spans="1:24" x14ac:dyDescent="0.2">
      <c r="A300" s="1">
        <v>297</v>
      </c>
      <c r="B300" s="15" t="s">
        <v>33</v>
      </c>
      <c r="C300" s="1" t="s">
        <v>2782</v>
      </c>
      <c r="D300" s="1" t="s">
        <v>2511</v>
      </c>
      <c r="E300" s="15" t="s">
        <v>823</v>
      </c>
      <c r="F300" s="66" t="s">
        <v>947</v>
      </c>
      <c r="G300" s="24" t="s">
        <v>2808</v>
      </c>
      <c r="H300" s="15" t="s">
        <v>2788</v>
      </c>
      <c r="I300" s="16">
        <v>24</v>
      </c>
      <c r="J300" s="16" t="str">
        <f t="shared" si="14"/>
        <v>Young</v>
      </c>
      <c r="K300" s="25">
        <v>2</v>
      </c>
      <c r="L300" s="43">
        <v>5700</v>
      </c>
      <c r="M300" s="29">
        <v>3000</v>
      </c>
      <c r="N300" s="39">
        <f t="shared" si="12"/>
        <v>11400</v>
      </c>
      <c r="O300" s="39">
        <f t="shared" si="13"/>
        <v>5400</v>
      </c>
      <c r="P300" s="24" t="s">
        <v>2039</v>
      </c>
      <c r="Q300" s="24" t="s">
        <v>2014</v>
      </c>
      <c r="R300" s="1" t="s">
        <v>2013</v>
      </c>
      <c r="S300" s="15" t="s">
        <v>2082</v>
      </c>
      <c r="T300" s="15" t="s">
        <v>2442</v>
      </c>
      <c r="U300" s="25" t="s">
        <v>2086</v>
      </c>
      <c r="V300" s="25" t="s">
        <v>2437</v>
      </c>
      <c r="W300" s="80">
        <v>44928</v>
      </c>
      <c r="X300" s="21" t="s">
        <v>2818</v>
      </c>
    </row>
    <row r="301" spans="1:24" x14ac:dyDescent="0.2">
      <c r="A301" s="1">
        <v>298</v>
      </c>
      <c r="B301" s="15" t="s">
        <v>662</v>
      </c>
      <c r="C301" s="1" t="s">
        <v>2782</v>
      </c>
      <c r="D301" s="1" t="s">
        <v>2512</v>
      </c>
      <c r="E301" s="15" t="s">
        <v>828</v>
      </c>
      <c r="F301" s="66" t="s">
        <v>948</v>
      </c>
      <c r="G301" s="24" t="s">
        <v>2810</v>
      </c>
      <c r="H301" s="15" t="s">
        <v>2788</v>
      </c>
      <c r="I301" s="16">
        <v>57</v>
      </c>
      <c r="J301" s="16" t="str">
        <f t="shared" si="14"/>
        <v>Old</v>
      </c>
      <c r="K301" s="25">
        <v>4</v>
      </c>
      <c r="L301" s="42">
        <v>7570</v>
      </c>
      <c r="M301" s="15">
        <v>3970</v>
      </c>
      <c r="N301" s="39">
        <f t="shared" si="12"/>
        <v>30280</v>
      </c>
      <c r="O301" s="39">
        <f t="shared" si="13"/>
        <v>14400</v>
      </c>
      <c r="P301" s="24" t="s">
        <v>2022</v>
      </c>
      <c r="Q301" s="24" t="s">
        <v>2016</v>
      </c>
      <c r="R301" s="1" t="s">
        <v>2013</v>
      </c>
      <c r="S301" s="15" t="s">
        <v>2082</v>
      </c>
      <c r="T301" s="15" t="s">
        <v>2442</v>
      </c>
      <c r="U301" s="25" t="s">
        <v>2089</v>
      </c>
      <c r="V301" s="25" t="s">
        <v>2435</v>
      </c>
      <c r="W301" s="80">
        <v>45278</v>
      </c>
      <c r="X301" s="21" t="s">
        <v>2822</v>
      </c>
    </row>
    <row r="302" spans="1:24" x14ac:dyDescent="0.2">
      <c r="A302" s="1">
        <v>299</v>
      </c>
      <c r="B302" s="15" t="s">
        <v>7</v>
      </c>
      <c r="C302" s="1" t="s">
        <v>2781</v>
      </c>
      <c r="D302" s="1" t="s">
        <v>869</v>
      </c>
      <c r="E302" s="15" t="s">
        <v>824</v>
      </c>
      <c r="F302" s="66" t="s">
        <v>938</v>
      </c>
      <c r="G302" s="24" t="s">
        <v>2793</v>
      </c>
      <c r="H302" s="15" t="s">
        <v>2788</v>
      </c>
      <c r="I302" s="16">
        <v>35</v>
      </c>
      <c r="J302" s="16" t="str">
        <f t="shared" si="14"/>
        <v>Young</v>
      </c>
      <c r="K302" s="25">
        <v>1</v>
      </c>
      <c r="L302" s="42">
        <v>990</v>
      </c>
      <c r="M302" s="15">
        <v>450</v>
      </c>
      <c r="N302" s="39">
        <f t="shared" si="12"/>
        <v>990</v>
      </c>
      <c r="O302" s="39">
        <f t="shared" si="13"/>
        <v>540</v>
      </c>
      <c r="P302" s="24" t="s">
        <v>2061</v>
      </c>
      <c r="Q302" s="24" t="s">
        <v>2014</v>
      </c>
      <c r="R302" s="1" t="s">
        <v>2013</v>
      </c>
      <c r="S302" s="15" t="s">
        <v>2082</v>
      </c>
      <c r="T302" s="15" t="s">
        <v>2442</v>
      </c>
      <c r="U302" s="25" t="s">
        <v>2083</v>
      </c>
      <c r="V302" s="25" t="s">
        <v>2434</v>
      </c>
      <c r="W302" s="80">
        <v>45001</v>
      </c>
      <c r="X302" s="21" t="s">
        <v>2816</v>
      </c>
    </row>
    <row r="303" spans="1:24" x14ac:dyDescent="0.2">
      <c r="A303" s="1">
        <v>300</v>
      </c>
      <c r="B303" s="15" t="s">
        <v>33</v>
      </c>
      <c r="C303" s="1" t="s">
        <v>2782</v>
      </c>
      <c r="D303" s="1" t="s">
        <v>2477</v>
      </c>
      <c r="E303" s="15" t="s">
        <v>863</v>
      </c>
      <c r="F303" s="66" t="s">
        <v>874</v>
      </c>
      <c r="G303" s="24" t="s">
        <v>2791</v>
      </c>
      <c r="H303" s="15" t="s">
        <v>2788</v>
      </c>
      <c r="I303" s="16">
        <v>40</v>
      </c>
      <c r="J303" s="16" t="str">
        <f t="shared" si="14"/>
        <v>Middle Age</v>
      </c>
      <c r="K303" s="25">
        <v>5</v>
      </c>
      <c r="L303" s="42">
        <v>4800</v>
      </c>
      <c r="M303" s="15">
        <v>2100</v>
      </c>
      <c r="N303" s="39">
        <f t="shared" si="12"/>
        <v>24000</v>
      </c>
      <c r="O303" s="39">
        <f t="shared" si="13"/>
        <v>13500</v>
      </c>
      <c r="P303" s="24" t="s">
        <v>2025</v>
      </c>
      <c r="Q303" s="24" t="s">
        <v>2024</v>
      </c>
      <c r="R303" s="1" t="s">
        <v>2013</v>
      </c>
      <c r="S303" s="15" t="s">
        <v>2082</v>
      </c>
      <c r="T303" s="15" t="s">
        <v>2442</v>
      </c>
      <c r="U303" s="25" t="s">
        <v>2088</v>
      </c>
      <c r="V303" s="25" t="s">
        <v>2436</v>
      </c>
      <c r="W303" s="80">
        <v>45078</v>
      </c>
      <c r="X303" s="21" t="s">
        <v>2814</v>
      </c>
    </row>
    <row r="304" spans="1:24" x14ac:dyDescent="0.2">
      <c r="A304" s="1">
        <v>301</v>
      </c>
      <c r="B304" s="15" t="s">
        <v>34</v>
      </c>
      <c r="C304" s="1" t="s">
        <v>2782</v>
      </c>
      <c r="D304" s="1" t="s">
        <v>2478</v>
      </c>
      <c r="E304" s="15" t="s">
        <v>863</v>
      </c>
      <c r="F304" s="66" t="s">
        <v>950</v>
      </c>
      <c r="G304" s="24" t="s">
        <v>2795</v>
      </c>
      <c r="H304" s="15" t="s">
        <v>2788</v>
      </c>
      <c r="I304" s="16">
        <v>21</v>
      </c>
      <c r="J304" s="16" t="str">
        <f t="shared" si="14"/>
        <v>Young</v>
      </c>
      <c r="K304" s="25">
        <v>2</v>
      </c>
      <c r="L304" s="42">
        <v>2920</v>
      </c>
      <c r="M304" s="15">
        <v>1260</v>
      </c>
      <c r="N304" s="39">
        <f t="shared" si="12"/>
        <v>5840</v>
      </c>
      <c r="O304" s="39">
        <f t="shared" si="13"/>
        <v>3320</v>
      </c>
      <c r="P304" s="24" t="s">
        <v>2032</v>
      </c>
      <c r="Q304" s="15" t="s">
        <v>2016</v>
      </c>
      <c r="R304" s="1" t="s">
        <v>2013</v>
      </c>
      <c r="S304" s="15" t="s">
        <v>2082</v>
      </c>
      <c r="T304" s="15" t="s">
        <v>2442</v>
      </c>
      <c r="U304" s="25" t="s">
        <v>2089</v>
      </c>
      <c r="V304" s="25" t="s">
        <v>2437</v>
      </c>
      <c r="W304" s="80">
        <v>44974</v>
      </c>
      <c r="X304" s="21" t="s">
        <v>2817</v>
      </c>
    </row>
    <row r="305" spans="1:24" x14ac:dyDescent="0.2">
      <c r="A305" s="1">
        <v>302</v>
      </c>
      <c r="B305" s="15" t="s">
        <v>33</v>
      </c>
      <c r="C305" s="1" t="s">
        <v>2782</v>
      </c>
      <c r="D305" s="1" t="s">
        <v>2513</v>
      </c>
      <c r="E305" s="15" t="s">
        <v>823</v>
      </c>
      <c r="F305" s="66" t="s">
        <v>951</v>
      </c>
      <c r="G305" s="24" t="s">
        <v>2797</v>
      </c>
      <c r="H305" s="15" t="s">
        <v>2788</v>
      </c>
      <c r="I305" s="16">
        <v>59</v>
      </c>
      <c r="J305" s="16" t="str">
        <f t="shared" si="14"/>
        <v>Old</v>
      </c>
      <c r="K305" s="25">
        <v>3</v>
      </c>
      <c r="L305" s="42">
        <v>5700</v>
      </c>
      <c r="M305" s="15">
        <v>3000</v>
      </c>
      <c r="N305" s="39">
        <f t="shared" si="12"/>
        <v>17100</v>
      </c>
      <c r="O305" s="39">
        <f t="shared" si="13"/>
        <v>8100</v>
      </c>
      <c r="P305" s="24" t="s">
        <v>2038</v>
      </c>
      <c r="Q305" s="15" t="s">
        <v>2016</v>
      </c>
      <c r="R305" s="1" t="s">
        <v>2013</v>
      </c>
      <c r="S305" s="15" t="s">
        <v>2082</v>
      </c>
      <c r="T305" s="15" t="s">
        <v>2442</v>
      </c>
      <c r="U305" s="25" t="s">
        <v>2086</v>
      </c>
      <c r="V305" s="25" t="s">
        <v>2435</v>
      </c>
      <c r="W305" s="80">
        <v>44937</v>
      </c>
      <c r="X305" s="21" t="s">
        <v>2818</v>
      </c>
    </row>
    <row r="306" spans="1:24" x14ac:dyDescent="0.2">
      <c r="A306" s="1">
        <v>303</v>
      </c>
      <c r="B306" s="15" t="s">
        <v>13</v>
      </c>
      <c r="C306" s="1" t="s">
        <v>2781</v>
      </c>
      <c r="D306" s="2" t="s">
        <v>869</v>
      </c>
      <c r="E306" s="15" t="s">
        <v>824</v>
      </c>
      <c r="F306" s="66" t="s">
        <v>894</v>
      </c>
      <c r="G306" s="24" t="s">
        <v>2799</v>
      </c>
      <c r="H306" s="15" t="s">
        <v>2789</v>
      </c>
      <c r="I306" s="16">
        <v>32</v>
      </c>
      <c r="J306" s="16" t="str">
        <f t="shared" si="14"/>
        <v>Young</v>
      </c>
      <c r="K306" s="25">
        <v>4</v>
      </c>
      <c r="L306" s="42">
        <v>1840</v>
      </c>
      <c r="M306" s="15">
        <v>1000</v>
      </c>
      <c r="N306" s="39">
        <f t="shared" si="12"/>
        <v>7360</v>
      </c>
      <c r="O306" s="39">
        <f t="shared" si="13"/>
        <v>3360</v>
      </c>
      <c r="P306" s="24" t="s">
        <v>2045</v>
      </c>
      <c r="Q306" s="24" t="s">
        <v>2014</v>
      </c>
      <c r="R306" s="1" t="s">
        <v>2013</v>
      </c>
      <c r="S306" s="15" t="s">
        <v>2082</v>
      </c>
      <c r="T306" s="15" t="s">
        <v>2442</v>
      </c>
      <c r="U306" s="25" t="s">
        <v>2089</v>
      </c>
      <c r="V306" s="25" t="s">
        <v>2436</v>
      </c>
      <c r="W306" s="80">
        <v>45083</v>
      </c>
      <c r="X306" s="21" t="s">
        <v>2814</v>
      </c>
    </row>
    <row r="307" spans="1:24" x14ac:dyDescent="0.2">
      <c r="A307" s="1">
        <v>304</v>
      </c>
      <c r="B307" s="15" t="s">
        <v>7</v>
      </c>
      <c r="C307" s="1" t="s">
        <v>2781</v>
      </c>
      <c r="D307" s="1" t="s">
        <v>869</v>
      </c>
      <c r="E307" s="15" t="s">
        <v>817</v>
      </c>
      <c r="F307" s="66" t="s">
        <v>888</v>
      </c>
      <c r="G307" s="24" t="s">
        <v>2801</v>
      </c>
      <c r="H307" s="15" t="s">
        <v>2788</v>
      </c>
      <c r="I307" s="16">
        <v>46</v>
      </c>
      <c r="J307" s="16" t="str">
        <f t="shared" si="14"/>
        <v>Middle Age</v>
      </c>
      <c r="K307" s="25">
        <v>1</v>
      </c>
      <c r="L307" s="42">
        <v>750</v>
      </c>
      <c r="M307" s="15">
        <v>500</v>
      </c>
      <c r="N307" s="39">
        <f t="shared" si="12"/>
        <v>750</v>
      </c>
      <c r="O307" s="39">
        <f t="shared" si="13"/>
        <v>250</v>
      </c>
      <c r="P307" s="24" t="s">
        <v>2032</v>
      </c>
      <c r="Q307" s="15" t="s">
        <v>2016</v>
      </c>
      <c r="R307" s="1" t="s">
        <v>2013</v>
      </c>
      <c r="S307" s="15" t="s">
        <v>2082</v>
      </c>
      <c r="T307" s="15" t="s">
        <v>2442</v>
      </c>
      <c r="U307" s="25" t="s">
        <v>2083</v>
      </c>
      <c r="V307" s="25" t="s">
        <v>2434</v>
      </c>
      <c r="W307" s="80">
        <v>45243</v>
      </c>
      <c r="X307" s="21" t="s">
        <v>2823</v>
      </c>
    </row>
    <row r="308" spans="1:24" x14ac:dyDescent="0.2">
      <c r="A308" s="1">
        <v>305</v>
      </c>
      <c r="B308" s="15" t="s">
        <v>840</v>
      </c>
      <c r="C308" s="1" t="s">
        <v>2782</v>
      </c>
      <c r="D308" s="1" t="s">
        <v>2456</v>
      </c>
      <c r="E308" s="15" t="s">
        <v>828</v>
      </c>
      <c r="F308" s="67" t="s">
        <v>889</v>
      </c>
      <c r="G308" s="24" t="s">
        <v>2803</v>
      </c>
      <c r="H308" s="15" t="s">
        <v>2788</v>
      </c>
      <c r="I308" s="16">
        <v>54</v>
      </c>
      <c r="J308" s="16" t="str">
        <f t="shared" si="14"/>
        <v>Old</v>
      </c>
      <c r="K308" s="25">
        <v>5</v>
      </c>
      <c r="L308" s="42">
        <v>2170</v>
      </c>
      <c r="M308" s="15">
        <v>850</v>
      </c>
      <c r="N308" s="39">
        <f t="shared" si="12"/>
        <v>10850</v>
      </c>
      <c r="O308" s="39">
        <f t="shared" si="13"/>
        <v>6600</v>
      </c>
      <c r="P308" s="24" t="s">
        <v>2025</v>
      </c>
      <c r="Q308" s="24" t="s">
        <v>2024</v>
      </c>
      <c r="R308" s="1" t="s">
        <v>2013</v>
      </c>
      <c r="S308" s="15" t="s">
        <v>2082</v>
      </c>
      <c r="T308" s="15" t="s">
        <v>2442</v>
      </c>
      <c r="U308" s="25" t="s">
        <v>2085</v>
      </c>
      <c r="V308" s="25" t="s">
        <v>2437</v>
      </c>
      <c r="W308" s="80">
        <v>45171</v>
      </c>
      <c r="X308" s="21" t="s">
        <v>2820</v>
      </c>
    </row>
    <row r="309" spans="1:24" x14ac:dyDescent="0.2">
      <c r="A309" s="1">
        <v>306</v>
      </c>
      <c r="B309" s="15" t="s">
        <v>478</v>
      </c>
      <c r="C309" s="1" t="s">
        <v>2782</v>
      </c>
      <c r="D309" s="1" t="s">
        <v>2457</v>
      </c>
      <c r="E309" s="15" t="s">
        <v>863</v>
      </c>
      <c r="F309" s="67" t="s">
        <v>890</v>
      </c>
      <c r="G309" s="24" t="s">
        <v>2805</v>
      </c>
      <c r="H309" s="15" t="s">
        <v>2788</v>
      </c>
      <c r="I309" s="16">
        <v>25</v>
      </c>
      <c r="J309" s="16" t="str">
        <f t="shared" si="14"/>
        <v>Young</v>
      </c>
      <c r="K309" s="25">
        <v>3</v>
      </c>
      <c r="L309" s="42">
        <v>5050</v>
      </c>
      <c r="M309" s="15">
        <v>2040</v>
      </c>
      <c r="N309" s="39">
        <f t="shared" si="12"/>
        <v>15150</v>
      </c>
      <c r="O309" s="39">
        <f t="shared" si="13"/>
        <v>9030</v>
      </c>
      <c r="P309" s="24" t="s">
        <v>2034</v>
      </c>
      <c r="Q309" s="24" t="s">
        <v>2016</v>
      </c>
      <c r="R309" s="1" t="s">
        <v>2013</v>
      </c>
      <c r="S309" s="15" t="s">
        <v>2082</v>
      </c>
      <c r="T309" s="15" t="s">
        <v>2442</v>
      </c>
      <c r="U309" s="25" t="s">
        <v>2084</v>
      </c>
      <c r="V309" s="25" t="s">
        <v>2435</v>
      </c>
      <c r="W309" s="80">
        <v>45132</v>
      </c>
      <c r="X309" s="21" t="s">
        <v>2813</v>
      </c>
    </row>
    <row r="310" spans="1:24" x14ac:dyDescent="0.2">
      <c r="A310" s="1">
        <v>307</v>
      </c>
      <c r="B310" s="15" t="s">
        <v>36</v>
      </c>
      <c r="C310" s="1" t="s">
        <v>2782</v>
      </c>
      <c r="D310" s="1" t="s">
        <v>2458</v>
      </c>
      <c r="E310" s="15" t="s">
        <v>864</v>
      </c>
      <c r="F310" s="66" t="s">
        <v>891</v>
      </c>
      <c r="G310" s="24" t="s">
        <v>2807</v>
      </c>
      <c r="H310" s="15" t="s">
        <v>2788</v>
      </c>
      <c r="I310" s="16">
        <v>43</v>
      </c>
      <c r="J310" s="16" t="str">
        <f t="shared" si="14"/>
        <v>Middle Age</v>
      </c>
      <c r="K310" s="25">
        <v>2</v>
      </c>
      <c r="L310" s="42">
        <v>2380</v>
      </c>
      <c r="M310" s="15">
        <v>850</v>
      </c>
      <c r="N310" s="39">
        <f t="shared" si="12"/>
        <v>4760</v>
      </c>
      <c r="O310" s="39">
        <f t="shared" si="13"/>
        <v>3060</v>
      </c>
      <c r="P310" s="24" t="s">
        <v>2028</v>
      </c>
      <c r="Q310" s="15" t="s">
        <v>2024</v>
      </c>
      <c r="R310" s="1" t="s">
        <v>2013</v>
      </c>
      <c r="S310" s="15" t="s">
        <v>2082</v>
      </c>
      <c r="T310" s="15" t="s">
        <v>2442</v>
      </c>
      <c r="U310" s="25" t="s">
        <v>2088</v>
      </c>
      <c r="V310" s="25" t="s">
        <v>2434</v>
      </c>
      <c r="W310" s="80">
        <v>45035</v>
      </c>
      <c r="X310" s="21" t="s">
        <v>2815</v>
      </c>
    </row>
    <row r="311" spans="1:24" x14ac:dyDescent="0.2">
      <c r="A311" s="1">
        <v>308</v>
      </c>
      <c r="B311" s="15" t="s">
        <v>37</v>
      </c>
      <c r="C311" s="1" t="s">
        <v>2782</v>
      </c>
      <c r="D311" s="1" t="s">
        <v>2459</v>
      </c>
      <c r="E311" s="15" t="s">
        <v>822</v>
      </c>
      <c r="F311" s="67" t="s">
        <v>892</v>
      </c>
      <c r="G311" s="24" t="s">
        <v>2809</v>
      </c>
      <c r="H311" s="15" t="s">
        <v>2789</v>
      </c>
      <c r="I311" s="16">
        <v>58</v>
      </c>
      <c r="J311" s="16" t="str">
        <f t="shared" si="14"/>
        <v>Old</v>
      </c>
      <c r="K311" s="25">
        <v>4</v>
      </c>
      <c r="L311" s="42">
        <v>3530</v>
      </c>
      <c r="M311" s="15">
        <v>1740</v>
      </c>
      <c r="N311" s="39">
        <f t="shared" si="12"/>
        <v>14120</v>
      </c>
      <c r="O311" s="39">
        <f t="shared" si="13"/>
        <v>7160</v>
      </c>
      <c r="P311" s="24" t="s">
        <v>2037</v>
      </c>
      <c r="Q311" s="24" t="s">
        <v>2014</v>
      </c>
      <c r="R311" s="1" t="s">
        <v>2013</v>
      </c>
      <c r="S311" s="15" t="s">
        <v>2082</v>
      </c>
      <c r="T311" s="15" t="s">
        <v>2442</v>
      </c>
      <c r="U311" s="25" t="s">
        <v>2086</v>
      </c>
      <c r="V311" s="25" t="s">
        <v>2436</v>
      </c>
      <c r="W311" s="80">
        <v>45157</v>
      </c>
      <c r="X311" s="21" t="s">
        <v>2819</v>
      </c>
    </row>
    <row r="312" spans="1:24" x14ac:dyDescent="0.2">
      <c r="A312" s="1">
        <v>309</v>
      </c>
      <c r="B312" s="15" t="s">
        <v>853</v>
      </c>
      <c r="C312" s="1" t="s">
        <v>2782</v>
      </c>
      <c r="D312" s="1" t="s">
        <v>2479</v>
      </c>
      <c r="E312" s="15" t="s">
        <v>823</v>
      </c>
      <c r="F312" s="67" t="s">
        <v>876</v>
      </c>
      <c r="G312" s="24" t="s">
        <v>2794</v>
      </c>
      <c r="H312" s="15" t="s">
        <v>2788</v>
      </c>
      <c r="I312" s="16">
        <v>20</v>
      </c>
      <c r="J312" s="16" t="str">
        <f t="shared" si="14"/>
        <v>Young</v>
      </c>
      <c r="K312" s="25">
        <v>1</v>
      </c>
      <c r="L312" s="42">
        <v>250</v>
      </c>
      <c r="M312" s="15">
        <v>150</v>
      </c>
      <c r="N312" s="39">
        <f t="shared" si="12"/>
        <v>250</v>
      </c>
      <c r="O312" s="39">
        <f t="shared" si="13"/>
        <v>100</v>
      </c>
      <c r="P312" s="24" t="s">
        <v>2057</v>
      </c>
      <c r="Q312" s="24" t="s">
        <v>2020</v>
      </c>
      <c r="R312" s="1" t="s">
        <v>2013</v>
      </c>
      <c r="S312" s="15" t="s">
        <v>2082</v>
      </c>
      <c r="T312" s="15" t="s">
        <v>2442</v>
      </c>
      <c r="U312" s="25" t="s">
        <v>2089</v>
      </c>
      <c r="V312" s="25" t="s">
        <v>2437</v>
      </c>
      <c r="W312" s="80">
        <v>45082</v>
      </c>
      <c r="X312" s="21" t="s">
        <v>2814</v>
      </c>
    </row>
    <row r="313" spans="1:24" x14ac:dyDescent="0.2">
      <c r="A313" s="1">
        <v>310</v>
      </c>
      <c r="B313" s="15" t="s">
        <v>117</v>
      </c>
      <c r="C313" s="1" t="s">
        <v>2782</v>
      </c>
      <c r="D313" s="1" t="s">
        <v>2514</v>
      </c>
      <c r="E313" s="15" t="s">
        <v>828</v>
      </c>
      <c r="F313" s="67" t="s">
        <v>885</v>
      </c>
      <c r="G313" s="24" t="s">
        <v>2792</v>
      </c>
      <c r="H313" s="15" t="s">
        <v>2789</v>
      </c>
      <c r="I313" s="16">
        <v>49</v>
      </c>
      <c r="J313" s="16" t="str">
        <f t="shared" si="14"/>
        <v>Middle Age</v>
      </c>
      <c r="K313" s="25">
        <v>5</v>
      </c>
      <c r="L313" s="42">
        <v>3170</v>
      </c>
      <c r="M313" s="15">
        <f>920+200</f>
        <v>1120</v>
      </c>
      <c r="N313" s="39">
        <f t="shared" si="12"/>
        <v>15850</v>
      </c>
      <c r="O313" s="39">
        <f t="shared" si="13"/>
        <v>10250</v>
      </c>
      <c r="P313" s="24" t="s">
        <v>2043</v>
      </c>
      <c r="Q313" s="24" t="s">
        <v>2016</v>
      </c>
      <c r="R313" s="1" t="s">
        <v>2013</v>
      </c>
      <c r="S313" s="15" t="s">
        <v>2082</v>
      </c>
      <c r="T313" s="15" t="s">
        <v>2442</v>
      </c>
      <c r="U313" s="25" t="s">
        <v>2083</v>
      </c>
      <c r="V313" s="25" t="s">
        <v>2435</v>
      </c>
      <c r="W313" s="80">
        <v>44945</v>
      </c>
      <c r="X313" s="21" t="s">
        <v>2818</v>
      </c>
    </row>
    <row r="314" spans="1:24" x14ac:dyDescent="0.2">
      <c r="A314" s="1">
        <v>311</v>
      </c>
      <c r="B314" s="15" t="s">
        <v>282</v>
      </c>
      <c r="C314" s="1" t="s">
        <v>2782</v>
      </c>
      <c r="D314" s="1" t="s">
        <v>2480</v>
      </c>
      <c r="E314" s="15" t="s">
        <v>863</v>
      </c>
      <c r="F314" s="67" t="s">
        <v>893</v>
      </c>
      <c r="G314" s="24" t="s">
        <v>2796</v>
      </c>
      <c r="H314" s="15" t="s">
        <v>2789</v>
      </c>
      <c r="I314" s="24">
        <v>25</v>
      </c>
      <c r="J314" s="16" t="str">
        <f t="shared" si="14"/>
        <v>Young</v>
      </c>
      <c r="K314" s="25">
        <v>2</v>
      </c>
      <c r="L314" s="42">
        <v>6100</v>
      </c>
      <c r="M314" s="15">
        <v>2700</v>
      </c>
      <c r="N314" s="39">
        <f t="shared" si="12"/>
        <v>12200</v>
      </c>
      <c r="O314" s="39">
        <f t="shared" si="13"/>
        <v>6800</v>
      </c>
      <c r="P314" s="24" t="s">
        <v>2051</v>
      </c>
      <c r="Q314" s="15" t="s">
        <v>2828</v>
      </c>
      <c r="R314" s="1" t="s">
        <v>2013</v>
      </c>
      <c r="S314" s="15" t="s">
        <v>2082</v>
      </c>
      <c r="T314" s="15" t="s">
        <v>2442</v>
      </c>
      <c r="U314" s="25" t="s">
        <v>2089</v>
      </c>
      <c r="V314" s="25" t="s">
        <v>2436</v>
      </c>
      <c r="W314" s="80">
        <v>45131</v>
      </c>
      <c r="X314" s="21" t="s">
        <v>2813</v>
      </c>
    </row>
    <row r="315" spans="1:24" x14ac:dyDescent="0.2">
      <c r="A315" s="1">
        <v>312</v>
      </c>
      <c r="B315" s="15" t="s">
        <v>39</v>
      </c>
      <c r="C315" s="1" t="s">
        <v>2782</v>
      </c>
      <c r="D315" s="1" t="s">
        <v>2481</v>
      </c>
      <c r="E315" s="15" t="s">
        <v>863</v>
      </c>
      <c r="F315" s="67" t="s">
        <v>894</v>
      </c>
      <c r="G315" s="24" t="s">
        <v>2798</v>
      </c>
      <c r="H315" s="15" t="s">
        <v>2789</v>
      </c>
      <c r="I315" s="24">
        <v>31</v>
      </c>
      <c r="J315" s="16" t="str">
        <f t="shared" si="14"/>
        <v>Young</v>
      </c>
      <c r="K315" s="25">
        <v>3</v>
      </c>
      <c r="L315" s="42">
        <v>1800</v>
      </c>
      <c r="M315" s="15">
        <v>700</v>
      </c>
      <c r="N315" s="39">
        <f t="shared" si="12"/>
        <v>5400</v>
      </c>
      <c r="O315" s="39">
        <f t="shared" si="13"/>
        <v>3300</v>
      </c>
      <c r="P315" s="24" t="s">
        <v>2043</v>
      </c>
      <c r="Q315" s="24" t="s">
        <v>2016</v>
      </c>
      <c r="R315" s="1" t="s">
        <v>2013</v>
      </c>
      <c r="S315" s="15" t="s">
        <v>2082</v>
      </c>
      <c r="T315" s="15" t="s">
        <v>2442</v>
      </c>
      <c r="U315" s="25" t="s">
        <v>2084</v>
      </c>
      <c r="V315" s="25" t="s">
        <v>2434</v>
      </c>
      <c r="W315" s="80">
        <v>44979</v>
      </c>
      <c r="X315" s="21" t="s">
        <v>2817</v>
      </c>
    </row>
    <row r="316" spans="1:24" x14ac:dyDescent="0.2">
      <c r="A316" s="1">
        <v>313</v>
      </c>
      <c r="B316" s="15" t="s">
        <v>40</v>
      </c>
      <c r="C316" s="1" t="s">
        <v>2782</v>
      </c>
      <c r="D316" s="1" t="s">
        <v>2482</v>
      </c>
      <c r="E316" s="15" t="s">
        <v>822</v>
      </c>
      <c r="F316" s="67" t="s">
        <v>882</v>
      </c>
      <c r="G316" s="24" t="s">
        <v>2800</v>
      </c>
      <c r="H316" s="15" t="s">
        <v>2788</v>
      </c>
      <c r="I316" s="24">
        <v>56</v>
      </c>
      <c r="J316" s="16" t="str">
        <f t="shared" si="14"/>
        <v>Old</v>
      </c>
      <c r="K316" s="25">
        <v>4</v>
      </c>
      <c r="L316" s="42">
        <v>2250</v>
      </c>
      <c r="M316" s="15">
        <v>1120</v>
      </c>
      <c r="N316" s="39">
        <f t="shared" si="12"/>
        <v>9000</v>
      </c>
      <c r="O316" s="39">
        <f t="shared" si="13"/>
        <v>4520</v>
      </c>
      <c r="P316" s="24" t="s">
        <v>2038</v>
      </c>
      <c r="Q316" s="15" t="s">
        <v>2016</v>
      </c>
      <c r="R316" s="1" t="s">
        <v>2013</v>
      </c>
      <c r="S316" s="15" t="s">
        <v>2082</v>
      </c>
      <c r="T316" s="15" t="s">
        <v>2442</v>
      </c>
      <c r="U316" s="25" t="s">
        <v>2086</v>
      </c>
      <c r="V316" s="25" t="s">
        <v>2437</v>
      </c>
      <c r="W316" s="80">
        <v>44983</v>
      </c>
      <c r="X316" s="21" t="s">
        <v>2817</v>
      </c>
    </row>
    <row r="317" spans="1:24" x14ac:dyDescent="0.2">
      <c r="A317" s="1">
        <v>314</v>
      </c>
      <c r="B317" s="15" t="s">
        <v>6</v>
      </c>
      <c r="C317" s="1" t="s">
        <v>2782</v>
      </c>
      <c r="D317" s="1" t="s">
        <v>2497</v>
      </c>
      <c r="E317" s="15" t="s">
        <v>864</v>
      </c>
      <c r="F317" s="67" t="s">
        <v>895</v>
      </c>
      <c r="G317" s="24" t="s">
        <v>2802</v>
      </c>
      <c r="H317" s="15" t="s">
        <v>2788</v>
      </c>
      <c r="I317" s="24">
        <v>42</v>
      </c>
      <c r="J317" s="16" t="str">
        <f t="shared" si="14"/>
        <v>Middle Age</v>
      </c>
      <c r="K317" s="25">
        <v>1</v>
      </c>
      <c r="L317" s="42">
        <v>800</v>
      </c>
      <c r="M317" s="15">
        <v>600</v>
      </c>
      <c r="N317" s="39">
        <f t="shared" si="12"/>
        <v>800</v>
      </c>
      <c r="O317" s="39">
        <f t="shared" si="13"/>
        <v>200</v>
      </c>
      <c r="P317" s="24" t="s">
        <v>2030</v>
      </c>
      <c r="Q317" s="24" t="s">
        <v>2024</v>
      </c>
      <c r="R317" s="1" t="s">
        <v>2013</v>
      </c>
      <c r="S317" s="15" t="s">
        <v>2082</v>
      </c>
      <c r="T317" s="15" t="s">
        <v>2442</v>
      </c>
      <c r="U317" s="25" t="s">
        <v>2085</v>
      </c>
      <c r="V317" s="25" t="s">
        <v>2435</v>
      </c>
      <c r="W317" s="80">
        <v>44973</v>
      </c>
      <c r="X317" s="21" t="s">
        <v>2817</v>
      </c>
    </row>
    <row r="318" spans="1:24" x14ac:dyDescent="0.2">
      <c r="A318" s="1">
        <v>315</v>
      </c>
      <c r="B318" s="1" t="s">
        <v>41</v>
      </c>
      <c r="C318" s="1" t="s">
        <v>2782</v>
      </c>
      <c r="D318" s="1" t="s">
        <v>2515</v>
      </c>
      <c r="E318" s="15" t="s">
        <v>822</v>
      </c>
      <c r="F318" s="67" t="s">
        <v>896</v>
      </c>
      <c r="G318" s="24" t="s">
        <v>2804</v>
      </c>
      <c r="H318" s="15" t="s">
        <v>2788</v>
      </c>
      <c r="I318" s="24">
        <v>34</v>
      </c>
      <c r="J318" s="16" t="str">
        <f t="shared" si="14"/>
        <v>Young</v>
      </c>
      <c r="K318" s="25">
        <v>5</v>
      </c>
      <c r="L318" s="42">
        <v>1680</v>
      </c>
      <c r="M318" s="15">
        <v>970</v>
      </c>
      <c r="N318" s="39">
        <f t="shared" si="12"/>
        <v>8400</v>
      </c>
      <c r="O318" s="39">
        <f t="shared" si="13"/>
        <v>3550</v>
      </c>
      <c r="P318" s="24" t="s">
        <v>2031</v>
      </c>
      <c r="Q318" s="24" t="s">
        <v>2016</v>
      </c>
      <c r="R318" s="1" t="s">
        <v>2013</v>
      </c>
      <c r="S318" s="15" t="s">
        <v>2082</v>
      </c>
      <c r="T318" s="15" t="s">
        <v>2442</v>
      </c>
      <c r="U318" s="25" t="s">
        <v>2089</v>
      </c>
      <c r="V318" s="25" t="s">
        <v>2434</v>
      </c>
      <c r="W318" s="80">
        <v>45093</v>
      </c>
      <c r="X318" s="21" t="s">
        <v>2814</v>
      </c>
    </row>
    <row r="319" spans="1:24" x14ac:dyDescent="0.2">
      <c r="A319" s="1">
        <v>316</v>
      </c>
      <c r="B319" s="1" t="s">
        <v>42</v>
      </c>
      <c r="C319" s="1" t="s">
        <v>2782</v>
      </c>
      <c r="D319" s="1" t="s">
        <v>2516</v>
      </c>
      <c r="E319" s="15" t="s">
        <v>828</v>
      </c>
      <c r="F319" s="67" t="s">
        <v>897</v>
      </c>
      <c r="G319" s="24" t="s">
        <v>2806</v>
      </c>
      <c r="H319" s="15" t="s">
        <v>2788</v>
      </c>
      <c r="I319" s="24">
        <v>23</v>
      </c>
      <c r="J319" s="16" t="str">
        <f t="shared" si="14"/>
        <v>Young</v>
      </c>
      <c r="K319" s="25">
        <v>3</v>
      </c>
      <c r="L319" s="42">
        <v>1400</v>
      </c>
      <c r="M319" s="15">
        <v>450</v>
      </c>
      <c r="N319" s="39">
        <f t="shared" si="12"/>
        <v>4200</v>
      </c>
      <c r="O319" s="39">
        <f t="shared" si="13"/>
        <v>2850</v>
      </c>
      <c r="P319" s="24" t="s">
        <v>2046</v>
      </c>
      <c r="Q319" s="24" t="s">
        <v>2016</v>
      </c>
      <c r="R319" s="1" t="s">
        <v>2013</v>
      </c>
      <c r="S319" s="15" t="s">
        <v>2082</v>
      </c>
      <c r="T319" s="15" t="s">
        <v>2442</v>
      </c>
      <c r="U319" s="25" t="s">
        <v>2085</v>
      </c>
      <c r="V319" s="25" t="s">
        <v>2436</v>
      </c>
      <c r="W319" s="80">
        <v>44974</v>
      </c>
      <c r="X319" s="21" t="s">
        <v>2817</v>
      </c>
    </row>
    <row r="320" spans="1:24" x14ac:dyDescent="0.2">
      <c r="A320" s="1">
        <v>317</v>
      </c>
      <c r="B320" s="1" t="s">
        <v>43</v>
      </c>
      <c r="C320" s="1" t="s">
        <v>2782</v>
      </c>
      <c r="D320" s="1" t="s">
        <v>2517</v>
      </c>
      <c r="E320" s="15" t="s">
        <v>864</v>
      </c>
      <c r="F320" s="66" t="s">
        <v>898</v>
      </c>
      <c r="G320" s="24" t="s">
        <v>2808</v>
      </c>
      <c r="H320" s="15" t="s">
        <v>2788</v>
      </c>
      <c r="I320" s="24">
        <v>56</v>
      </c>
      <c r="J320" s="16" t="str">
        <f t="shared" si="14"/>
        <v>Old</v>
      </c>
      <c r="K320" s="25">
        <v>2</v>
      </c>
      <c r="L320" s="42">
        <v>2460</v>
      </c>
      <c r="M320" s="15">
        <v>1060</v>
      </c>
      <c r="N320" s="39">
        <f t="shared" si="12"/>
        <v>4920</v>
      </c>
      <c r="O320" s="39">
        <f t="shared" si="13"/>
        <v>2800</v>
      </c>
      <c r="P320" s="24" t="s">
        <v>2025</v>
      </c>
      <c r="Q320" s="24" t="s">
        <v>2024</v>
      </c>
      <c r="R320" s="1" t="s">
        <v>2013</v>
      </c>
      <c r="S320" s="15" t="s">
        <v>2082</v>
      </c>
      <c r="T320" s="15" t="s">
        <v>2442</v>
      </c>
      <c r="U320" s="25" t="s">
        <v>2088</v>
      </c>
      <c r="V320" s="25" t="s">
        <v>2437</v>
      </c>
      <c r="W320" s="80">
        <v>45242</v>
      </c>
      <c r="X320" s="21" t="s">
        <v>2823</v>
      </c>
    </row>
    <row r="321" spans="1:24" x14ac:dyDescent="0.2">
      <c r="A321" s="1">
        <v>318</v>
      </c>
      <c r="B321" s="1" t="s">
        <v>43</v>
      </c>
      <c r="C321" s="1" t="s">
        <v>2782</v>
      </c>
      <c r="D321" s="1" t="s">
        <v>2518</v>
      </c>
      <c r="E321" s="15" t="s">
        <v>822</v>
      </c>
      <c r="F321" s="66" t="s">
        <v>895</v>
      </c>
      <c r="G321" s="24" t="s">
        <v>2810</v>
      </c>
      <c r="H321" s="15" t="s">
        <v>2788</v>
      </c>
      <c r="I321" s="24">
        <v>24</v>
      </c>
      <c r="J321" s="16" t="str">
        <f t="shared" si="14"/>
        <v>Young</v>
      </c>
      <c r="K321" s="25">
        <v>4</v>
      </c>
      <c r="L321" s="42">
        <v>2910</v>
      </c>
      <c r="M321" s="15">
        <v>1110</v>
      </c>
      <c r="N321" s="39">
        <f t="shared" si="12"/>
        <v>11640</v>
      </c>
      <c r="O321" s="39">
        <f t="shared" si="13"/>
        <v>7200</v>
      </c>
      <c r="P321" s="24" t="s">
        <v>2053</v>
      </c>
      <c r="Q321" s="24" t="s">
        <v>2014</v>
      </c>
      <c r="R321" s="1" t="s">
        <v>2013</v>
      </c>
      <c r="S321" s="15" t="s">
        <v>2082</v>
      </c>
      <c r="T321" s="15" t="s">
        <v>2442</v>
      </c>
      <c r="U321" s="25" t="s">
        <v>2090</v>
      </c>
      <c r="V321" s="25" t="s">
        <v>2435</v>
      </c>
      <c r="W321" s="80">
        <v>44940</v>
      </c>
      <c r="X321" s="21" t="s">
        <v>2818</v>
      </c>
    </row>
    <row r="322" spans="1:24" x14ac:dyDescent="0.2">
      <c r="A322" s="1">
        <v>320</v>
      </c>
      <c r="B322" s="1" t="s">
        <v>44</v>
      </c>
      <c r="C322" s="1" t="s">
        <v>2782</v>
      </c>
      <c r="D322" s="1" t="s">
        <v>2483</v>
      </c>
      <c r="E322" s="15" t="s">
        <v>863</v>
      </c>
      <c r="F322" s="66" t="s">
        <v>899</v>
      </c>
      <c r="G322" s="24" t="s">
        <v>2793</v>
      </c>
      <c r="H322" s="15" t="s">
        <v>2788</v>
      </c>
      <c r="I322" s="24">
        <v>64</v>
      </c>
      <c r="J322" s="16" t="str">
        <f t="shared" si="14"/>
        <v>Old</v>
      </c>
      <c r="K322" s="25">
        <v>1</v>
      </c>
      <c r="L322" s="42">
        <v>3700</v>
      </c>
      <c r="M322" s="15">
        <v>1900</v>
      </c>
      <c r="N322" s="39">
        <f t="shared" ref="N322:N385" si="15">L322*K322</f>
        <v>3700</v>
      </c>
      <c r="O322" s="39">
        <f t="shared" ref="O322:O385" si="16">N322-(M322*K322)</f>
        <v>1800</v>
      </c>
      <c r="P322" s="24" t="s">
        <v>2025</v>
      </c>
      <c r="Q322" s="24" t="s">
        <v>2024</v>
      </c>
      <c r="R322" s="1" t="s">
        <v>2013</v>
      </c>
      <c r="S322" s="15" t="s">
        <v>2082</v>
      </c>
      <c r="T322" s="15" t="s">
        <v>2442</v>
      </c>
      <c r="U322" s="25" t="s">
        <v>2089</v>
      </c>
      <c r="V322" s="25" t="s">
        <v>2436</v>
      </c>
      <c r="W322" s="80">
        <v>44971</v>
      </c>
      <c r="X322" s="21" t="s">
        <v>2817</v>
      </c>
    </row>
    <row r="323" spans="1:24" x14ac:dyDescent="0.2">
      <c r="A323" s="1">
        <v>321</v>
      </c>
      <c r="B323" s="1" t="s">
        <v>12</v>
      </c>
      <c r="C323" s="1" t="s">
        <v>2781</v>
      </c>
      <c r="D323" s="1" t="s">
        <v>869</v>
      </c>
      <c r="E323" s="15" t="s">
        <v>824</v>
      </c>
      <c r="F323" s="66" t="s">
        <v>900</v>
      </c>
      <c r="G323" s="24" t="s">
        <v>2791</v>
      </c>
      <c r="H323" s="15" t="s">
        <v>2789</v>
      </c>
      <c r="I323" s="24">
        <v>64</v>
      </c>
      <c r="J323" s="16" t="str">
        <f t="shared" ref="J323:J386" si="17">IF(I323&lt;=35,"Young",IF(I323&lt;=49,"Middle Age",IF(I323&gt;=50,"Old")))</f>
        <v>Old</v>
      </c>
      <c r="K323" s="25">
        <v>5</v>
      </c>
      <c r="L323" s="42">
        <v>890</v>
      </c>
      <c r="M323" s="15">
        <v>400</v>
      </c>
      <c r="N323" s="39">
        <f t="shared" si="15"/>
        <v>4450</v>
      </c>
      <c r="O323" s="39">
        <f t="shared" si="16"/>
        <v>2450</v>
      </c>
      <c r="P323" s="24" t="s">
        <v>2046</v>
      </c>
      <c r="Q323" s="24" t="s">
        <v>2016</v>
      </c>
      <c r="R323" s="1" t="s">
        <v>2013</v>
      </c>
      <c r="S323" s="15" t="s">
        <v>2082</v>
      </c>
      <c r="T323" s="15" t="s">
        <v>2442</v>
      </c>
      <c r="U323" s="25" t="s">
        <v>2086</v>
      </c>
      <c r="V323" s="25" t="s">
        <v>2434</v>
      </c>
      <c r="W323" s="80">
        <v>45023</v>
      </c>
      <c r="X323" s="21" t="s">
        <v>2815</v>
      </c>
    </row>
    <row r="324" spans="1:24" x14ac:dyDescent="0.2">
      <c r="A324" s="1">
        <v>322</v>
      </c>
      <c r="B324" s="1" t="s">
        <v>45</v>
      </c>
      <c r="C324" s="1" t="s">
        <v>2782</v>
      </c>
      <c r="D324" s="1" t="s">
        <v>2484</v>
      </c>
      <c r="E324" s="15" t="s">
        <v>864</v>
      </c>
      <c r="F324" s="66" t="s">
        <v>900</v>
      </c>
      <c r="G324" s="24" t="s">
        <v>2795</v>
      </c>
      <c r="H324" s="15" t="s">
        <v>2789</v>
      </c>
      <c r="I324" s="24">
        <v>23</v>
      </c>
      <c r="J324" s="16" t="str">
        <f t="shared" si="17"/>
        <v>Young</v>
      </c>
      <c r="K324" s="25">
        <v>2</v>
      </c>
      <c r="L324" s="42">
        <v>3500</v>
      </c>
      <c r="M324" s="15">
        <v>1800</v>
      </c>
      <c r="N324" s="39">
        <f t="shared" si="15"/>
        <v>7000</v>
      </c>
      <c r="O324" s="39">
        <f t="shared" si="16"/>
        <v>3400</v>
      </c>
      <c r="P324" s="24" t="s">
        <v>2050</v>
      </c>
      <c r="Q324" s="24" t="s">
        <v>2024</v>
      </c>
      <c r="R324" s="1" t="s">
        <v>2013</v>
      </c>
      <c r="S324" s="15" t="s">
        <v>2082</v>
      </c>
      <c r="T324" s="15" t="s">
        <v>2442</v>
      </c>
      <c r="U324" s="25" t="s">
        <v>2087</v>
      </c>
      <c r="V324" s="25" t="s">
        <v>2437</v>
      </c>
      <c r="W324" s="80">
        <v>45188</v>
      </c>
      <c r="X324" s="21" t="s">
        <v>2820</v>
      </c>
    </row>
    <row r="325" spans="1:24" x14ac:dyDescent="0.2">
      <c r="A325" s="1">
        <v>323</v>
      </c>
      <c r="B325" s="1" t="s">
        <v>46</v>
      </c>
      <c r="C325" s="1" t="s">
        <v>2782</v>
      </c>
      <c r="D325" s="1" t="s">
        <v>2485</v>
      </c>
      <c r="E325" s="15" t="s">
        <v>828</v>
      </c>
      <c r="F325" s="66" t="s">
        <v>887</v>
      </c>
      <c r="G325" s="24" t="s">
        <v>2797</v>
      </c>
      <c r="H325" s="15" t="s">
        <v>2788</v>
      </c>
      <c r="I325" s="24">
        <v>19</v>
      </c>
      <c r="J325" s="16" t="str">
        <f t="shared" si="17"/>
        <v>Young</v>
      </c>
      <c r="K325" s="25">
        <v>3</v>
      </c>
      <c r="L325" s="42">
        <v>3630</v>
      </c>
      <c r="M325" s="15">
        <v>2030</v>
      </c>
      <c r="N325" s="39">
        <f t="shared" si="15"/>
        <v>10890</v>
      </c>
      <c r="O325" s="39">
        <f t="shared" si="16"/>
        <v>4800</v>
      </c>
      <c r="P325" s="24" t="s">
        <v>2039</v>
      </c>
      <c r="Q325" s="24" t="s">
        <v>2014</v>
      </c>
      <c r="R325" s="1" t="s">
        <v>2013</v>
      </c>
      <c r="S325" s="15" t="s">
        <v>2082</v>
      </c>
      <c r="T325" s="15" t="s">
        <v>2442</v>
      </c>
      <c r="U325" s="25" t="s">
        <v>2090</v>
      </c>
      <c r="V325" s="25" t="s">
        <v>2435</v>
      </c>
      <c r="W325" s="80">
        <v>44998</v>
      </c>
      <c r="X325" s="21" t="s">
        <v>2816</v>
      </c>
    </row>
    <row r="326" spans="1:24" x14ac:dyDescent="0.2">
      <c r="A326" s="1">
        <v>324</v>
      </c>
      <c r="B326" s="1" t="s">
        <v>47</v>
      </c>
      <c r="C326" s="1" t="s">
        <v>2782</v>
      </c>
      <c r="D326" s="1" t="s">
        <v>2486</v>
      </c>
      <c r="E326" s="15" t="s">
        <v>866</v>
      </c>
      <c r="F326" s="66" t="s">
        <v>900</v>
      </c>
      <c r="G326" s="24" t="s">
        <v>2799</v>
      </c>
      <c r="H326" s="15" t="s">
        <v>2789</v>
      </c>
      <c r="I326" s="24">
        <v>21</v>
      </c>
      <c r="J326" s="16" t="str">
        <f t="shared" si="17"/>
        <v>Young</v>
      </c>
      <c r="K326" s="25">
        <v>4</v>
      </c>
      <c r="L326" s="42">
        <v>5130</v>
      </c>
      <c r="M326" s="15">
        <v>2260</v>
      </c>
      <c r="N326" s="39">
        <f t="shared" si="15"/>
        <v>20520</v>
      </c>
      <c r="O326" s="39">
        <f t="shared" si="16"/>
        <v>11480</v>
      </c>
      <c r="P326" s="24" t="s">
        <v>2047</v>
      </c>
      <c r="Q326" s="24" t="s">
        <v>2024</v>
      </c>
      <c r="R326" s="1" t="s">
        <v>2013</v>
      </c>
      <c r="S326" s="15" t="s">
        <v>2082</v>
      </c>
      <c r="T326" s="15" t="s">
        <v>2442</v>
      </c>
      <c r="U326" s="25" t="s">
        <v>2087</v>
      </c>
      <c r="V326" s="25" t="s">
        <v>2434</v>
      </c>
      <c r="W326" s="80">
        <v>45100</v>
      </c>
      <c r="X326" s="21" t="s">
        <v>2814</v>
      </c>
    </row>
    <row r="327" spans="1:24" x14ac:dyDescent="0.2">
      <c r="A327" s="1">
        <v>325</v>
      </c>
      <c r="B327" s="1" t="s">
        <v>48</v>
      </c>
      <c r="C327" s="1" t="s">
        <v>2782</v>
      </c>
      <c r="D327" s="1" t="s">
        <v>2487</v>
      </c>
      <c r="E327" s="15" t="s">
        <v>867</v>
      </c>
      <c r="F327" s="66" t="s">
        <v>885</v>
      </c>
      <c r="G327" s="24" t="s">
        <v>2801</v>
      </c>
      <c r="H327" s="15" t="s">
        <v>2789</v>
      </c>
      <c r="I327" s="24">
        <v>56</v>
      </c>
      <c r="J327" s="16" t="str">
        <f t="shared" si="17"/>
        <v>Old</v>
      </c>
      <c r="K327" s="25">
        <v>3</v>
      </c>
      <c r="L327" s="42">
        <v>2650</v>
      </c>
      <c r="M327" s="15">
        <v>1300</v>
      </c>
      <c r="N327" s="39">
        <f t="shared" si="15"/>
        <v>7950</v>
      </c>
      <c r="O327" s="39">
        <f t="shared" si="16"/>
        <v>4050</v>
      </c>
      <c r="P327" s="24" t="s">
        <v>2036</v>
      </c>
      <c r="Q327" s="24" t="s">
        <v>2014</v>
      </c>
      <c r="R327" s="1" t="s">
        <v>2013</v>
      </c>
      <c r="S327" s="15" t="s">
        <v>2082</v>
      </c>
      <c r="T327" s="15" t="s">
        <v>2442</v>
      </c>
      <c r="U327" s="25" t="s">
        <v>2089</v>
      </c>
      <c r="V327" s="25" t="s">
        <v>2436</v>
      </c>
      <c r="W327" s="80">
        <v>45245</v>
      </c>
      <c r="X327" s="21" t="s">
        <v>2823</v>
      </c>
    </row>
    <row r="328" spans="1:24" x14ac:dyDescent="0.2">
      <c r="A328" s="1">
        <v>326</v>
      </c>
      <c r="B328" s="1" t="s">
        <v>49</v>
      </c>
      <c r="C328" s="1" t="s">
        <v>2782</v>
      </c>
      <c r="D328" s="1" t="s">
        <v>2488</v>
      </c>
      <c r="E328" s="15" t="s">
        <v>822</v>
      </c>
      <c r="F328" s="66" t="s">
        <v>901</v>
      </c>
      <c r="G328" s="24" t="s">
        <v>2803</v>
      </c>
      <c r="H328" s="15" t="s">
        <v>2789</v>
      </c>
      <c r="I328" s="24">
        <v>34</v>
      </c>
      <c r="J328" s="16" t="str">
        <f t="shared" si="17"/>
        <v>Young</v>
      </c>
      <c r="K328" s="25">
        <v>1</v>
      </c>
      <c r="L328" s="42">
        <v>2980</v>
      </c>
      <c r="M328" s="15">
        <v>1050</v>
      </c>
      <c r="N328" s="39">
        <f t="shared" si="15"/>
        <v>2980</v>
      </c>
      <c r="O328" s="39">
        <f t="shared" si="16"/>
        <v>1930</v>
      </c>
      <c r="P328" s="24" t="s">
        <v>2039</v>
      </c>
      <c r="Q328" s="24" t="s">
        <v>2014</v>
      </c>
      <c r="R328" s="1" t="s">
        <v>2013</v>
      </c>
      <c r="S328" s="15" t="s">
        <v>2082</v>
      </c>
      <c r="T328" s="15" t="s">
        <v>2442</v>
      </c>
      <c r="U328" s="25" t="s">
        <v>2090</v>
      </c>
      <c r="V328" s="25" t="s">
        <v>2437</v>
      </c>
      <c r="W328" s="80">
        <v>45185</v>
      </c>
      <c r="X328" s="21" t="s">
        <v>2820</v>
      </c>
    </row>
    <row r="329" spans="1:24" x14ac:dyDescent="0.2">
      <c r="A329" s="1">
        <v>327</v>
      </c>
      <c r="B329" s="1" t="s">
        <v>7</v>
      </c>
      <c r="C329" s="1" t="s">
        <v>2781</v>
      </c>
      <c r="D329" s="1" t="s">
        <v>869</v>
      </c>
      <c r="E329" s="15" t="s">
        <v>826</v>
      </c>
      <c r="F329" s="66" t="s">
        <v>902</v>
      </c>
      <c r="G329" s="24" t="s">
        <v>2805</v>
      </c>
      <c r="H329" s="15" t="s">
        <v>2789</v>
      </c>
      <c r="I329" s="24">
        <v>64</v>
      </c>
      <c r="J329" s="16" t="str">
        <f t="shared" si="17"/>
        <v>Old</v>
      </c>
      <c r="K329" s="25">
        <v>4</v>
      </c>
      <c r="L329" s="42">
        <v>1190</v>
      </c>
      <c r="M329" s="15">
        <v>700</v>
      </c>
      <c r="N329" s="39">
        <f t="shared" si="15"/>
        <v>4760</v>
      </c>
      <c r="O329" s="39">
        <f t="shared" si="16"/>
        <v>1960</v>
      </c>
      <c r="P329" s="24" t="s">
        <v>2019</v>
      </c>
      <c r="Q329" s="24" t="s">
        <v>2014</v>
      </c>
      <c r="R329" s="1" t="s">
        <v>2013</v>
      </c>
      <c r="S329" s="15" t="s">
        <v>2082</v>
      </c>
      <c r="T329" s="15" t="s">
        <v>2442</v>
      </c>
      <c r="U329" s="25" t="s">
        <v>2083</v>
      </c>
      <c r="V329" s="25" t="s">
        <v>2435</v>
      </c>
      <c r="W329" s="80">
        <v>45153</v>
      </c>
      <c r="X329" s="21" t="s">
        <v>2819</v>
      </c>
    </row>
    <row r="330" spans="1:24" x14ac:dyDescent="0.2">
      <c r="A330" s="1">
        <v>328</v>
      </c>
      <c r="B330" s="1" t="s">
        <v>50</v>
      </c>
      <c r="C330" s="1" t="s">
        <v>2782</v>
      </c>
      <c r="D330" s="1" t="s">
        <v>2489</v>
      </c>
      <c r="E330" s="15" t="s">
        <v>864</v>
      </c>
      <c r="F330" s="66" t="s">
        <v>903</v>
      </c>
      <c r="G330" s="24" t="s">
        <v>2807</v>
      </c>
      <c r="H330" s="15" t="s">
        <v>2788</v>
      </c>
      <c r="I330" s="24">
        <v>78</v>
      </c>
      <c r="J330" s="16" t="str">
        <f t="shared" si="17"/>
        <v>Old</v>
      </c>
      <c r="K330" s="25">
        <v>5</v>
      </c>
      <c r="L330" s="42">
        <v>3165</v>
      </c>
      <c r="M330" s="15">
        <v>1040</v>
      </c>
      <c r="N330" s="39">
        <f t="shared" si="15"/>
        <v>15825</v>
      </c>
      <c r="O330" s="39">
        <f t="shared" si="16"/>
        <v>10625</v>
      </c>
      <c r="P330" s="24" t="s">
        <v>2053</v>
      </c>
      <c r="Q330" s="24" t="s">
        <v>2014</v>
      </c>
      <c r="R330" s="1" t="s">
        <v>2013</v>
      </c>
      <c r="S330" s="15" t="s">
        <v>2082</v>
      </c>
      <c r="T330" s="15" t="s">
        <v>2442</v>
      </c>
      <c r="U330" s="25" t="s">
        <v>2089</v>
      </c>
      <c r="V330" s="25" t="s">
        <v>2436</v>
      </c>
      <c r="W330" s="80">
        <v>45243</v>
      </c>
      <c r="X330" s="21" t="s">
        <v>2823</v>
      </c>
    </row>
    <row r="331" spans="1:24" x14ac:dyDescent="0.2">
      <c r="A331" s="1">
        <v>329</v>
      </c>
      <c r="B331" s="1" t="s">
        <v>51</v>
      </c>
      <c r="C331" s="1" t="s">
        <v>2782</v>
      </c>
      <c r="D331" s="1" t="s">
        <v>2519</v>
      </c>
      <c r="E331" s="15" t="s">
        <v>863</v>
      </c>
      <c r="F331" s="66" t="s">
        <v>882</v>
      </c>
      <c r="G331" s="24" t="s">
        <v>2809</v>
      </c>
      <c r="H331" s="15" t="s">
        <v>2788</v>
      </c>
      <c r="I331" s="24">
        <v>54</v>
      </c>
      <c r="J331" s="16" t="str">
        <f t="shared" si="17"/>
        <v>Old</v>
      </c>
      <c r="K331" s="25">
        <v>3</v>
      </c>
      <c r="L331" s="42">
        <v>2210</v>
      </c>
      <c r="M331" s="15">
        <v>800</v>
      </c>
      <c r="N331" s="39">
        <f t="shared" si="15"/>
        <v>6630</v>
      </c>
      <c r="O331" s="39">
        <f t="shared" si="16"/>
        <v>4230</v>
      </c>
      <c r="P331" s="24" t="s">
        <v>2032</v>
      </c>
      <c r="Q331" s="15" t="s">
        <v>2016</v>
      </c>
      <c r="R331" s="1" t="s">
        <v>2013</v>
      </c>
      <c r="S331" s="15" t="s">
        <v>2082</v>
      </c>
      <c r="T331" s="15" t="s">
        <v>2442</v>
      </c>
      <c r="U331" s="25" t="s">
        <v>2088</v>
      </c>
      <c r="V331" s="25" t="s">
        <v>2434</v>
      </c>
      <c r="W331" s="80">
        <v>45126</v>
      </c>
      <c r="X331" s="21" t="s">
        <v>2813</v>
      </c>
    </row>
    <row r="332" spans="1:24" x14ac:dyDescent="0.2">
      <c r="A332" s="1">
        <v>330</v>
      </c>
      <c r="B332" s="1" t="s">
        <v>52</v>
      </c>
      <c r="C332" s="1" t="s">
        <v>2782</v>
      </c>
      <c r="D332" s="1" t="s">
        <v>2460</v>
      </c>
      <c r="E332" s="15" t="s">
        <v>823</v>
      </c>
      <c r="F332" s="66" t="s">
        <v>904</v>
      </c>
      <c r="G332" s="24" t="s">
        <v>2794</v>
      </c>
      <c r="H332" s="15" t="s">
        <v>2788</v>
      </c>
      <c r="I332" s="24">
        <v>32</v>
      </c>
      <c r="J332" s="16" t="str">
        <f t="shared" si="17"/>
        <v>Young</v>
      </c>
      <c r="K332" s="25">
        <v>2</v>
      </c>
      <c r="L332" s="42">
        <v>6850</v>
      </c>
      <c r="M332" s="15">
        <v>4550</v>
      </c>
      <c r="N332" s="39">
        <f t="shared" si="15"/>
        <v>13700</v>
      </c>
      <c r="O332" s="39">
        <f t="shared" si="16"/>
        <v>4600</v>
      </c>
      <c r="P332" s="24" t="s">
        <v>2062</v>
      </c>
      <c r="Q332" s="15" t="s">
        <v>2828</v>
      </c>
      <c r="R332" s="1" t="s">
        <v>2013</v>
      </c>
      <c r="S332" s="15" t="s">
        <v>2082</v>
      </c>
      <c r="T332" s="15" t="s">
        <v>2442</v>
      </c>
      <c r="U332" s="25" t="s">
        <v>2083</v>
      </c>
      <c r="V332" s="25" t="s">
        <v>2437</v>
      </c>
      <c r="W332" s="80">
        <v>45188</v>
      </c>
      <c r="X332" s="21" t="s">
        <v>2820</v>
      </c>
    </row>
    <row r="333" spans="1:24" x14ac:dyDescent="0.2">
      <c r="A333" s="1">
        <v>331</v>
      </c>
      <c r="B333" s="1" t="s">
        <v>285</v>
      </c>
      <c r="C333" s="1" t="s">
        <v>2782</v>
      </c>
      <c r="D333" s="1" t="s">
        <v>2461</v>
      </c>
      <c r="E333" s="15" t="s">
        <v>864</v>
      </c>
      <c r="F333" s="66" t="s">
        <v>905</v>
      </c>
      <c r="G333" s="24" t="s">
        <v>2792</v>
      </c>
      <c r="H333" s="15" t="s">
        <v>2788</v>
      </c>
      <c r="I333" s="16">
        <v>24</v>
      </c>
      <c r="J333" s="16" t="str">
        <f t="shared" si="17"/>
        <v>Young</v>
      </c>
      <c r="K333" s="25">
        <v>4</v>
      </c>
      <c r="L333" s="42">
        <v>3100</v>
      </c>
      <c r="M333" s="15">
        <v>1360</v>
      </c>
      <c r="N333" s="39">
        <f t="shared" si="15"/>
        <v>12400</v>
      </c>
      <c r="O333" s="39">
        <f t="shared" si="16"/>
        <v>6960</v>
      </c>
      <c r="P333" s="24" t="s">
        <v>2021</v>
      </c>
      <c r="Q333" s="24" t="s">
        <v>2020</v>
      </c>
      <c r="R333" s="1" t="s">
        <v>2013</v>
      </c>
      <c r="S333" s="15" t="s">
        <v>2082</v>
      </c>
      <c r="T333" s="15" t="s">
        <v>2442</v>
      </c>
      <c r="U333" s="25" t="s">
        <v>2090</v>
      </c>
      <c r="V333" s="25" t="s">
        <v>2435</v>
      </c>
      <c r="W333" s="80">
        <v>45277</v>
      </c>
      <c r="X333" s="21" t="s">
        <v>2822</v>
      </c>
    </row>
    <row r="334" spans="1:24" x14ac:dyDescent="0.2">
      <c r="A334" s="1">
        <v>332</v>
      </c>
      <c r="B334" s="1" t="s">
        <v>53</v>
      </c>
      <c r="C334" s="1" t="s">
        <v>2782</v>
      </c>
      <c r="D334" s="1" t="s">
        <v>2462</v>
      </c>
      <c r="E334" s="15" t="s">
        <v>867</v>
      </c>
      <c r="F334" s="66" t="s">
        <v>870</v>
      </c>
      <c r="G334" s="24" t="s">
        <v>2796</v>
      </c>
      <c r="H334" s="15" t="s">
        <v>2788</v>
      </c>
      <c r="I334" s="16">
        <v>57</v>
      </c>
      <c r="J334" s="16" t="str">
        <f t="shared" si="17"/>
        <v>Old</v>
      </c>
      <c r="K334" s="25">
        <v>1</v>
      </c>
      <c r="L334" s="42">
        <v>4190</v>
      </c>
      <c r="M334" s="15">
        <v>1690</v>
      </c>
      <c r="N334" s="39">
        <f t="shared" si="15"/>
        <v>4190</v>
      </c>
      <c r="O334" s="39">
        <f t="shared" si="16"/>
        <v>2500</v>
      </c>
      <c r="P334" s="24" t="s">
        <v>2021</v>
      </c>
      <c r="Q334" s="24" t="s">
        <v>2020</v>
      </c>
      <c r="R334" s="1" t="s">
        <v>2013</v>
      </c>
      <c r="S334" s="15" t="s">
        <v>2082</v>
      </c>
      <c r="T334" s="15" t="s">
        <v>2442</v>
      </c>
      <c r="U334" s="25" t="s">
        <v>2090</v>
      </c>
      <c r="V334" s="25" t="s">
        <v>2434</v>
      </c>
      <c r="W334" s="80">
        <v>45180</v>
      </c>
      <c r="X334" s="21" t="s">
        <v>2820</v>
      </c>
    </row>
    <row r="335" spans="1:24" x14ac:dyDescent="0.2">
      <c r="A335" s="1">
        <v>333</v>
      </c>
      <c r="B335" s="1" t="s">
        <v>54</v>
      </c>
      <c r="C335" s="1" t="s">
        <v>2782</v>
      </c>
      <c r="D335" s="1" t="s">
        <v>2463</v>
      </c>
      <c r="E335" s="15" t="s">
        <v>867</v>
      </c>
      <c r="F335" s="66" t="s">
        <v>952</v>
      </c>
      <c r="G335" s="24" t="s">
        <v>2798</v>
      </c>
      <c r="H335" s="15" t="s">
        <v>2788</v>
      </c>
      <c r="I335" s="16">
        <v>35</v>
      </c>
      <c r="J335" s="16" t="str">
        <f t="shared" si="17"/>
        <v>Young</v>
      </c>
      <c r="K335" s="25">
        <v>5</v>
      </c>
      <c r="L335" s="42">
        <v>6550</v>
      </c>
      <c r="M335" s="15">
        <v>3660</v>
      </c>
      <c r="N335" s="39">
        <f t="shared" si="15"/>
        <v>32750</v>
      </c>
      <c r="O335" s="39">
        <f t="shared" si="16"/>
        <v>14450</v>
      </c>
      <c r="P335" s="24" t="s">
        <v>2048</v>
      </c>
      <c r="Q335" s="24" t="s">
        <v>2014</v>
      </c>
      <c r="R335" s="1" t="s">
        <v>2013</v>
      </c>
      <c r="S335" s="15" t="s">
        <v>2082</v>
      </c>
      <c r="T335" s="15" t="s">
        <v>2442</v>
      </c>
      <c r="U335" s="25" t="s">
        <v>2089</v>
      </c>
      <c r="V335" s="25" t="s">
        <v>2436</v>
      </c>
      <c r="W335" s="80">
        <v>45006</v>
      </c>
      <c r="X335" s="21" t="s">
        <v>2816</v>
      </c>
    </row>
    <row r="336" spans="1:24" x14ac:dyDescent="0.2">
      <c r="A336" s="1">
        <v>334</v>
      </c>
      <c r="B336" s="1" t="s">
        <v>55</v>
      </c>
      <c r="C336" s="1" t="s">
        <v>2782</v>
      </c>
      <c r="D336" s="1" t="s">
        <v>2490</v>
      </c>
      <c r="E336" s="15" t="s">
        <v>822</v>
      </c>
      <c r="F336" s="66" t="s">
        <v>945</v>
      </c>
      <c r="G336" s="24" t="s">
        <v>2800</v>
      </c>
      <c r="H336" s="15" t="s">
        <v>2788</v>
      </c>
      <c r="I336" s="16">
        <v>40</v>
      </c>
      <c r="J336" s="16" t="str">
        <f t="shared" si="17"/>
        <v>Middle Age</v>
      </c>
      <c r="K336" s="25">
        <v>2</v>
      </c>
      <c r="L336" s="42">
        <v>2740</v>
      </c>
      <c r="M336" s="15">
        <v>1040</v>
      </c>
      <c r="N336" s="39">
        <f t="shared" si="15"/>
        <v>5480</v>
      </c>
      <c r="O336" s="39">
        <f t="shared" si="16"/>
        <v>3400</v>
      </c>
      <c r="P336" s="24" t="s">
        <v>2022</v>
      </c>
      <c r="Q336" s="24" t="s">
        <v>2016</v>
      </c>
      <c r="R336" s="1" t="s">
        <v>2013</v>
      </c>
      <c r="S336" s="15" t="s">
        <v>2082</v>
      </c>
      <c r="T336" s="15" t="s">
        <v>2442</v>
      </c>
      <c r="U336" s="25" t="s">
        <v>2090</v>
      </c>
      <c r="V336" s="25" t="s">
        <v>2437</v>
      </c>
      <c r="W336" s="80">
        <v>45245</v>
      </c>
      <c r="X336" s="21" t="s">
        <v>2823</v>
      </c>
    </row>
    <row r="337" spans="1:24" x14ac:dyDescent="0.2">
      <c r="A337" s="1">
        <v>335</v>
      </c>
      <c r="B337" s="1" t="s">
        <v>56</v>
      </c>
      <c r="C337" s="1" t="s">
        <v>2782</v>
      </c>
      <c r="D337" s="1" t="s">
        <v>2520</v>
      </c>
      <c r="E337" s="15" t="s">
        <v>828</v>
      </c>
      <c r="F337" s="66" t="s">
        <v>946</v>
      </c>
      <c r="G337" s="24" t="s">
        <v>2802</v>
      </c>
      <c r="H337" s="15" t="s">
        <v>2788</v>
      </c>
      <c r="I337" s="16">
        <v>21</v>
      </c>
      <c r="J337" s="16" t="str">
        <f t="shared" si="17"/>
        <v>Young</v>
      </c>
      <c r="K337" s="25">
        <v>3</v>
      </c>
      <c r="L337" s="42">
        <v>2600</v>
      </c>
      <c r="M337" s="15">
        <v>1140</v>
      </c>
      <c r="N337" s="39">
        <f t="shared" si="15"/>
        <v>7800</v>
      </c>
      <c r="O337" s="39">
        <f t="shared" si="16"/>
        <v>4380</v>
      </c>
      <c r="P337" s="24" t="s">
        <v>2040</v>
      </c>
      <c r="Q337" s="15" t="s">
        <v>2014</v>
      </c>
      <c r="R337" s="1" t="s">
        <v>2013</v>
      </c>
      <c r="S337" s="15" t="s">
        <v>2082</v>
      </c>
      <c r="T337" s="15" t="s">
        <v>2442</v>
      </c>
      <c r="U337" s="25" t="s">
        <v>2090</v>
      </c>
      <c r="V337" s="25" t="s">
        <v>2435</v>
      </c>
      <c r="W337" s="80">
        <v>45140</v>
      </c>
      <c r="X337" s="21" t="s">
        <v>2819</v>
      </c>
    </row>
    <row r="338" spans="1:24" x14ac:dyDescent="0.2">
      <c r="A338" s="1">
        <v>336</v>
      </c>
      <c r="B338" s="1" t="s">
        <v>404</v>
      </c>
      <c r="C338" s="1" t="s">
        <v>2782</v>
      </c>
      <c r="D338" s="1" t="s">
        <v>2521</v>
      </c>
      <c r="E338" s="15" t="s">
        <v>828</v>
      </c>
      <c r="F338" s="66" t="s">
        <v>947</v>
      </c>
      <c r="G338" s="24" t="s">
        <v>2804</v>
      </c>
      <c r="H338" s="15" t="s">
        <v>2788</v>
      </c>
      <c r="I338" s="16">
        <v>59</v>
      </c>
      <c r="J338" s="16" t="str">
        <f t="shared" si="17"/>
        <v>Old</v>
      </c>
      <c r="K338" s="25">
        <v>4</v>
      </c>
      <c r="L338" s="42">
        <v>900</v>
      </c>
      <c r="M338" s="15">
        <v>650</v>
      </c>
      <c r="N338" s="39">
        <f t="shared" si="15"/>
        <v>3600</v>
      </c>
      <c r="O338" s="39">
        <f t="shared" si="16"/>
        <v>1000</v>
      </c>
      <c r="P338" s="24" t="s">
        <v>2036</v>
      </c>
      <c r="Q338" s="24" t="s">
        <v>2014</v>
      </c>
      <c r="R338" s="1" t="s">
        <v>2013</v>
      </c>
      <c r="S338" s="15" t="s">
        <v>2082</v>
      </c>
      <c r="T338" s="15" t="s">
        <v>2442</v>
      </c>
      <c r="U338" s="25" t="s">
        <v>2085</v>
      </c>
      <c r="V338" s="25" t="s">
        <v>2436</v>
      </c>
      <c r="W338" s="80">
        <v>45248</v>
      </c>
      <c r="X338" s="21" t="s">
        <v>2823</v>
      </c>
    </row>
    <row r="339" spans="1:24" x14ac:dyDescent="0.2">
      <c r="A339" s="1">
        <v>337</v>
      </c>
      <c r="B339" s="1" t="s">
        <v>57</v>
      </c>
      <c r="C339" s="1" t="s">
        <v>2782</v>
      </c>
      <c r="D339" s="1" t="s">
        <v>2491</v>
      </c>
      <c r="E339" s="15" t="s">
        <v>864</v>
      </c>
      <c r="F339" s="66" t="s">
        <v>948</v>
      </c>
      <c r="G339" s="24" t="s">
        <v>2806</v>
      </c>
      <c r="H339" s="15" t="s">
        <v>2788</v>
      </c>
      <c r="I339" s="16">
        <v>32</v>
      </c>
      <c r="J339" s="16" t="str">
        <f t="shared" si="17"/>
        <v>Young</v>
      </c>
      <c r="K339" s="25">
        <v>1</v>
      </c>
      <c r="L339" s="42">
        <v>1280</v>
      </c>
      <c r="M339" s="15">
        <v>680</v>
      </c>
      <c r="N339" s="39">
        <f t="shared" si="15"/>
        <v>1280</v>
      </c>
      <c r="O339" s="39">
        <f t="shared" si="16"/>
        <v>600</v>
      </c>
      <c r="P339" s="24" t="s">
        <v>2039</v>
      </c>
      <c r="Q339" s="24" t="s">
        <v>2014</v>
      </c>
      <c r="R339" s="1" t="s">
        <v>2013</v>
      </c>
      <c r="S339" s="15" t="s">
        <v>2082</v>
      </c>
      <c r="T339" s="15" t="s">
        <v>2442</v>
      </c>
      <c r="U339" s="25" t="s">
        <v>2084</v>
      </c>
      <c r="V339" s="25" t="s">
        <v>2434</v>
      </c>
      <c r="W339" s="80">
        <v>45234</v>
      </c>
      <c r="X339" s="21" t="s">
        <v>2823</v>
      </c>
    </row>
    <row r="340" spans="1:24" x14ac:dyDescent="0.2">
      <c r="A340" s="1">
        <v>338</v>
      </c>
      <c r="B340" s="1" t="s">
        <v>58</v>
      </c>
      <c r="C340" s="1" t="s">
        <v>2782</v>
      </c>
      <c r="D340" s="1" t="s">
        <v>2492</v>
      </c>
      <c r="E340" s="15" t="s">
        <v>828</v>
      </c>
      <c r="F340" s="66" t="s">
        <v>949</v>
      </c>
      <c r="G340" s="24" t="s">
        <v>2808</v>
      </c>
      <c r="H340" s="15" t="s">
        <v>2788</v>
      </c>
      <c r="I340" s="16">
        <v>46</v>
      </c>
      <c r="J340" s="16" t="str">
        <f t="shared" si="17"/>
        <v>Middle Age</v>
      </c>
      <c r="K340" s="25">
        <v>5</v>
      </c>
      <c r="L340" s="42">
        <v>2650</v>
      </c>
      <c r="M340" s="15">
        <v>1150</v>
      </c>
      <c r="N340" s="39">
        <f t="shared" si="15"/>
        <v>13250</v>
      </c>
      <c r="O340" s="39">
        <f t="shared" si="16"/>
        <v>7500</v>
      </c>
      <c r="P340" s="24" t="s">
        <v>2033</v>
      </c>
      <c r="Q340" s="24" t="s">
        <v>2016</v>
      </c>
      <c r="R340" s="1" t="s">
        <v>2013</v>
      </c>
      <c r="S340" s="15" t="s">
        <v>2082</v>
      </c>
      <c r="T340" s="15" t="s">
        <v>2442</v>
      </c>
      <c r="U340" s="25" t="s">
        <v>2087</v>
      </c>
      <c r="V340" s="25" t="s">
        <v>2437</v>
      </c>
      <c r="W340" s="80">
        <v>45168</v>
      </c>
      <c r="X340" s="21" t="s">
        <v>2819</v>
      </c>
    </row>
    <row r="341" spans="1:24" x14ac:dyDescent="0.2">
      <c r="A341" s="1">
        <v>339</v>
      </c>
      <c r="B341" s="1" t="s">
        <v>6</v>
      </c>
      <c r="C341" s="1" t="s">
        <v>2781</v>
      </c>
      <c r="D341" s="1" t="s">
        <v>869</v>
      </c>
      <c r="E341" s="15" t="s">
        <v>817</v>
      </c>
      <c r="F341" s="66" t="s">
        <v>874</v>
      </c>
      <c r="G341" s="24" t="s">
        <v>2810</v>
      </c>
      <c r="H341" s="15" t="s">
        <v>2788</v>
      </c>
      <c r="I341" s="16">
        <v>54</v>
      </c>
      <c r="J341" s="16" t="str">
        <f t="shared" si="17"/>
        <v>Old</v>
      </c>
      <c r="K341" s="25">
        <v>3</v>
      </c>
      <c r="L341" s="42">
        <v>2525</v>
      </c>
      <c r="M341" s="15">
        <v>1350</v>
      </c>
      <c r="N341" s="39">
        <f t="shared" si="15"/>
        <v>7575</v>
      </c>
      <c r="O341" s="39">
        <f t="shared" si="16"/>
        <v>3525</v>
      </c>
      <c r="P341" s="24" t="s">
        <v>2018</v>
      </c>
      <c r="Q341" s="15" t="s">
        <v>2828</v>
      </c>
      <c r="R341" s="1" t="s">
        <v>2013</v>
      </c>
      <c r="S341" s="15" t="s">
        <v>2082</v>
      </c>
      <c r="T341" s="15" t="s">
        <v>2442</v>
      </c>
      <c r="U341" s="25" t="s">
        <v>2083</v>
      </c>
      <c r="V341" s="25" t="s">
        <v>2435</v>
      </c>
      <c r="W341" s="80">
        <v>45250</v>
      </c>
      <c r="X341" s="21" t="s">
        <v>2823</v>
      </c>
    </row>
    <row r="342" spans="1:24" x14ac:dyDescent="0.2">
      <c r="A342" s="1">
        <v>340</v>
      </c>
      <c r="B342" s="1" t="s">
        <v>13</v>
      </c>
      <c r="C342" s="1" t="s">
        <v>2781</v>
      </c>
      <c r="D342" s="1" t="s">
        <v>869</v>
      </c>
      <c r="E342" s="15" t="s">
        <v>817</v>
      </c>
      <c r="F342" s="66" t="s">
        <v>950</v>
      </c>
      <c r="G342" s="24" t="s">
        <v>2793</v>
      </c>
      <c r="H342" s="15" t="s">
        <v>2788</v>
      </c>
      <c r="I342" s="16">
        <v>25</v>
      </c>
      <c r="J342" s="16" t="str">
        <f t="shared" si="17"/>
        <v>Young</v>
      </c>
      <c r="K342" s="25">
        <v>2</v>
      </c>
      <c r="L342" s="42">
        <v>1240</v>
      </c>
      <c r="M342" s="15">
        <v>550</v>
      </c>
      <c r="N342" s="39">
        <f t="shared" si="15"/>
        <v>2480</v>
      </c>
      <c r="O342" s="39">
        <f t="shared" si="16"/>
        <v>1380</v>
      </c>
      <c r="P342" s="24" t="s">
        <v>2019</v>
      </c>
      <c r="Q342" s="24" t="s">
        <v>2014</v>
      </c>
      <c r="R342" s="1" t="s">
        <v>2013</v>
      </c>
      <c r="S342" s="15" t="s">
        <v>2082</v>
      </c>
      <c r="T342" s="15" t="s">
        <v>2442</v>
      </c>
      <c r="U342" s="25" t="s">
        <v>2085</v>
      </c>
      <c r="V342" s="25" t="s">
        <v>2434</v>
      </c>
      <c r="W342" s="80">
        <v>45229</v>
      </c>
      <c r="X342" s="21" t="s">
        <v>2821</v>
      </c>
    </row>
    <row r="343" spans="1:24" x14ac:dyDescent="0.2">
      <c r="A343" s="1">
        <v>341</v>
      </c>
      <c r="B343" s="1" t="s">
        <v>59</v>
      </c>
      <c r="C343" s="1" t="s">
        <v>2782</v>
      </c>
      <c r="D343" s="1" t="s">
        <v>2522</v>
      </c>
      <c r="E343" s="15" t="s">
        <v>817</v>
      </c>
      <c r="F343" s="66" t="s">
        <v>951</v>
      </c>
      <c r="G343" s="24" t="s">
        <v>2791</v>
      </c>
      <c r="H343" s="15" t="s">
        <v>2788</v>
      </c>
      <c r="I343" s="16">
        <v>43</v>
      </c>
      <c r="J343" s="16" t="str">
        <f t="shared" si="17"/>
        <v>Middle Age</v>
      </c>
      <c r="K343" s="25">
        <v>4</v>
      </c>
      <c r="L343" s="42">
        <v>3000</v>
      </c>
      <c r="M343" s="15">
        <v>1300</v>
      </c>
      <c r="N343" s="39">
        <f t="shared" si="15"/>
        <v>12000</v>
      </c>
      <c r="O343" s="39">
        <f t="shared" si="16"/>
        <v>6800</v>
      </c>
      <c r="P343" s="24" t="s">
        <v>2037</v>
      </c>
      <c r="Q343" s="24" t="s">
        <v>2014</v>
      </c>
      <c r="R343" s="1" t="s">
        <v>2013</v>
      </c>
      <c r="S343" s="15" t="s">
        <v>2082</v>
      </c>
      <c r="T343" s="15" t="s">
        <v>2442</v>
      </c>
      <c r="U343" s="25" t="s">
        <v>2090</v>
      </c>
      <c r="V343" s="25" t="s">
        <v>2436</v>
      </c>
      <c r="W343" s="80">
        <v>44933</v>
      </c>
      <c r="X343" s="21" t="s">
        <v>2818</v>
      </c>
    </row>
    <row r="344" spans="1:24" x14ac:dyDescent="0.2">
      <c r="A344" s="1">
        <v>342</v>
      </c>
      <c r="B344" s="1" t="s">
        <v>60</v>
      </c>
      <c r="C344" s="1" t="s">
        <v>2782</v>
      </c>
      <c r="D344" s="1" t="s">
        <v>2464</v>
      </c>
      <c r="E344" s="15" t="s">
        <v>864</v>
      </c>
      <c r="F344" s="66" t="s">
        <v>952</v>
      </c>
      <c r="G344" s="24" t="s">
        <v>2795</v>
      </c>
      <c r="H344" s="15" t="s">
        <v>2788</v>
      </c>
      <c r="I344" s="16">
        <v>58</v>
      </c>
      <c r="J344" s="16" t="str">
        <f t="shared" si="17"/>
        <v>Old</v>
      </c>
      <c r="K344" s="25">
        <v>1</v>
      </c>
      <c r="L344" s="42">
        <v>3550</v>
      </c>
      <c r="M344" s="15">
        <v>2020</v>
      </c>
      <c r="N344" s="39">
        <f t="shared" si="15"/>
        <v>3550</v>
      </c>
      <c r="O344" s="39">
        <f t="shared" si="16"/>
        <v>1530</v>
      </c>
      <c r="P344" s="24" t="s">
        <v>2033</v>
      </c>
      <c r="Q344" s="24" t="s">
        <v>2016</v>
      </c>
      <c r="R344" s="1" t="s">
        <v>2013</v>
      </c>
      <c r="S344" s="15" t="s">
        <v>2082</v>
      </c>
      <c r="T344" s="15" t="s">
        <v>2442</v>
      </c>
      <c r="U344" s="25" t="s">
        <v>2084</v>
      </c>
      <c r="V344" s="25" t="s">
        <v>2437</v>
      </c>
      <c r="W344" s="80">
        <v>45025</v>
      </c>
      <c r="X344" s="21" t="s">
        <v>2815</v>
      </c>
    </row>
    <row r="345" spans="1:24" x14ac:dyDescent="0.2">
      <c r="A345" s="1">
        <v>343</v>
      </c>
      <c r="B345" s="1" t="s">
        <v>61</v>
      </c>
      <c r="C345" s="1" t="s">
        <v>2782</v>
      </c>
      <c r="D345" s="1" t="s">
        <v>2523</v>
      </c>
      <c r="E345" s="15" t="s">
        <v>864</v>
      </c>
      <c r="F345" s="66" t="s">
        <v>888</v>
      </c>
      <c r="G345" s="24" t="s">
        <v>2797</v>
      </c>
      <c r="H345" s="15" t="s">
        <v>2788</v>
      </c>
      <c r="I345" s="16">
        <v>20</v>
      </c>
      <c r="J345" s="16" t="str">
        <f t="shared" si="17"/>
        <v>Young</v>
      </c>
      <c r="K345" s="25">
        <v>5</v>
      </c>
      <c r="L345" s="42">
        <v>7770</v>
      </c>
      <c r="M345" s="15">
        <v>3570</v>
      </c>
      <c r="N345" s="39">
        <f t="shared" si="15"/>
        <v>38850</v>
      </c>
      <c r="O345" s="39">
        <f t="shared" si="16"/>
        <v>21000</v>
      </c>
      <c r="P345" s="24" t="s">
        <v>2061</v>
      </c>
      <c r="Q345" s="24" t="s">
        <v>2014</v>
      </c>
      <c r="R345" s="1" t="s">
        <v>2013</v>
      </c>
      <c r="S345" s="15" t="s">
        <v>2082</v>
      </c>
      <c r="T345" s="15" t="s">
        <v>2442</v>
      </c>
      <c r="U345" s="25" t="s">
        <v>2084</v>
      </c>
      <c r="V345" s="25" t="s">
        <v>2435</v>
      </c>
      <c r="W345" s="80">
        <v>45003</v>
      </c>
      <c r="X345" s="21" t="s">
        <v>2816</v>
      </c>
    </row>
    <row r="346" spans="1:24" x14ac:dyDescent="0.2">
      <c r="A346" s="1">
        <v>344</v>
      </c>
      <c r="B346" s="1" t="s">
        <v>8</v>
      </c>
      <c r="C346" s="1" t="s">
        <v>2781</v>
      </c>
      <c r="D346" s="1" t="s">
        <v>869</v>
      </c>
      <c r="E346" s="15" t="s">
        <v>821</v>
      </c>
      <c r="F346" s="67" t="s">
        <v>889</v>
      </c>
      <c r="G346" s="24" t="s">
        <v>2799</v>
      </c>
      <c r="H346" s="15" t="s">
        <v>2788</v>
      </c>
      <c r="I346" s="16">
        <v>49</v>
      </c>
      <c r="J346" s="16" t="str">
        <f t="shared" si="17"/>
        <v>Middle Age</v>
      </c>
      <c r="K346" s="25">
        <v>2</v>
      </c>
      <c r="L346" s="42">
        <v>1090</v>
      </c>
      <c r="M346" s="15">
        <v>610</v>
      </c>
      <c r="N346" s="39">
        <f t="shared" si="15"/>
        <v>2180</v>
      </c>
      <c r="O346" s="39">
        <f t="shared" si="16"/>
        <v>960</v>
      </c>
      <c r="P346" s="24" t="s">
        <v>2038</v>
      </c>
      <c r="Q346" s="15" t="s">
        <v>2016</v>
      </c>
      <c r="R346" s="1" t="s">
        <v>2013</v>
      </c>
      <c r="S346" s="15" t="s">
        <v>2082</v>
      </c>
      <c r="T346" s="15" t="s">
        <v>2442</v>
      </c>
      <c r="U346" s="25" t="s">
        <v>2087</v>
      </c>
      <c r="V346" s="25" t="s">
        <v>2436</v>
      </c>
      <c r="W346" s="80">
        <v>45283</v>
      </c>
      <c r="X346" s="21" t="s">
        <v>2822</v>
      </c>
    </row>
    <row r="347" spans="1:24" x14ac:dyDescent="0.2">
      <c r="A347" s="1">
        <v>345</v>
      </c>
      <c r="B347" s="1" t="s">
        <v>5</v>
      </c>
      <c r="C347" s="1" t="s">
        <v>2781</v>
      </c>
      <c r="D347" s="1" t="s">
        <v>869</v>
      </c>
      <c r="E347" s="15" t="s">
        <v>817</v>
      </c>
      <c r="F347" s="67" t="s">
        <v>890</v>
      </c>
      <c r="G347" s="24" t="s">
        <v>2801</v>
      </c>
      <c r="H347" s="15" t="s">
        <v>2788</v>
      </c>
      <c r="I347" s="24">
        <v>25</v>
      </c>
      <c r="J347" s="16" t="str">
        <f t="shared" si="17"/>
        <v>Young</v>
      </c>
      <c r="K347" s="25">
        <v>3</v>
      </c>
      <c r="L347" s="42">
        <v>1090</v>
      </c>
      <c r="M347" s="15">
        <v>550</v>
      </c>
      <c r="N347" s="39">
        <f t="shared" si="15"/>
        <v>3270</v>
      </c>
      <c r="O347" s="39">
        <f t="shared" si="16"/>
        <v>1620</v>
      </c>
      <c r="P347" s="24" t="s">
        <v>2026</v>
      </c>
      <c r="Q347" s="15" t="s">
        <v>2014</v>
      </c>
      <c r="R347" s="1" t="s">
        <v>2013</v>
      </c>
      <c r="S347" s="15" t="s">
        <v>2082</v>
      </c>
      <c r="T347" s="15" t="s">
        <v>2442</v>
      </c>
      <c r="U347" s="25" t="s">
        <v>2083</v>
      </c>
      <c r="V347" s="25" t="s">
        <v>2434</v>
      </c>
      <c r="W347" s="80">
        <v>44996</v>
      </c>
      <c r="X347" s="21" t="s">
        <v>2816</v>
      </c>
    </row>
    <row r="348" spans="1:24" x14ac:dyDescent="0.2">
      <c r="A348" s="1">
        <v>346</v>
      </c>
      <c r="B348" s="1" t="s">
        <v>5</v>
      </c>
      <c r="C348" s="1" t="s">
        <v>2781</v>
      </c>
      <c r="D348" s="1" t="s">
        <v>869</v>
      </c>
      <c r="E348" s="15" t="s">
        <v>818</v>
      </c>
      <c r="F348" s="66" t="s">
        <v>891</v>
      </c>
      <c r="G348" s="24" t="s">
        <v>2803</v>
      </c>
      <c r="H348" s="15" t="s">
        <v>2788</v>
      </c>
      <c r="I348" s="24">
        <v>31</v>
      </c>
      <c r="J348" s="16" t="str">
        <f t="shared" si="17"/>
        <v>Young</v>
      </c>
      <c r="K348" s="25">
        <v>4</v>
      </c>
      <c r="L348" s="42">
        <v>1090</v>
      </c>
      <c r="M348" s="15">
        <v>600</v>
      </c>
      <c r="N348" s="39">
        <f t="shared" si="15"/>
        <v>4360</v>
      </c>
      <c r="O348" s="39">
        <f t="shared" si="16"/>
        <v>1960</v>
      </c>
      <c r="P348" s="24" t="s">
        <v>2015</v>
      </c>
      <c r="Q348" s="24" t="s">
        <v>2014</v>
      </c>
      <c r="R348" s="1" t="s">
        <v>2013</v>
      </c>
      <c r="S348" s="15" t="s">
        <v>2082</v>
      </c>
      <c r="T348" s="15" t="s">
        <v>2442</v>
      </c>
      <c r="U348" s="25" t="s">
        <v>2085</v>
      </c>
      <c r="V348" s="25" t="s">
        <v>2437</v>
      </c>
      <c r="W348" s="80">
        <v>45155</v>
      </c>
      <c r="X348" s="21" t="s">
        <v>2819</v>
      </c>
    </row>
    <row r="349" spans="1:24" x14ac:dyDescent="0.2">
      <c r="A349" s="1">
        <v>347</v>
      </c>
      <c r="B349" s="1" t="s">
        <v>62</v>
      </c>
      <c r="C349" s="1" t="s">
        <v>2782</v>
      </c>
      <c r="D349" s="1" t="s">
        <v>2447</v>
      </c>
      <c r="E349" s="15" t="s">
        <v>865</v>
      </c>
      <c r="F349" s="67" t="s">
        <v>892</v>
      </c>
      <c r="G349" s="24" t="s">
        <v>2805</v>
      </c>
      <c r="H349" s="15" t="s">
        <v>2789</v>
      </c>
      <c r="I349" s="24">
        <v>56</v>
      </c>
      <c r="J349" s="16" t="str">
        <f t="shared" si="17"/>
        <v>Old</v>
      </c>
      <c r="K349" s="25">
        <v>1</v>
      </c>
      <c r="L349" s="42">
        <v>2800</v>
      </c>
      <c r="M349" s="15">
        <v>1200</v>
      </c>
      <c r="N349" s="39">
        <f t="shared" si="15"/>
        <v>2800</v>
      </c>
      <c r="O349" s="39">
        <f t="shared" si="16"/>
        <v>1600</v>
      </c>
      <c r="P349" s="24" t="s">
        <v>2023</v>
      </c>
      <c r="Q349" s="15" t="s">
        <v>2828</v>
      </c>
      <c r="R349" s="1" t="s">
        <v>2013</v>
      </c>
      <c r="S349" s="15" t="s">
        <v>2082</v>
      </c>
      <c r="T349" s="15" t="s">
        <v>2442</v>
      </c>
      <c r="U349" s="25" t="s">
        <v>2089</v>
      </c>
      <c r="V349" s="25" t="s">
        <v>2435</v>
      </c>
      <c r="W349" s="80">
        <v>45077</v>
      </c>
      <c r="X349" s="21" t="s">
        <v>2786</v>
      </c>
    </row>
    <row r="350" spans="1:24" x14ac:dyDescent="0.2">
      <c r="A350" s="1">
        <v>348</v>
      </c>
      <c r="B350" s="1" t="s">
        <v>63</v>
      </c>
      <c r="C350" s="1" t="s">
        <v>2782</v>
      </c>
      <c r="D350" s="1" t="s">
        <v>2448</v>
      </c>
      <c r="E350" s="15" t="s">
        <v>828</v>
      </c>
      <c r="F350" s="67" t="s">
        <v>876</v>
      </c>
      <c r="G350" s="24" t="s">
        <v>2807</v>
      </c>
      <c r="H350" s="15" t="s">
        <v>2788</v>
      </c>
      <c r="I350" s="24">
        <v>42</v>
      </c>
      <c r="J350" s="16" t="str">
        <f t="shared" si="17"/>
        <v>Middle Age</v>
      </c>
      <c r="K350" s="25">
        <v>5</v>
      </c>
      <c r="L350" s="42">
        <v>6260</v>
      </c>
      <c r="M350" s="15">
        <v>3760</v>
      </c>
      <c r="N350" s="39">
        <f t="shared" si="15"/>
        <v>31300</v>
      </c>
      <c r="O350" s="39">
        <f t="shared" si="16"/>
        <v>12500</v>
      </c>
      <c r="P350" s="24" t="s">
        <v>2049</v>
      </c>
      <c r="Q350" s="24" t="s">
        <v>2016</v>
      </c>
      <c r="R350" s="1" t="s">
        <v>2013</v>
      </c>
      <c r="S350" s="15" t="s">
        <v>2082</v>
      </c>
      <c r="T350" s="15" t="s">
        <v>2442</v>
      </c>
      <c r="U350" s="25" t="s">
        <v>2086</v>
      </c>
      <c r="V350" s="25" t="s">
        <v>2434</v>
      </c>
      <c r="W350" s="80">
        <v>45110</v>
      </c>
      <c r="X350" s="21" t="s">
        <v>2813</v>
      </c>
    </row>
    <row r="351" spans="1:24" x14ac:dyDescent="0.2">
      <c r="A351" s="1">
        <v>349</v>
      </c>
      <c r="B351" s="1" t="s">
        <v>64</v>
      </c>
      <c r="C351" s="1" t="s">
        <v>2782</v>
      </c>
      <c r="D351" s="1" t="s">
        <v>2524</v>
      </c>
      <c r="E351" s="15" t="s">
        <v>823</v>
      </c>
      <c r="F351" s="67" t="s">
        <v>885</v>
      </c>
      <c r="G351" s="24" t="s">
        <v>2809</v>
      </c>
      <c r="H351" s="15" t="s">
        <v>2789</v>
      </c>
      <c r="I351" s="24">
        <v>34</v>
      </c>
      <c r="J351" s="16" t="str">
        <f t="shared" si="17"/>
        <v>Young</v>
      </c>
      <c r="K351" s="25">
        <v>3</v>
      </c>
      <c r="L351" s="42">
        <v>1930</v>
      </c>
      <c r="M351" s="15">
        <v>1180</v>
      </c>
      <c r="N351" s="39">
        <f t="shared" si="15"/>
        <v>5790</v>
      </c>
      <c r="O351" s="39">
        <f t="shared" si="16"/>
        <v>2250</v>
      </c>
      <c r="P351" s="24" t="s">
        <v>2048</v>
      </c>
      <c r="Q351" s="24" t="s">
        <v>2014</v>
      </c>
      <c r="R351" s="1" t="s">
        <v>2013</v>
      </c>
      <c r="S351" s="15" t="s">
        <v>2082</v>
      </c>
      <c r="T351" s="15" t="s">
        <v>2442</v>
      </c>
      <c r="U351" s="25" t="s">
        <v>2084</v>
      </c>
      <c r="V351" s="25" t="s">
        <v>2436</v>
      </c>
      <c r="W351" s="80">
        <v>45008</v>
      </c>
      <c r="X351" s="21" t="s">
        <v>2816</v>
      </c>
    </row>
    <row r="352" spans="1:24" x14ac:dyDescent="0.2">
      <c r="A352" s="1">
        <v>350</v>
      </c>
      <c r="B352" s="1" t="s">
        <v>65</v>
      </c>
      <c r="C352" s="1" t="s">
        <v>2782</v>
      </c>
      <c r="D352" s="1" t="s">
        <v>2449</v>
      </c>
      <c r="E352" s="15" t="s">
        <v>863</v>
      </c>
      <c r="F352" s="67" t="s">
        <v>893</v>
      </c>
      <c r="G352" s="24" t="s">
        <v>2794</v>
      </c>
      <c r="H352" s="15" t="s">
        <v>2789</v>
      </c>
      <c r="I352" s="24">
        <v>23</v>
      </c>
      <c r="J352" s="16" t="str">
        <f t="shared" si="17"/>
        <v>Young</v>
      </c>
      <c r="K352" s="25">
        <v>2</v>
      </c>
      <c r="L352" s="42">
        <v>5020</v>
      </c>
      <c r="M352" s="15">
        <v>2400</v>
      </c>
      <c r="N352" s="39">
        <f t="shared" si="15"/>
        <v>10040</v>
      </c>
      <c r="O352" s="39">
        <f t="shared" si="16"/>
        <v>5240</v>
      </c>
      <c r="P352" s="24" t="s">
        <v>2029</v>
      </c>
      <c r="Q352" s="24" t="s">
        <v>2016</v>
      </c>
      <c r="R352" s="1" t="s">
        <v>2013</v>
      </c>
      <c r="S352" s="15" t="s">
        <v>2082</v>
      </c>
      <c r="T352" s="15" t="s">
        <v>2442</v>
      </c>
      <c r="U352" s="25" t="s">
        <v>2084</v>
      </c>
      <c r="V352" s="25" t="s">
        <v>2437</v>
      </c>
      <c r="W352" s="80">
        <v>44934</v>
      </c>
      <c r="X352" s="21" t="s">
        <v>2818</v>
      </c>
    </row>
    <row r="353" spans="1:24" x14ac:dyDescent="0.2">
      <c r="A353" s="1">
        <v>351</v>
      </c>
      <c r="B353" s="1" t="s">
        <v>66</v>
      </c>
      <c r="C353" s="1" t="s">
        <v>2782</v>
      </c>
      <c r="D353" s="1" t="s">
        <v>2525</v>
      </c>
      <c r="E353" s="15" t="s">
        <v>864</v>
      </c>
      <c r="F353" s="67" t="s">
        <v>894</v>
      </c>
      <c r="G353" s="24" t="s">
        <v>2792</v>
      </c>
      <c r="H353" s="15" t="s">
        <v>2789</v>
      </c>
      <c r="I353" s="24">
        <v>56</v>
      </c>
      <c r="J353" s="16" t="str">
        <f t="shared" si="17"/>
        <v>Old</v>
      </c>
      <c r="K353" s="25">
        <v>4</v>
      </c>
      <c r="L353" s="42">
        <v>3980</v>
      </c>
      <c r="M353" s="15">
        <v>2810</v>
      </c>
      <c r="N353" s="39">
        <f t="shared" si="15"/>
        <v>15920</v>
      </c>
      <c r="O353" s="39">
        <f t="shared" si="16"/>
        <v>4680</v>
      </c>
      <c r="P353" s="24" t="s">
        <v>2060</v>
      </c>
      <c r="Q353" s="24" t="s">
        <v>2024</v>
      </c>
      <c r="R353" s="1" t="s">
        <v>2013</v>
      </c>
      <c r="S353" s="15" t="s">
        <v>2082</v>
      </c>
      <c r="T353" s="15" t="s">
        <v>2442</v>
      </c>
      <c r="U353" s="25" t="s">
        <v>2090</v>
      </c>
      <c r="V353" s="25" t="s">
        <v>2435</v>
      </c>
      <c r="W353" s="80">
        <v>45058</v>
      </c>
      <c r="X353" s="21" t="s">
        <v>2786</v>
      </c>
    </row>
    <row r="354" spans="1:24" x14ac:dyDescent="0.2">
      <c r="A354" s="1">
        <v>352</v>
      </c>
      <c r="B354" s="1" t="s">
        <v>67</v>
      </c>
      <c r="C354" s="1" t="s">
        <v>2782</v>
      </c>
      <c r="D354" s="1" t="s">
        <v>2450</v>
      </c>
      <c r="E354" s="15" t="s">
        <v>828</v>
      </c>
      <c r="F354" s="67" t="s">
        <v>882</v>
      </c>
      <c r="G354" s="24" t="s">
        <v>2796</v>
      </c>
      <c r="H354" s="15" t="s">
        <v>2788</v>
      </c>
      <c r="I354" s="24">
        <v>24</v>
      </c>
      <c r="J354" s="16" t="str">
        <f t="shared" si="17"/>
        <v>Young</v>
      </c>
      <c r="K354" s="25">
        <v>1</v>
      </c>
      <c r="L354" s="42">
        <v>2990</v>
      </c>
      <c r="M354" s="15">
        <v>1660</v>
      </c>
      <c r="N354" s="39">
        <f t="shared" si="15"/>
        <v>2990</v>
      </c>
      <c r="O354" s="39">
        <f t="shared" si="16"/>
        <v>1330</v>
      </c>
      <c r="P354" s="24" t="s">
        <v>2037</v>
      </c>
      <c r="Q354" s="24" t="s">
        <v>2014</v>
      </c>
      <c r="R354" s="1" t="s">
        <v>2013</v>
      </c>
      <c r="S354" s="15" t="s">
        <v>2082</v>
      </c>
      <c r="T354" s="15" t="s">
        <v>2442</v>
      </c>
      <c r="U354" s="25" t="s">
        <v>2083</v>
      </c>
      <c r="V354" s="25" t="s">
        <v>2436</v>
      </c>
      <c r="W354" s="80">
        <v>45118</v>
      </c>
      <c r="X354" s="21" t="s">
        <v>2813</v>
      </c>
    </row>
    <row r="355" spans="1:24" x14ac:dyDescent="0.2">
      <c r="A355" s="1">
        <v>353</v>
      </c>
      <c r="B355" s="1" t="s">
        <v>68</v>
      </c>
      <c r="C355" s="1" t="s">
        <v>2782</v>
      </c>
      <c r="D355" s="1" t="s">
        <v>2451</v>
      </c>
      <c r="E355" s="15" t="s">
        <v>822</v>
      </c>
      <c r="F355" s="66" t="s">
        <v>953</v>
      </c>
      <c r="G355" s="24" t="s">
        <v>2798</v>
      </c>
      <c r="H355" s="15" t="s">
        <v>2788</v>
      </c>
      <c r="I355" s="24">
        <v>64</v>
      </c>
      <c r="J355" s="16" t="str">
        <f t="shared" si="17"/>
        <v>Old</v>
      </c>
      <c r="K355" s="25">
        <v>5</v>
      </c>
      <c r="L355" s="42">
        <v>3280</v>
      </c>
      <c r="M355" s="15">
        <v>1300</v>
      </c>
      <c r="N355" s="39">
        <f t="shared" si="15"/>
        <v>16400</v>
      </c>
      <c r="O355" s="39">
        <f t="shared" si="16"/>
        <v>9900</v>
      </c>
      <c r="P355" s="24" t="s">
        <v>2031</v>
      </c>
      <c r="Q355" s="24" t="s">
        <v>2016</v>
      </c>
      <c r="R355" s="1" t="s">
        <v>2013</v>
      </c>
      <c r="S355" s="15" t="s">
        <v>2082</v>
      </c>
      <c r="T355" s="15" t="s">
        <v>2442</v>
      </c>
      <c r="U355" s="25" t="s">
        <v>2084</v>
      </c>
      <c r="V355" s="25" t="s">
        <v>2434</v>
      </c>
      <c r="W355" s="80">
        <v>44974</v>
      </c>
      <c r="X355" s="21" t="s">
        <v>2817</v>
      </c>
    </row>
    <row r="356" spans="1:24" x14ac:dyDescent="0.2">
      <c r="A356" s="1">
        <v>354</v>
      </c>
      <c r="B356" s="1" t="s">
        <v>1</v>
      </c>
      <c r="C356" s="1" t="s">
        <v>2781</v>
      </c>
      <c r="D356" s="1" t="s">
        <v>869</v>
      </c>
      <c r="E356" s="15" t="s">
        <v>817</v>
      </c>
      <c r="F356" s="66" t="s">
        <v>954</v>
      </c>
      <c r="G356" s="24" t="s">
        <v>2800</v>
      </c>
      <c r="H356" s="15" t="s">
        <v>2789</v>
      </c>
      <c r="I356" s="24">
        <v>64</v>
      </c>
      <c r="J356" s="16" t="str">
        <f t="shared" si="17"/>
        <v>Old</v>
      </c>
      <c r="K356" s="25">
        <v>2</v>
      </c>
      <c r="L356" s="42">
        <v>1090</v>
      </c>
      <c r="M356" s="15">
        <v>610</v>
      </c>
      <c r="N356" s="39">
        <f t="shared" si="15"/>
        <v>2180</v>
      </c>
      <c r="O356" s="39">
        <f t="shared" si="16"/>
        <v>960</v>
      </c>
      <c r="P356" s="24" t="s">
        <v>2055</v>
      </c>
      <c r="Q356" s="24" t="s">
        <v>2014</v>
      </c>
      <c r="R356" s="1" t="s">
        <v>2013</v>
      </c>
      <c r="S356" s="15" t="s">
        <v>2082</v>
      </c>
      <c r="T356" s="15" t="s">
        <v>2442</v>
      </c>
      <c r="U356" s="25" t="s">
        <v>2090</v>
      </c>
      <c r="V356" s="25" t="s">
        <v>2437</v>
      </c>
      <c r="W356" s="80">
        <v>45051</v>
      </c>
      <c r="X356" s="21" t="s">
        <v>2786</v>
      </c>
    </row>
    <row r="357" spans="1:24" x14ac:dyDescent="0.2">
      <c r="A357" s="1">
        <v>355</v>
      </c>
      <c r="B357" s="1" t="s">
        <v>2</v>
      </c>
      <c r="C357" s="1" t="s">
        <v>2781</v>
      </c>
      <c r="D357" s="1" t="s">
        <v>869</v>
      </c>
      <c r="E357" s="15" t="s">
        <v>863</v>
      </c>
      <c r="F357" s="66" t="s">
        <v>955</v>
      </c>
      <c r="G357" s="24" t="s">
        <v>2802</v>
      </c>
      <c r="H357" s="15" t="s">
        <v>2788</v>
      </c>
      <c r="I357" s="24">
        <v>23</v>
      </c>
      <c r="J357" s="16" t="str">
        <f t="shared" si="17"/>
        <v>Young</v>
      </c>
      <c r="K357" s="25">
        <v>3</v>
      </c>
      <c r="L357" s="42">
        <v>2180</v>
      </c>
      <c r="M357" s="15">
        <v>1200</v>
      </c>
      <c r="N357" s="39">
        <f t="shared" si="15"/>
        <v>6540</v>
      </c>
      <c r="O357" s="39">
        <f t="shared" si="16"/>
        <v>2940</v>
      </c>
      <c r="P357" s="24" t="s">
        <v>2041</v>
      </c>
      <c r="Q357" s="24" t="s">
        <v>2016</v>
      </c>
      <c r="R357" s="1" t="s">
        <v>2013</v>
      </c>
      <c r="S357" s="15" t="s">
        <v>2082</v>
      </c>
      <c r="T357" s="15" t="s">
        <v>2442</v>
      </c>
      <c r="U357" s="25" t="s">
        <v>2087</v>
      </c>
      <c r="V357" s="25" t="s">
        <v>2435</v>
      </c>
      <c r="W357" s="80">
        <v>45278</v>
      </c>
      <c r="X357" s="21" t="s">
        <v>2822</v>
      </c>
    </row>
    <row r="358" spans="1:24" x14ac:dyDescent="0.2">
      <c r="A358" s="1">
        <v>356</v>
      </c>
      <c r="B358" s="1" t="s">
        <v>1</v>
      </c>
      <c r="C358" s="1" t="s">
        <v>2781</v>
      </c>
      <c r="D358" s="1" t="s">
        <v>869</v>
      </c>
      <c r="E358" s="15" t="s">
        <v>864</v>
      </c>
      <c r="F358" s="66" t="s">
        <v>956</v>
      </c>
      <c r="G358" s="24" t="s">
        <v>2804</v>
      </c>
      <c r="H358" s="15" t="s">
        <v>2789</v>
      </c>
      <c r="I358" s="24">
        <v>19</v>
      </c>
      <c r="J358" s="16" t="str">
        <f t="shared" si="17"/>
        <v>Young</v>
      </c>
      <c r="K358" s="25">
        <v>4</v>
      </c>
      <c r="L358" s="42">
        <v>890</v>
      </c>
      <c r="M358" s="15">
        <v>450</v>
      </c>
      <c r="N358" s="39">
        <f t="shared" si="15"/>
        <v>3560</v>
      </c>
      <c r="O358" s="39">
        <f t="shared" si="16"/>
        <v>1760</v>
      </c>
      <c r="P358" s="24" t="s">
        <v>2034</v>
      </c>
      <c r="Q358" s="24" t="s">
        <v>2016</v>
      </c>
      <c r="R358" s="1" t="s">
        <v>2013</v>
      </c>
      <c r="S358" s="15" t="s">
        <v>2082</v>
      </c>
      <c r="T358" s="15" t="s">
        <v>2442</v>
      </c>
      <c r="U358" s="25" t="s">
        <v>2086</v>
      </c>
      <c r="V358" s="25" t="s">
        <v>2434</v>
      </c>
      <c r="W358" s="80">
        <v>44963</v>
      </c>
      <c r="X358" s="21" t="s">
        <v>2817</v>
      </c>
    </row>
    <row r="359" spans="1:24" x14ac:dyDescent="0.2">
      <c r="A359" s="1">
        <v>357</v>
      </c>
      <c r="B359" s="1" t="s">
        <v>69</v>
      </c>
      <c r="C359" s="1" t="s">
        <v>2782</v>
      </c>
      <c r="D359" s="1" t="s">
        <v>2452</v>
      </c>
      <c r="E359" s="15" t="s">
        <v>822</v>
      </c>
      <c r="F359" s="66" t="s">
        <v>893</v>
      </c>
      <c r="G359" s="24" t="s">
        <v>2806</v>
      </c>
      <c r="H359" s="15" t="s">
        <v>2789</v>
      </c>
      <c r="I359" s="24">
        <v>21</v>
      </c>
      <c r="J359" s="16" t="str">
        <f t="shared" si="17"/>
        <v>Young</v>
      </c>
      <c r="K359" s="25">
        <v>5</v>
      </c>
      <c r="L359" s="42">
        <v>2410</v>
      </c>
      <c r="M359" s="15">
        <v>960</v>
      </c>
      <c r="N359" s="39">
        <f t="shared" si="15"/>
        <v>12050</v>
      </c>
      <c r="O359" s="39">
        <f t="shared" si="16"/>
        <v>7250</v>
      </c>
      <c r="P359" s="24" t="s">
        <v>2030</v>
      </c>
      <c r="Q359" s="24" t="s">
        <v>2024</v>
      </c>
      <c r="R359" s="1" t="s">
        <v>2013</v>
      </c>
      <c r="S359" s="15" t="s">
        <v>2082</v>
      </c>
      <c r="T359" s="15" t="s">
        <v>2442</v>
      </c>
      <c r="U359" s="25" t="s">
        <v>2083</v>
      </c>
      <c r="V359" s="25" t="s">
        <v>2436</v>
      </c>
      <c r="W359" s="80">
        <v>45074</v>
      </c>
      <c r="X359" s="21" t="s">
        <v>2786</v>
      </c>
    </row>
    <row r="360" spans="1:24" x14ac:dyDescent="0.2">
      <c r="A360" s="1">
        <v>358</v>
      </c>
      <c r="B360" s="1" t="s">
        <v>2</v>
      </c>
      <c r="C360" s="1" t="s">
        <v>2781</v>
      </c>
      <c r="D360" s="1" t="s">
        <v>869</v>
      </c>
      <c r="E360" s="15" t="s">
        <v>823</v>
      </c>
      <c r="F360" s="66" t="s">
        <v>2783</v>
      </c>
      <c r="G360" s="24" t="s">
        <v>2808</v>
      </c>
      <c r="H360" s="15" t="s">
        <v>2789</v>
      </c>
      <c r="I360" s="24">
        <v>56</v>
      </c>
      <c r="J360" s="16" t="str">
        <f t="shared" si="17"/>
        <v>Old</v>
      </c>
      <c r="K360" s="25">
        <v>2</v>
      </c>
      <c r="L360" s="42">
        <v>1090</v>
      </c>
      <c r="M360" s="15">
        <v>600</v>
      </c>
      <c r="N360" s="39">
        <f t="shared" si="15"/>
        <v>2180</v>
      </c>
      <c r="O360" s="39">
        <f t="shared" si="16"/>
        <v>980</v>
      </c>
      <c r="P360" s="24" t="s">
        <v>2023</v>
      </c>
      <c r="Q360" s="15" t="s">
        <v>2828</v>
      </c>
      <c r="R360" s="1" t="s">
        <v>2013</v>
      </c>
      <c r="S360" s="15" t="s">
        <v>2082</v>
      </c>
      <c r="T360" s="15" t="s">
        <v>2442</v>
      </c>
      <c r="U360" s="25" t="s">
        <v>2089</v>
      </c>
      <c r="V360" s="25" t="s">
        <v>2437</v>
      </c>
      <c r="W360" s="80">
        <v>44931</v>
      </c>
      <c r="X360" s="21" t="s">
        <v>2818</v>
      </c>
    </row>
    <row r="361" spans="1:24" x14ac:dyDescent="0.2">
      <c r="A361" s="1">
        <v>359</v>
      </c>
      <c r="B361" s="1" t="s">
        <v>17</v>
      </c>
      <c r="C361" s="1" t="s">
        <v>2781</v>
      </c>
      <c r="D361" s="1" t="s">
        <v>869</v>
      </c>
      <c r="E361" s="15" t="s">
        <v>828</v>
      </c>
      <c r="F361" s="66" t="s">
        <v>958</v>
      </c>
      <c r="G361" s="24" t="s">
        <v>2810</v>
      </c>
      <c r="H361" s="15" t="s">
        <v>2788</v>
      </c>
      <c r="I361" s="24">
        <v>34</v>
      </c>
      <c r="J361" s="16" t="str">
        <f t="shared" si="17"/>
        <v>Young</v>
      </c>
      <c r="K361" s="25">
        <v>3</v>
      </c>
      <c r="L361" s="42">
        <v>1565</v>
      </c>
      <c r="M361" s="15">
        <v>1000</v>
      </c>
      <c r="N361" s="39">
        <f t="shared" si="15"/>
        <v>4695</v>
      </c>
      <c r="O361" s="39">
        <f t="shared" si="16"/>
        <v>1695</v>
      </c>
      <c r="P361" s="24" t="s">
        <v>2051</v>
      </c>
      <c r="Q361" s="15" t="s">
        <v>2828</v>
      </c>
      <c r="R361" s="1" t="s">
        <v>2013</v>
      </c>
      <c r="S361" s="15" t="s">
        <v>2082</v>
      </c>
      <c r="T361" s="15" t="s">
        <v>2442</v>
      </c>
      <c r="U361" s="25" t="s">
        <v>2089</v>
      </c>
      <c r="V361" s="25" t="s">
        <v>2435</v>
      </c>
      <c r="W361" s="80">
        <v>45051</v>
      </c>
      <c r="X361" s="21" t="s">
        <v>2786</v>
      </c>
    </row>
    <row r="362" spans="1:24" x14ac:dyDescent="0.2">
      <c r="A362" s="1">
        <v>360</v>
      </c>
      <c r="B362" s="1" t="s">
        <v>17</v>
      </c>
      <c r="C362" s="1" t="s">
        <v>2781</v>
      </c>
      <c r="D362" s="1" t="s">
        <v>869</v>
      </c>
      <c r="E362" s="15" t="s">
        <v>863</v>
      </c>
      <c r="F362" s="66" t="s">
        <v>881</v>
      </c>
      <c r="G362" s="24" t="s">
        <v>2793</v>
      </c>
      <c r="H362" s="15" t="s">
        <v>2789</v>
      </c>
      <c r="I362" s="24">
        <v>64</v>
      </c>
      <c r="J362" s="16" t="str">
        <f t="shared" si="17"/>
        <v>Old</v>
      </c>
      <c r="K362" s="25">
        <v>4</v>
      </c>
      <c r="L362" s="42">
        <v>1565</v>
      </c>
      <c r="M362" s="15">
        <v>1000</v>
      </c>
      <c r="N362" s="39">
        <f t="shared" si="15"/>
        <v>6260</v>
      </c>
      <c r="O362" s="39">
        <f t="shared" si="16"/>
        <v>2260</v>
      </c>
      <c r="P362" s="24" t="s">
        <v>2030</v>
      </c>
      <c r="Q362" s="24" t="s">
        <v>2024</v>
      </c>
      <c r="R362" s="1" t="s">
        <v>2013</v>
      </c>
      <c r="S362" s="15" t="s">
        <v>2082</v>
      </c>
      <c r="T362" s="15" t="s">
        <v>2442</v>
      </c>
      <c r="U362" s="25" t="s">
        <v>2086</v>
      </c>
      <c r="V362" s="25" t="s">
        <v>2436</v>
      </c>
      <c r="W362" s="80">
        <v>45151</v>
      </c>
      <c r="X362" s="21" t="s">
        <v>2819</v>
      </c>
    </row>
    <row r="363" spans="1:24" x14ac:dyDescent="0.2">
      <c r="A363" s="1">
        <v>361</v>
      </c>
      <c r="B363" s="1" t="s">
        <v>70</v>
      </c>
      <c r="C363" s="1" t="s">
        <v>2782</v>
      </c>
      <c r="D363" s="1" t="s">
        <v>2526</v>
      </c>
      <c r="E363" s="15" t="s">
        <v>863</v>
      </c>
      <c r="F363" s="66" t="s">
        <v>883</v>
      </c>
      <c r="G363" s="24" t="s">
        <v>2791</v>
      </c>
      <c r="H363" s="15" t="s">
        <v>2788</v>
      </c>
      <c r="I363" s="24">
        <v>78</v>
      </c>
      <c r="J363" s="16" t="str">
        <f t="shared" si="17"/>
        <v>Old</v>
      </c>
      <c r="K363" s="25">
        <v>3</v>
      </c>
      <c r="L363" s="42">
        <v>5860</v>
      </c>
      <c r="M363" s="15">
        <v>2540</v>
      </c>
      <c r="N363" s="39">
        <f t="shared" si="15"/>
        <v>17580</v>
      </c>
      <c r="O363" s="39">
        <f t="shared" si="16"/>
        <v>9960</v>
      </c>
      <c r="P363" s="24" t="s">
        <v>2017</v>
      </c>
      <c r="Q363" s="24" t="s">
        <v>2016</v>
      </c>
      <c r="R363" s="1" t="s">
        <v>2013</v>
      </c>
      <c r="S363" s="15" t="s">
        <v>2082</v>
      </c>
      <c r="T363" s="15" t="s">
        <v>2442</v>
      </c>
      <c r="U363" s="25" t="s">
        <v>2090</v>
      </c>
      <c r="V363" s="25" t="s">
        <v>2434</v>
      </c>
      <c r="W363" s="80">
        <v>45177</v>
      </c>
      <c r="X363" s="21" t="s">
        <v>2820</v>
      </c>
    </row>
    <row r="364" spans="1:24" x14ac:dyDescent="0.2">
      <c r="A364" s="1">
        <v>362</v>
      </c>
      <c r="B364" s="1" t="s">
        <v>71</v>
      </c>
      <c r="C364" s="1" t="s">
        <v>2782</v>
      </c>
      <c r="D364" s="1" t="s">
        <v>2527</v>
      </c>
      <c r="E364" s="15" t="s">
        <v>822</v>
      </c>
      <c r="F364" s="66" t="s">
        <v>884</v>
      </c>
      <c r="G364" s="24" t="s">
        <v>2795</v>
      </c>
      <c r="H364" s="15" t="s">
        <v>2788</v>
      </c>
      <c r="I364" s="24">
        <v>54</v>
      </c>
      <c r="J364" s="16" t="str">
        <f t="shared" si="17"/>
        <v>Old</v>
      </c>
      <c r="K364" s="25">
        <v>1</v>
      </c>
      <c r="L364" s="42">
        <v>1000</v>
      </c>
      <c r="M364" s="15">
        <v>290</v>
      </c>
      <c r="N364" s="39">
        <f t="shared" si="15"/>
        <v>1000</v>
      </c>
      <c r="O364" s="39">
        <f t="shared" si="16"/>
        <v>710</v>
      </c>
      <c r="P364" s="24" t="s">
        <v>2055</v>
      </c>
      <c r="Q364" s="24" t="s">
        <v>2014</v>
      </c>
      <c r="R364" s="1" t="s">
        <v>2013</v>
      </c>
      <c r="S364" s="15" t="s">
        <v>2082</v>
      </c>
      <c r="T364" s="15" t="s">
        <v>2442</v>
      </c>
      <c r="U364" s="25" t="s">
        <v>2083</v>
      </c>
      <c r="V364" s="25" t="s">
        <v>2437</v>
      </c>
      <c r="W364" s="80">
        <v>45189</v>
      </c>
      <c r="X364" s="21" t="s">
        <v>2820</v>
      </c>
    </row>
    <row r="365" spans="1:24" x14ac:dyDescent="0.2">
      <c r="A365" s="1">
        <v>363</v>
      </c>
      <c r="B365" s="1" t="s">
        <v>285</v>
      </c>
      <c r="C365" s="1" t="s">
        <v>2782</v>
      </c>
      <c r="D365" s="1" t="s">
        <v>2528</v>
      </c>
      <c r="E365" s="15" t="s">
        <v>864</v>
      </c>
      <c r="F365" s="66" t="s">
        <v>936</v>
      </c>
      <c r="G365" s="24" t="s">
        <v>2797</v>
      </c>
      <c r="H365" s="15" t="s">
        <v>2788</v>
      </c>
      <c r="I365" s="24">
        <v>32</v>
      </c>
      <c r="J365" s="16" t="str">
        <f t="shared" si="17"/>
        <v>Young</v>
      </c>
      <c r="K365" s="25">
        <v>4</v>
      </c>
      <c r="L365" s="42">
        <v>23720</v>
      </c>
      <c r="M365" s="15">
        <v>13900</v>
      </c>
      <c r="N365" s="39">
        <f t="shared" si="15"/>
        <v>94880</v>
      </c>
      <c r="O365" s="39">
        <f t="shared" si="16"/>
        <v>39280</v>
      </c>
      <c r="P365" s="24" t="s">
        <v>2030</v>
      </c>
      <c r="Q365" s="24" t="s">
        <v>2024</v>
      </c>
      <c r="R365" s="1" t="s">
        <v>2013</v>
      </c>
      <c r="S365" s="15" t="s">
        <v>2082</v>
      </c>
      <c r="T365" s="15" t="s">
        <v>2442</v>
      </c>
      <c r="U365" s="25" t="s">
        <v>2087</v>
      </c>
      <c r="V365" s="25" t="s">
        <v>2435</v>
      </c>
      <c r="W365" s="80">
        <v>44986</v>
      </c>
      <c r="X365" s="21" t="s">
        <v>2816</v>
      </c>
    </row>
    <row r="366" spans="1:24" x14ac:dyDescent="0.2">
      <c r="A366" s="1">
        <v>364</v>
      </c>
      <c r="B366" s="1" t="s">
        <v>72</v>
      </c>
      <c r="C366" s="1" t="s">
        <v>2782</v>
      </c>
      <c r="D366" s="1" t="s">
        <v>2529</v>
      </c>
      <c r="E366" s="15" t="s">
        <v>822</v>
      </c>
      <c r="F366" s="66" t="s">
        <v>937</v>
      </c>
      <c r="G366" s="24" t="s">
        <v>2799</v>
      </c>
      <c r="H366" s="15" t="s">
        <v>2788</v>
      </c>
      <c r="I366" s="16">
        <v>55</v>
      </c>
      <c r="J366" s="16" t="str">
        <f t="shared" si="17"/>
        <v>Old</v>
      </c>
      <c r="K366" s="25">
        <v>5</v>
      </c>
      <c r="L366" s="42">
        <v>6260</v>
      </c>
      <c r="M366" s="15">
        <f>3040+310</f>
        <v>3350</v>
      </c>
      <c r="N366" s="39">
        <f t="shared" si="15"/>
        <v>31300</v>
      </c>
      <c r="O366" s="39">
        <f t="shared" si="16"/>
        <v>14550</v>
      </c>
      <c r="P366" s="24" t="s">
        <v>2040</v>
      </c>
      <c r="Q366" s="15" t="s">
        <v>2014</v>
      </c>
      <c r="R366" s="1" t="s">
        <v>2013</v>
      </c>
      <c r="S366" s="15" t="s">
        <v>2082</v>
      </c>
      <c r="T366" s="15" t="s">
        <v>2442</v>
      </c>
      <c r="U366" s="25" t="s">
        <v>2085</v>
      </c>
      <c r="V366" s="25" t="s">
        <v>2434</v>
      </c>
      <c r="W366" s="80">
        <v>45153</v>
      </c>
      <c r="X366" s="21" t="s">
        <v>2819</v>
      </c>
    </row>
    <row r="367" spans="1:24" x14ac:dyDescent="0.2">
      <c r="A367" s="1">
        <v>365</v>
      </c>
      <c r="B367" s="1" t="s">
        <v>73</v>
      </c>
      <c r="C367" s="1" t="s">
        <v>2782</v>
      </c>
      <c r="D367" s="1" t="s">
        <v>2453</v>
      </c>
      <c r="E367" s="15" t="s">
        <v>828</v>
      </c>
      <c r="F367" s="66" t="s">
        <v>938</v>
      </c>
      <c r="G367" s="24" t="s">
        <v>2801</v>
      </c>
      <c r="H367" s="15" t="s">
        <v>2788</v>
      </c>
      <c r="I367" s="16">
        <v>36</v>
      </c>
      <c r="J367" s="16" t="str">
        <f t="shared" si="17"/>
        <v>Middle Age</v>
      </c>
      <c r="K367" s="25">
        <v>3</v>
      </c>
      <c r="L367" s="42">
        <v>4990</v>
      </c>
      <c r="M367" s="15">
        <f>2180+310</f>
        <v>2490</v>
      </c>
      <c r="N367" s="39">
        <f t="shared" si="15"/>
        <v>14970</v>
      </c>
      <c r="O367" s="39">
        <f t="shared" si="16"/>
        <v>7500</v>
      </c>
      <c r="P367" s="24" t="s">
        <v>2029</v>
      </c>
      <c r="Q367" s="24" t="s">
        <v>2016</v>
      </c>
      <c r="R367" s="1" t="s">
        <v>2013</v>
      </c>
      <c r="S367" s="15" t="s">
        <v>2082</v>
      </c>
      <c r="T367" s="15" t="s">
        <v>2442</v>
      </c>
      <c r="U367" s="25" t="s">
        <v>2085</v>
      </c>
      <c r="V367" s="25" t="s">
        <v>2436</v>
      </c>
      <c r="W367" s="80">
        <v>45226</v>
      </c>
      <c r="X367" s="21" t="s">
        <v>2821</v>
      </c>
    </row>
    <row r="368" spans="1:24" x14ac:dyDescent="0.2">
      <c r="A368" s="1">
        <v>366</v>
      </c>
      <c r="B368" s="1" t="s">
        <v>39</v>
      </c>
      <c r="C368" s="1" t="s">
        <v>2782</v>
      </c>
      <c r="D368" s="1" t="s">
        <v>2454</v>
      </c>
      <c r="E368" s="15" t="s">
        <v>864</v>
      </c>
      <c r="F368" s="66" t="s">
        <v>876</v>
      </c>
      <c r="G368" s="24" t="s">
        <v>2803</v>
      </c>
      <c r="H368" s="15" t="s">
        <v>2788</v>
      </c>
      <c r="I368" s="16">
        <v>28</v>
      </c>
      <c r="J368" s="16" t="str">
        <f t="shared" si="17"/>
        <v>Young</v>
      </c>
      <c r="K368" s="25">
        <v>2</v>
      </c>
      <c r="L368" s="42">
        <v>2265</v>
      </c>
      <c r="M368" s="15">
        <v>690</v>
      </c>
      <c r="N368" s="39">
        <f t="shared" si="15"/>
        <v>4530</v>
      </c>
      <c r="O368" s="39">
        <f t="shared" si="16"/>
        <v>3150</v>
      </c>
      <c r="P368" s="24" t="s">
        <v>2015</v>
      </c>
      <c r="Q368" s="24" t="s">
        <v>2014</v>
      </c>
      <c r="R368" s="1" t="s">
        <v>2013</v>
      </c>
      <c r="S368" s="15" t="s">
        <v>2082</v>
      </c>
      <c r="T368" s="15" t="s">
        <v>2442</v>
      </c>
      <c r="U368" s="25" t="s">
        <v>2088</v>
      </c>
      <c r="V368" s="25" t="s">
        <v>2437</v>
      </c>
      <c r="W368" s="80">
        <v>45215</v>
      </c>
      <c r="X368" s="21" t="s">
        <v>2821</v>
      </c>
    </row>
    <row r="369" spans="1:24" x14ac:dyDescent="0.2">
      <c r="A369" s="1">
        <v>367</v>
      </c>
      <c r="B369" s="1" t="s">
        <v>74</v>
      </c>
      <c r="C369" s="1" t="s">
        <v>2782</v>
      </c>
      <c r="D369" s="1" t="s">
        <v>2530</v>
      </c>
      <c r="E369" s="15" t="s">
        <v>822</v>
      </c>
      <c r="F369" s="66" t="s">
        <v>939</v>
      </c>
      <c r="G369" s="24" t="s">
        <v>2805</v>
      </c>
      <c r="H369" s="15" t="s">
        <v>2788</v>
      </c>
      <c r="I369" s="16">
        <v>50</v>
      </c>
      <c r="J369" s="16" t="str">
        <f t="shared" si="17"/>
        <v>Old</v>
      </c>
      <c r="K369" s="25">
        <v>4</v>
      </c>
      <c r="L369" s="42">
        <v>2580</v>
      </c>
      <c r="M369" s="15">
        <f>1020+150</f>
        <v>1170</v>
      </c>
      <c r="N369" s="39">
        <f t="shared" si="15"/>
        <v>10320</v>
      </c>
      <c r="O369" s="39">
        <f t="shared" si="16"/>
        <v>5640</v>
      </c>
      <c r="P369" s="24" t="s">
        <v>2054</v>
      </c>
      <c r="Q369" s="24" t="s">
        <v>2016</v>
      </c>
      <c r="R369" s="1" t="s">
        <v>2013</v>
      </c>
      <c r="S369" s="15" t="s">
        <v>2082</v>
      </c>
      <c r="T369" s="15" t="s">
        <v>2442</v>
      </c>
      <c r="U369" s="25" t="s">
        <v>2084</v>
      </c>
      <c r="V369" s="25" t="s">
        <v>2435</v>
      </c>
      <c r="W369" s="80">
        <v>45229</v>
      </c>
      <c r="X369" s="21" t="s">
        <v>2821</v>
      </c>
    </row>
    <row r="370" spans="1:24" x14ac:dyDescent="0.2">
      <c r="A370" s="1">
        <v>368</v>
      </c>
      <c r="B370" s="1" t="s">
        <v>75</v>
      </c>
      <c r="C370" s="1" t="s">
        <v>2782</v>
      </c>
      <c r="D370" s="1" t="s">
        <v>2531</v>
      </c>
      <c r="E370" s="15" t="s">
        <v>863</v>
      </c>
      <c r="F370" s="66" t="s">
        <v>940</v>
      </c>
      <c r="G370" s="24" t="s">
        <v>2807</v>
      </c>
      <c r="H370" s="15" t="s">
        <v>2789</v>
      </c>
      <c r="I370" s="16">
        <v>39</v>
      </c>
      <c r="J370" s="16" t="str">
        <f t="shared" si="17"/>
        <v>Middle Age</v>
      </c>
      <c r="K370" s="25">
        <v>1</v>
      </c>
      <c r="L370" s="42">
        <v>2440</v>
      </c>
      <c r="M370" s="15">
        <f>1180+150</f>
        <v>1330</v>
      </c>
      <c r="N370" s="39">
        <f t="shared" si="15"/>
        <v>2440</v>
      </c>
      <c r="O370" s="39">
        <f t="shared" si="16"/>
        <v>1110</v>
      </c>
      <c r="P370" s="24" t="s">
        <v>2017</v>
      </c>
      <c r="Q370" s="24" t="s">
        <v>2016</v>
      </c>
      <c r="R370" s="1" t="s">
        <v>2013</v>
      </c>
      <c r="S370" s="15" t="s">
        <v>2082</v>
      </c>
      <c r="T370" s="15" t="s">
        <v>2442</v>
      </c>
      <c r="U370" s="25" t="s">
        <v>2090</v>
      </c>
      <c r="V370" s="25" t="s">
        <v>2436</v>
      </c>
      <c r="W370" s="80">
        <v>45154</v>
      </c>
      <c r="X370" s="21" t="s">
        <v>2819</v>
      </c>
    </row>
    <row r="371" spans="1:24" x14ac:dyDescent="0.2">
      <c r="A371" s="1">
        <v>369</v>
      </c>
      <c r="B371" s="1" t="s">
        <v>20</v>
      </c>
      <c r="C371" s="1" t="s">
        <v>2782</v>
      </c>
      <c r="D371" s="11" t="s">
        <v>2532</v>
      </c>
      <c r="E371" s="15" t="s">
        <v>864</v>
      </c>
      <c r="F371" s="66" t="s">
        <v>25</v>
      </c>
      <c r="G371" s="24" t="s">
        <v>2809</v>
      </c>
      <c r="H371" s="15" t="s">
        <v>2789</v>
      </c>
      <c r="I371" s="16">
        <v>31</v>
      </c>
      <c r="J371" s="16" t="str">
        <f t="shared" si="17"/>
        <v>Young</v>
      </c>
      <c r="K371" s="25">
        <v>5</v>
      </c>
      <c r="L371" s="42">
        <v>1000</v>
      </c>
      <c r="M371" s="15">
        <v>400</v>
      </c>
      <c r="N371" s="39">
        <f t="shared" si="15"/>
        <v>5000</v>
      </c>
      <c r="O371" s="39">
        <f t="shared" si="16"/>
        <v>3000</v>
      </c>
      <c r="P371" s="24" t="s">
        <v>2026</v>
      </c>
      <c r="Q371" s="15" t="s">
        <v>2014</v>
      </c>
      <c r="R371" s="1" t="s">
        <v>2013</v>
      </c>
      <c r="S371" s="15" t="s">
        <v>2082</v>
      </c>
      <c r="T371" s="15" t="s">
        <v>2442</v>
      </c>
      <c r="U371" s="25" t="s">
        <v>2089</v>
      </c>
      <c r="V371" s="25" t="s">
        <v>2434</v>
      </c>
      <c r="W371" s="80">
        <v>44994</v>
      </c>
      <c r="X371" s="21" t="s">
        <v>2816</v>
      </c>
    </row>
    <row r="372" spans="1:24" x14ac:dyDescent="0.2">
      <c r="A372" s="1">
        <v>370</v>
      </c>
      <c r="B372" s="1" t="s">
        <v>77</v>
      </c>
      <c r="C372" s="1" t="s">
        <v>2782</v>
      </c>
      <c r="D372" s="11" t="s">
        <v>76</v>
      </c>
      <c r="E372" s="15" t="s">
        <v>863</v>
      </c>
      <c r="F372" s="66" t="s">
        <v>941</v>
      </c>
      <c r="G372" s="24" t="s">
        <v>2794</v>
      </c>
      <c r="H372" s="15" t="s">
        <v>2789</v>
      </c>
      <c r="I372" s="16">
        <v>44</v>
      </c>
      <c r="J372" s="16" t="str">
        <f t="shared" si="17"/>
        <v>Middle Age</v>
      </c>
      <c r="K372" s="25">
        <v>2</v>
      </c>
      <c r="L372" s="42">
        <v>2560</v>
      </c>
      <c r="M372" s="15">
        <v>1100</v>
      </c>
      <c r="N372" s="39">
        <f t="shared" si="15"/>
        <v>5120</v>
      </c>
      <c r="O372" s="39">
        <f t="shared" si="16"/>
        <v>2920</v>
      </c>
      <c r="P372" s="24" t="s">
        <v>2018</v>
      </c>
      <c r="Q372" s="15" t="s">
        <v>2828</v>
      </c>
      <c r="R372" s="1" t="s">
        <v>2013</v>
      </c>
      <c r="S372" s="15" t="s">
        <v>2082</v>
      </c>
      <c r="T372" s="15" t="s">
        <v>2442</v>
      </c>
      <c r="U372" s="25" t="s">
        <v>2083</v>
      </c>
      <c r="V372" s="25" t="s">
        <v>2437</v>
      </c>
      <c r="W372" s="80">
        <v>45143</v>
      </c>
      <c r="X372" s="21" t="s">
        <v>2819</v>
      </c>
    </row>
    <row r="373" spans="1:24" x14ac:dyDescent="0.2">
      <c r="A373" s="1">
        <v>371</v>
      </c>
      <c r="B373" s="1" t="s">
        <v>79</v>
      </c>
      <c r="C373" s="1" t="s">
        <v>2782</v>
      </c>
      <c r="D373" s="11" t="s">
        <v>78</v>
      </c>
      <c r="E373" s="15" t="s">
        <v>864</v>
      </c>
      <c r="F373" s="66" t="s">
        <v>888</v>
      </c>
      <c r="G373" s="24" t="s">
        <v>2792</v>
      </c>
      <c r="H373" s="15" t="s">
        <v>2788</v>
      </c>
      <c r="I373" s="16">
        <v>26</v>
      </c>
      <c r="J373" s="16" t="str">
        <f t="shared" si="17"/>
        <v>Young</v>
      </c>
      <c r="K373" s="25">
        <v>3</v>
      </c>
      <c r="L373" s="42">
        <v>2480</v>
      </c>
      <c r="M373" s="15">
        <v>1080</v>
      </c>
      <c r="N373" s="39">
        <f t="shared" si="15"/>
        <v>7440</v>
      </c>
      <c r="O373" s="39">
        <f t="shared" si="16"/>
        <v>4200</v>
      </c>
      <c r="P373" s="24" t="s">
        <v>2054</v>
      </c>
      <c r="Q373" s="24" t="s">
        <v>2016</v>
      </c>
      <c r="R373" s="1" t="s">
        <v>2013</v>
      </c>
      <c r="S373" s="15" t="s">
        <v>2082</v>
      </c>
      <c r="T373" s="15" t="s">
        <v>2442</v>
      </c>
      <c r="U373" s="25" t="s">
        <v>2085</v>
      </c>
      <c r="V373" s="25" t="s">
        <v>2435</v>
      </c>
      <c r="W373" s="80">
        <v>45207</v>
      </c>
      <c r="X373" s="21" t="s">
        <v>2821</v>
      </c>
    </row>
    <row r="374" spans="1:24" x14ac:dyDescent="0.2">
      <c r="A374" s="1">
        <v>372</v>
      </c>
      <c r="B374" s="1" t="s">
        <v>81</v>
      </c>
      <c r="C374" s="1" t="s">
        <v>2782</v>
      </c>
      <c r="D374" s="11" t="s">
        <v>80</v>
      </c>
      <c r="E374" s="15" t="s">
        <v>822</v>
      </c>
      <c r="F374" s="66" t="s">
        <v>887</v>
      </c>
      <c r="G374" s="24" t="s">
        <v>2796</v>
      </c>
      <c r="H374" s="15" t="s">
        <v>2788</v>
      </c>
      <c r="I374" s="16">
        <v>48</v>
      </c>
      <c r="J374" s="16" t="str">
        <f t="shared" si="17"/>
        <v>Middle Age</v>
      </c>
      <c r="K374" s="25">
        <v>4</v>
      </c>
      <c r="L374" s="42">
        <v>1280</v>
      </c>
      <c r="M374" s="15">
        <v>560</v>
      </c>
      <c r="N374" s="39">
        <f t="shared" si="15"/>
        <v>5120</v>
      </c>
      <c r="O374" s="39">
        <f t="shared" si="16"/>
        <v>2880</v>
      </c>
      <c r="P374" s="24" t="s">
        <v>2034</v>
      </c>
      <c r="Q374" s="24" t="s">
        <v>2016</v>
      </c>
      <c r="R374" s="1" t="s">
        <v>2013</v>
      </c>
      <c r="S374" s="15" t="s">
        <v>2082</v>
      </c>
      <c r="T374" s="15" t="s">
        <v>2442</v>
      </c>
      <c r="U374" s="25" t="s">
        <v>2088</v>
      </c>
      <c r="V374" s="25" t="s">
        <v>2434</v>
      </c>
      <c r="W374" s="80">
        <v>44979</v>
      </c>
      <c r="X374" s="21" t="s">
        <v>2817</v>
      </c>
    </row>
    <row r="375" spans="1:24" x14ac:dyDescent="0.2">
      <c r="A375" s="1">
        <v>373</v>
      </c>
      <c r="B375" s="1" t="s">
        <v>1</v>
      </c>
      <c r="C375" s="1" t="s">
        <v>2782</v>
      </c>
      <c r="D375" s="1" t="s">
        <v>82</v>
      </c>
      <c r="E375" s="15" t="s">
        <v>817</v>
      </c>
      <c r="F375" s="66" t="s">
        <v>901</v>
      </c>
      <c r="G375" s="24" t="s">
        <v>2798</v>
      </c>
      <c r="H375" s="15" t="s">
        <v>2789</v>
      </c>
      <c r="I375" s="16">
        <v>53</v>
      </c>
      <c r="J375" s="16" t="str">
        <f t="shared" si="17"/>
        <v>Old</v>
      </c>
      <c r="K375" s="25">
        <v>1</v>
      </c>
      <c r="L375" s="42">
        <v>890</v>
      </c>
      <c r="M375" s="15">
        <v>400</v>
      </c>
      <c r="N375" s="39">
        <f t="shared" si="15"/>
        <v>890</v>
      </c>
      <c r="O375" s="39">
        <f t="shared" si="16"/>
        <v>490</v>
      </c>
      <c r="P375" s="24" t="s">
        <v>2054</v>
      </c>
      <c r="Q375" s="24" t="s">
        <v>2016</v>
      </c>
      <c r="R375" s="1" t="s">
        <v>2013</v>
      </c>
      <c r="S375" s="15" t="s">
        <v>2082</v>
      </c>
      <c r="T375" s="15" t="s">
        <v>2442</v>
      </c>
      <c r="U375" s="25" t="s">
        <v>2089</v>
      </c>
      <c r="V375" s="25" t="s">
        <v>2436</v>
      </c>
      <c r="W375" s="80">
        <v>45133</v>
      </c>
      <c r="X375" s="21" t="s">
        <v>2813</v>
      </c>
    </row>
    <row r="376" spans="1:24" x14ac:dyDescent="0.2">
      <c r="A376" s="1">
        <v>374</v>
      </c>
      <c r="B376" s="1" t="s">
        <v>39</v>
      </c>
      <c r="C376" s="1" t="s">
        <v>2782</v>
      </c>
      <c r="D376" s="8" t="s">
        <v>83</v>
      </c>
      <c r="E376" s="15" t="s">
        <v>823</v>
      </c>
      <c r="F376" s="66" t="s">
        <v>885</v>
      </c>
      <c r="G376" s="24" t="s">
        <v>2800</v>
      </c>
      <c r="H376" s="15" t="s">
        <v>2789</v>
      </c>
      <c r="I376" s="16">
        <v>30</v>
      </c>
      <c r="J376" s="16" t="str">
        <f t="shared" si="17"/>
        <v>Young</v>
      </c>
      <c r="K376" s="25">
        <v>5</v>
      </c>
      <c r="L376" s="42">
        <v>1590</v>
      </c>
      <c r="M376" s="15">
        <v>700</v>
      </c>
      <c r="N376" s="39">
        <f t="shared" si="15"/>
        <v>7950</v>
      </c>
      <c r="O376" s="39">
        <f t="shared" si="16"/>
        <v>4450</v>
      </c>
      <c r="P376" s="24" t="s">
        <v>2042</v>
      </c>
      <c r="Q376" s="15" t="s">
        <v>2828</v>
      </c>
      <c r="R376" s="1" t="s">
        <v>2013</v>
      </c>
      <c r="S376" s="15" t="s">
        <v>2082</v>
      </c>
      <c r="T376" s="15" t="s">
        <v>2442</v>
      </c>
      <c r="U376" s="25" t="s">
        <v>2083</v>
      </c>
      <c r="V376" s="25" t="s">
        <v>2437</v>
      </c>
      <c r="W376" s="80">
        <v>45132</v>
      </c>
      <c r="X376" s="21" t="s">
        <v>2813</v>
      </c>
    </row>
    <row r="377" spans="1:24" x14ac:dyDescent="0.2">
      <c r="A377" s="1">
        <v>375</v>
      </c>
      <c r="B377" s="1" t="s">
        <v>85</v>
      </c>
      <c r="C377" s="1" t="s">
        <v>2782</v>
      </c>
      <c r="D377" s="11" t="s">
        <v>84</v>
      </c>
      <c r="E377" s="15" t="s">
        <v>828</v>
      </c>
      <c r="F377" s="66" t="s">
        <v>882</v>
      </c>
      <c r="G377" s="24" t="s">
        <v>2802</v>
      </c>
      <c r="H377" s="15" t="s">
        <v>2788</v>
      </c>
      <c r="I377" s="16">
        <v>37</v>
      </c>
      <c r="J377" s="16" t="str">
        <f t="shared" si="17"/>
        <v>Middle Age</v>
      </c>
      <c r="K377" s="25">
        <v>3</v>
      </c>
      <c r="L377" s="42">
        <v>2270</v>
      </c>
      <c r="M377" s="15">
        <f>920+81</f>
        <v>1001</v>
      </c>
      <c r="N377" s="39">
        <f t="shared" si="15"/>
        <v>6810</v>
      </c>
      <c r="O377" s="39">
        <f t="shared" si="16"/>
        <v>3807</v>
      </c>
      <c r="P377" s="24" t="s">
        <v>2057</v>
      </c>
      <c r="Q377" s="24" t="s">
        <v>2020</v>
      </c>
      <c r="R377" s="1" t="s">
        <v>2013</v>
      </c>
      <c r="S377" s="15" t="s">
        <v>2082</v>
      </c>
      <c r="T377" s="15" t="s">
        <v>2442</v>
      </c>
      <c r="U377" s="25" t="s">
        <v>2088</v>
      </c>
      <c r="V377" s="25" t="s">
        <v>2435</v>
      </c>
      <c r="W377" s="80">
        <v>45089</v>
      </c>
      <c r="X377" s="21" t="s">
        <v>2814</v>
      </c>
    </row>
    <row r="378" spans="1:24" x14ac:dyDescent="0.2">
      <c r="A378" s="1">
        <v>376</v>
      </c>
      <c r="B378" s="1" t="s">
        <v>87</v>
      </c>
      <c r="C378" s="1" t="s">
        <v>2782</v>
      </c>
      <c r="D378" s="8" t="s">
        <v>86</v>
      </c>
      <c r="E378" s="15" t="s">
        <v>822</v>
      </c>
      <c r="F378" s="66" t="s">
        <v>942</v>
      </c>
      <c r="G378" s="24" t="s">
        <v>2804</v>
      </c>
      <c r="H378" s="15" t="s">
        <v>2789</v>
      </c>
      <c r="I378" s="16">
        <v>42</v>
      </c>
      <c r="J378" s="16" t="str">
        <f t="shared" si="17"/>
        <v>Middle Age</v>
      </c>
      <c r="K378" s="25">
        <v>2</v>
      </c>
      <c r="L378" s="42">
        <v>8100</v>
      </c>
      <c r="M378" s="15">
        <v>5340</v>
      </c>
      <c r="N378" s="39">
        <f t="shared" si="15"/>
        <v>16200</v>
      </c>
      <c r="O378" s="39">
        <f t="shared" si="16"/>
        <v>5520</v>
      </c>
      <c r="P378" s="24" t="s">
        <v>2027</v>
      </c>
      <c r="Q378" s="24" t="s">
        <v>2014</v>
      </c>
      <c r="R378" s="1" t="s">
        <v>2013</v>
      </c>
      <c r="S378" s="15" t="s">
        <v>2082</v>
      </c>
      <c r="T378" s="15" t="s">
        <v>2442</v>
      </c>
      <c r="U378" s="25" t="s">
        <v>2083</v>
      </c>
      <c r="V378" s="25" t="s">
        <v>2436</v>
      </c>
      <c r="W378" s="80">
        <v>45228</v>
      </c>
      <c r="X378" s="21" t="s">
        <v>2821</v>
      </c>
    </row>
    <row r="379" spans="1:24" x14ac:dyDescent="0.2">
      <c r="A379" s="1">
        <v>377</v>
      </c>
      <c r="B379" s="1" t="s">
        <v>89</v>
      </c>
      <c r="C379" s="1" t="s">
        <v>2782</v>
      </c>
      <c r="D379" s="8" t="s">
        <v>88</v>
      </c>
      <c r="E379" s="15" t="s">
        <v>822</v>
      </c>
      <c r="F379" s="66" t="s">
        <v>943</v>
      </c>
      <c r="G379" s="24" t="s">
        <v>2806</v>
      </c>
      <c r="H379" s="15" t="s">
        <v>2789</v>
      </c>
      <c r="I379" s="16">
        <v>24</v>
      </c>
      <c r="J379" s="16" t="str">
        <f t="shared" si="17"/>
        <v>Young</v>
      </c>
      <c r="K379" s="25">
        <v>4</v>
      </c>
      <c r="L379" s="42">
        <v>2860</v>
      </c>
      <c r="M379" s="15">
        <v>1700</v>
      </c>
      <c r="N379" s="39">
        <f t="shared" si="15"/>
        <v>11440</v>
      </c>
      <c r="O379" s="39">
        <f t="shared" si="16"/>
        <v>4640</v>
      </c>
      <c r="P379" s="24" t="s">
        <v>2044</v>
      </c>
      <c r="Q379" s="24" t="s">
        <v>2020</v>
      </c>
      <c r="R379" s="1" t="s">
        <v>2013</v>
      </c>
      <c r="S379" s="15" t="s">
        <v>2082</v>
      </c>
      <c r="T379" s="15" t="s">
        <v>2442</v>
      </c>
      <c r="U379" s="25" t="s">
        <v>2086</v>
      </c>
      <c r="V379" s="25" t="s">
        <v>2434</v>
      </c>
      <c r="W379" s="80">
        <v>45234</v>
      </c>
      <c r="X379" s="21" t="s">
        <v>2823</v>
      </c>
    </row>
    <row r="380" spans="1:24" x14ac:dyDescent="0.2">
      <c r="A380" s="1">
        <v>378</v>
      </c>
      <c r="B380" s="1" t="s">
        <v>5</v>
      </c>
      <c r="C380" s="1" t="s">
        <v>2781</v>
      </c>
      <c r="D380" s="1" t="s">
        <v>869</v>
      </c>
      <c r="E380" s="15" t="s">
        <v>863</v>
      </c>
      <c r="F380" s="66" t="s">
        <v>907</v>
      </c>
      <c r="G380" s="24" t="s">
        <v>2808</v>
      </c>
      <c r="H380" s="15" t="s">
        <v>2789</v>
      </c>
      <c r="I380" s="16">
        <v>57</v>
      </c>
      <c r="J380" s="16" t="str">
        <f t="shared" si="17"/>
        <v>Old</v>
      </c>
      <c r="K380" s="25">
        <v>1</v>
      </c>
      <c r="L380" s="42">
        <v>1090</v>
      </c>
      <c r="M380" s="15">
        <f>550+65+40</f>
        <v>655</v>
      </c>
      <c r="N380" s="39">
        <f t="shared" si="15"/>
        <v>1090</v>
      </c>
      <c r="O380" s="39">
        <f t="shared" si="16"/>
        <v>435</v>
      </c>
      <c r="P380" s="24" t="s">
        <v>2030</v>
      </c>
      <c r="Q380" s="24" t="s">
        <v>2024</v>
      </c>
      <c r="R380" s="1" t="s">
        <v>2013</v>
      </c>
      <c r="S380" s="15" t="s">
        <v>2082</v>
      </c>
      <c r="T380" s="15" t="s">
        <v>2442</v>
      </c>
      <c r="U380" s="25" t="s">
        <v>2085</v>
      </c>
      <c r="V380" s="25" t="s">
        <v>2437</v>
      </c>
      <c r="W380" s="80">
        <v>45071</v>
      </c>
      <c r="X380" s="21" t="s">
        <v>2786</v>
      </c>
    </row>
    <row r="381" spans="1:24" x14ac:dyDescent="0.2">
      <c r="A381" s="1">
        <v>379</v>
      </c>
      <c r="B381" s="1" t="s">
        <v>12</v>
      </c>
      <c r="C381" s="1" t="s">
        <v>2781</v>
      </c>
      <c r="D381" s="1" t="s">
        <v>869</v>
      </c>
      <c r="E381" s="15" t="s">
        <v>818</v>
      </c>
      <c r="F381" s="66" t="s">
        <v>870</v>
      </c>
      <c r="G381" s="24" t="s">
        <v>2810</v>
      </c>
      <c r="H381" s="15" t="s">
        <v>2788</v>
      </c>
      <c r="I381" s="16">
        <v>35</v>
      </c>
      <c r="J381" s="16" t="str">
        <f t="shared" si="17"/>
        <v>Young</v>
      </c>
      <c r="K381" s="25">
        <v>5</v>
      </c>
      <c r="L381" s="42">
        <v>1000</v>
      </c>
      <c r="M381" s="15">
        <v>700</v>
      </c>
      <c r="N381" s="39">
        <f t="shared" si="15"/>
        <v>5000</v>
      </c>
      <c r="O381" s="39">
        <f t="shared" si="16"/>
        <v>1500</v>
      </c>
      <c r="P381" s="24" t="s">
        <v>2018</v>
      </c>
      <c r="Q381" s="15" t="s">
        <v>2828</v>
      </c>
      <c r="R381" s="1" t="s">
        <v>2013</v>
      </c>
      <c r="S381" s="15" t="s">
        <v>2082</v>
      </c>
      <c r="T381" s="15" t="s">
        <v>2442</v>
      </c>
      <c r="U381" s="25" t="s">
        <v>2089</v>
      </c>
      <c r="V381" s="25" t="s">
        <v>2435</v>
      </c>
      <c r="W381" s="80">
        <v>45288</v>
      </c>
      <c r="X381" s="21" t="s">
        <v>2822</v>
      </c>
    </row>
    <row r="382" spans="1:24" x14ac:dyDescent="0.2">
      <c r="A382" s="1">
        <v>380</v>
      </c>
      <c r="B382" s="1" t="s">
        <v>5</v>
      </c>
      <c r="C382" s="1" t="s">
        <v>2781</v>
      </c>
      <c r="D382" s="1" t="s">
        <v>869</v>
      </c>
      <c r="E382" s="15" t="s">
        <v>817</v>
      </c>
      <c r="F382" s="66" t="s">
        <v>944</v>
      </c>
      <c r="G382" s="24" t="s">
        <v>2793</v>
      </c>
      <c r="H382" s="15" t="s">
        <v>2789</v>
      </c>
      <c r="I382" s="16">
        <v>40</v>
      </c>
      <c r="J382" s="16" t="str">
        <f t="shared" si="17"/>
        <v>Middle Age</v>
      </c>
      <c r="K382" s="25">
        <v>2</v>
      </c>
      <c r="L382" s="42">
        <v>1240</v>
      </c>
      <c r="M382" s="15">
        <v>650</v>
      </c>
      <c r="N382" s="39">
        <f t="shared" si="15"/>
        <v>2480</v>
      </c>
      <c r="O382" s="39">
        <f t="shared" si="16"/>
        <v>1180</v>
      </c>
      <c r="P382" s="24" t="s">
        <v>2039</v>
      </c>
      <c r="Q382" s="24" t="s">
        <v>2014</v>
      </c>
      <c r="R382" s="1" t="s">
        <v>2013</v>
      </c>
      <c r="S382" s="15" t="s">
        <v>2082</v>
      </c>
      <c r="T382" s="15" t="s">
        <v>2442</v>
      </c>
      <c r="U382" s="25" t="s">
        <v>2086</v>
      </c>
      <c r="V382" s="25" t="s">
        <v>2434</v>
      </c>
      <c r="W382" s="80">
        <v>45003</v>
      </c>
      <c r="X382" s="21" t="s">
        <v>2816</v>
      </c>
    </row>
    <row r="383" spans="1:24" x14ac:dyDescent="0.2">
      <c r="A383" s="1">
        <v>381</v>
      </c>
      <c r="B383" s="1" t="s">
        <v>91</v>
      </c>
      <c r="C383" s="1" t="s">
        <v>2782</v>
      </c>
      <c r="D383" s="11" t="s">
        <v>90</v>
      </c>
      <c r="E383" s="35" t="s">
        <v>864</v>
      </c>
      <c r="F383" s="66" t="s">
        <v>945</v>
      </c>
      <c r="G383" s="24" t="s">
        <v>2791</v>
      </c>
      <c r="H383" s="15" t="s">
        <v>2788</v>
      </c>
      <c r="I383" s="16">
        <v>21</v>
      </c>
      <c r="J383" s="16" t="str">
        <f t="shared" si="17"/>
        <v>Young</v>
      </c>
      <c r="K383" s="25">
        <v>3</v>
      </c>
      <c r="L383" s="42">
        <v>2610</v>
      </c>
      <c r="M383" s="15">
        <v>610</v>
      </c>
      <c r="N383" s="39">
        <f t="shared" si="15"/>
        <v>7830</v>
      </c>
      <c r="O383" s="39">
        <f t="shared" si="16"/>
        <v>6000</v>
      </c>
      <c r="P383" s="24" t="s">
        <v>2061</v>
      </c>
      <c r="Q383" s="24" t="s">
        <v>2014</v>
      </c>
      <c r="R383" s="1" t="s">
        <v>2013</v>
      </c>
      <c r="S383" s="15" t="s">
        <v>2082</v>
      </c>
      <c r="T383" s="15" t="s">
        <v>2442</v>
      </c>
      <c r="U383" s="25" t="s">
        <v>2088</v>
      </c>
      <c r="V383" s="25" t="s">
        <v>2436</v>
      </c>
      <c r="W383" s="80">
        <v>44947</v>
      </c>
      <c r="X383" s="21" t="s">
        <v>2818</v>
      </c>
    </row>
    <row r="384" spans="1:24" x14ac:dyDescent="0.2">
      <c r="A384" s="1">
        <v>382</v>
      </c>
      <c r="B384" s="1" t="s">
        <v>93</v>
      </c>
      <c r="C384" s="1" t="s">
        <v>2782</v>
      </c>
      <c r="D384" s="11" t="s">
        <v>92</v>
      </c>
      <c r="E384" s="35" t="s">
        <v>822</v>
      </c>
      <c r="F384" s="66" t="s">
        <v>946</v>
      </c>
      <c r="G384" s="24" t="s">
        <v>2795</v>
      </c>
      <c r="H384" s="15" t="s">
        <v>2788</v>
      </c>
      <c r="I384" s="16">
        <v>36</v>
      </c>
      <c r="J384" s="16" t="str">
        <f t="shared" si="17"/>
        <v>Middle Age</v>
      </c>
      <c r="K384" s="25">
        <v>4</v>
      </c>
      <c r="L384" s="42">
        <v>7020</v>
      </c>
      <c r="M384" s="15">
        <f>3000+390</f>
        <v>3390</v>
      </c>
      <c r="N384" s="39">
        <f t="shared" si="15"/>
        <v>28080</v>
      </c>
      <c r="O384" s="39">
        <f t="shared" si="16"/>
        <v>14520</v>
      </c>
      <c r="P384" s="24" t="s">
        <v>2040</v>
      </c>
      <c r="Q384" s="15" t="s">
        <v>2014</v>
      </c>
      <c r="R384" s="1" t="s">
        <v>2013</v>
      </c>
      <c r="S384" s="15" t="s">
        <v>2082</v>
      </c>
      <c r="T384" s="15" t="s">
        <v>2442</v>
      </c>
      <c r="U384" s="25" t="s">
        <v>2088</v>
      </c>
      <c r="V384" s="25" t="s">
        <v>2437</v>
      </c>
      <c r="W384" s="80">
        <v>45263</v>
      </c>
      <c r="X384" s="21" t="s">
        <v>2822</v>
      </c>
    </row>
    <row r="385" spans="1:24" x14ac:dyDescent="0.2">
      <c r="A385" s="1">
        <v>383</v>
      </c>
      <c r="B385" s="1" t="s">
        <v>94</v>
      </c>
      <c r="C385" s="1" t="s">
        <v>2782</v>
      </c>
      <c r="D385" s="11" t="s">
        <v>2533</v>
      </c>
      <c r="E385" s="35" t="s">
        <v>828</v>
      </c>
      <c r="F385" s="66" t="s">
        <v>947</v>
      </c>
      <c r="G385" s="24" t="s">
        <v>2797</v>
      </c>
      <c r="H385" s="15" t="s">
        <v>2788</v>
      </c>
      <c r="I385" s="16">
        <v>28</v>
      </c>
      <c r="J385" s="16" t="str">
        <f t="shared" si="17"/>
        <v>Young</v>
      </c>
      <c r="K385" s="25">
        <v>1</v>
      </c>
      <c r="L385" s="42">
        <v>3510</v>
      </c>
      <c r="M385" s="15">
        <f>1620+150</f>
        <v>1770</v>
      </c>
      <c r="N385" s="39">
        <f t="shared" si="15"/>
        <v>3510</v>
      </c>
      <c r="O385" s="39">
        <f t="shared" si="16"/>
        <v>1740</v>
      </c>
      <c r="P385" s="24" t="s">
        <v>2039</v>
      </c>
      <c r="Q385" s="24" t="s">
        <v>2014</v>
      </c>
      <c r="R385" s="1" t="s">
        <v>2013</v>
      </c>
      <c r="S385" s="15" t="s">
        <v>2082</v>
      </c>
      <c r="T385" s="15" t="s">
        <v>2442</v>
      </c>
      <c r="U385" s="25" t="s">
        <v>2090</v>
      </c>
      <c r="V385" s="25" t="s">
        <v>2435</v>
      </c>
      <c r="W385" s="80">
        <v>45258</v>
      </c>
      <c r="X385" s="21" t="s">
        <v>2823</v>
      </c>
    </row>
    <row r="386" spans="1:24" x14ac:dyDescent="0.2">
      <c r="A386" s="1">
        <v>384</v>
      </c>
      <c r="B386" s="1" t="s">
        <v>95</v>
      </c>
      <c r="C386" s="1" t="s">
        <v>2782</v>
      </c>
      <c r="D386" s="11" t="s">
        <v>2534</v>
      </c>
      <c r="E386" s="35" t="s">
        <v>865</v>
      </c>
      <c r="F386" s="66" t="s">
        <v>948</v>
      </c>
      <c r="G386" s="24" t="s">
        <v>2799</v>
      </c>
      <c r="H386" s="15" t="s">
        <v>2788</v>
      </c>
      <c r="I386" s="16">
        <v>50</v>
      </c>
      <c r="J386" s="16" t="str">
        <f t="shared" si="17"/>
        <v>Old</v>
      </c>
      <c r="K386" s="25">
        <v>5</v>
      </c>
      <c r="L386" s="42">
        <v>3170</v>
      </c>
      <c r="M386" s="15">
        <f>1150+230</f>
        <v>1380</v>
      </c>
      <c r="N386" s="39">
        <f t="shared" ref="N386:N449" si="18">L386*K386</f>
        <v>15850</v>
      </c>
      <c r="O386" s="39">
        <f t="shared" ref="O386:O449" si="19">N386-(M386*K386)</f>
        <v>8950</v>
      </c>
      <c r="P386" s="24" t="s">
        <v>2037</v>
      </c>
      <c r="Q386" s="24" t="s">
        <v>2014</v>
      </c>
      <c r="R386" s="1" t="s">
        <v>2013</v>
      </c>
      <c r="S386" s="15" t="s">
        <v>2082</v>
      </c>
      <c r="T386" s="15" t="s">
        <v>2442</v>
      </c>
      <c r="U386" s="25" t="s">
        <v>2086</v>
      </c>
      <c r="V386" s="25" t="s">
        <v>2436</v>
      </c>
      <c r="W386" s="80">
        <v>44974</v>
      </c>
      <c r="X386" s="21" t="s">
        <v>2817</v>
      </c>
    </row>
    <row r="387" spans="1:24" x14ac:dyDescent="0.2">
      <c r="A387" s="1">
        <v>385</v>
      </c>
      <c r="B387" s="1" t="s">
        <v>97</v>
      </c>
      <c r="C387" s="1" t="s">
        <v>2782</v>
      </c>
      <c r="D387" s="1" t="s">
        <v>96</v>
      </c>
      <c r="E387" s="35" t="s">
        <v>863</v>
      </c>
      <c r="F387" s="66" t="s">
        <v>949</v>
      </c>
      <c r="G387" s="24" t="s">
        <v>2801</v>
      </c>
      <c r="H387" s="15" t="s">
        <v>2788</v>
      </c>
      <c r="I387" s="16">
        <v>39</v>
      </c>
      <c r="J387" s="16" t="str">
        <f t="shared" ref="J387:J450" si="20">IF(I387&lt;=35,"Young",IF(I387&lt;=49,"Middle Age",IF(I387&gt;=50,"Old")))</f>
        <v>Middle Age</v>
      </c>
      <c r="K387" s="25">
        <v>3</v>
      </c>
      <c r="L387" s="42">
        <v>3250</v>
      </c>
      <c r="M387" s="15">
        <v>1900</v>
      </c>
      <c r="N387" s="39">
        <f t="shared" si="18"/>
        <v>9750</v>
      </c>
      <c r="O387" s="39">
        <f t="shared" si="19"/>
        <v>4050</v>
      </c>
      <c r="P387" s="24" t="s">
        <v>2015</v>
      </c>
      <c r="Q387" s="24" t="s">
        <v>2014</v>
      </c>
      <c r="R387" s="1" t="s">
        <v>2013</v>
      </c>
      <c r="S387" s="15" t="s">
        <v>2082</v>
      </c>
      <c r="T387" s="15" t="s">
        <v>2442</v>
      </c>
      <c r="U387" s="25" t="s">
        <v>2085</v>
      </c>
      <c r="V387" s="25" t="s">
        <v>2434</v>
      </c>
      <c r="W387" s="80">
        <v>45168</v>
      </c>
      <c r="X387" s="21" t="s">
        <v>2819</v>
      </c>
    </row>
    <row r="388" spans="1:24" x14ac:dyDescent="0.2">
      <c r="A388" s="1">
        <v>386</v>
      </c>
      <c r="B388" s="1" t="s">
        <v>99</v>
      </c>
      <c r="C388" s="1" t="s">
        <v>2782</v>
      </c>
      <c r="D388" s="11" t="s">
        <v>98</v>
      </c>
      <c r="E388" s="35" t="s">
        <v>828</v>
      </c>
      <c r="F388" s="66" t="s">
        <v>874</v>
      </c>
      <c r="G388" s="24" t="s">
        <v>2803</v>
      </c>
      <c r="H388" s="15" t="s">
        <v>2788</v>
      </c>
      <c r="I388" s="16">
        <v>31</v>
      </c>
      <c r="J388" s="16" t="str">
        <f t="shared" si="20"/>
        <v>Young</v>
      </c>
      <c r="K388" s="25">
        <v>1</v>
      </c>
      <c r="L388" s="42">
        <v>3450</v>
      </c>
      <c r="M388" s="15">
        <f>1430+250-60</f>
        <v>1620</v>
      </c>
      <c r="N388" s="39">
        <f t="shared" si="18"/>
        <v>3450</v>
      </c>
      <c r="O388" s="39">
        <f t="shared" si="19"/>
        <v>1830</v>
      </c>
      <c r="P388" s="24" t="s">
        <v>2058</v>
      </c>
      <c r="Q388" s="24" t="s">
        <v>2020</v>
      </c>
      <c r="R388" s="1" t="s">
        <v>2013</v>
      </c>
      <c r="S388" s="15" t="s">
        <v>2082</v>
      </c>
      <c r="T388" s="15" t="s">
        <v>2442</v>
      </c>
      <c r="U388" s="25" t="s">
        <v>2084</v>
      </c>
      <c r="V388" s="25" t="s">
        <v>2437</v>
      </c>
      <c r="W388" s="80">
        <v>45112</v>
      </c>
      <c r="X388" s="21" t="s">
        <v>2813</v>
      </c>
    </row>
    <row r="389" spans="1:24" x14ac:dyDescent="0.2">
      <c r="A389" s="1">
        <v>387</v>
      </c>
      <c r="B389" s="1" t="s">
        <v>100</v>
      </c>
      <c r="C389" s="1" t="s">
        <v>2782</v>
      </c>
      <c r="D389" s="11" t="s">
        <v>2535</v>
      </c>
      <c r="E389" s="35" t="s">
        <v>866</v>
      </c>
      <c r="F389" s="66" t="s">
        <v>950</v>
      </c>
      <c r="G389" s="24" t="s">
        <v>2805</v>
      </c>
      <c r="H389" s="15" t="s">
        <v>2788</v>
      </c>
      <c r="I389" s="16">
        <v>44</v>
      </c>
      <c r="J389" s="16" t="str">
        <f t="shared" si="20"/>
        <v>Middle Age</v>
      </c>
      <c r="K389" s="25">
        <v>5</v>
      </c>
      <c r="L389" s="42">
        <v>5000</v>
      </c>
      <c r="M389" s="15">
        <f>2650+250-60</f>
        <v>2840</v>
      </c>
      <c r="N389" s="39">
        <f t="shared" si="18"/>
        <v>25000</v>
      </c>
      <c r="O389" s="39">
        <f t="shared" si="19"/>
        <v>10800</v>
      </c>
      <c r="P389" s="24" t="s">
        <v>2033</v>
      </c>
      <c r="Q389" s="24" t="s">
        <v>2016</v>
      </c>
      <c r="R389" s="1" t="s">
        <v>2013</v>
      </c>
      <c r="S389" s="15" t="s">
        <v>2082</v>
      </c>
      <c r="T389" s="15" t="s">
        <v>2442</v>
      </c>
      <c r="U389" s="25" t="s">
        <v>2088</v>
      </c>
      <c r="V389" s="25" t="s">
        <v>2435</v>
      </c>
      <c r="W389" s="80">
        <v>44969</v>
      </c>
      <c r="X389" s="21" t="s">
        <v>2817</v>
      </c>
    </row>
    <row r="390" spans="1:24" x14ac:dyDescent="0.2">
      <c r="A390" s="1">
        <v>388</v>
      </c>
      <c r="B390" s="1" t="s">
        <v>101</v>
      </c>
      <c r="C390" s="1" t="s">
        <v>2782</v>
      </c>
      <c r="D390" s="11" t="s">
        <v>2536</v>
      </c>
      <c r="E390" s="35" t="s">
        <v>863</v>
      </c>
      <c r="F390" s="66" t="s">
        <v>951</v>
      </c>
      <c r="G390" s="24" t="s">
        <v>2807</v>
      </c>
      <c r="H390" s="15" t="s">
        <v>2788</v>
      </c>
      <c r="I390" s="16">
        <v>26</v>
      </c>
      <c r="J390" s="16" t="str">
        <f t="shared" si="20"/>
        <v>Young</v>
      </c>
      <c r="K390" s="25">
        <v>2</v>
      </c>
      <c r="L390" s="42">
        <v>6300</v>
      </c>
      <c r="M390" s="15">
        <f>1540+1540+270+530+200+300-60</f>
        <v>4320</v>
      </c>
      <c r="N390" s="39">
        <f t="shared" si="18"/>
        <v>12600</v>
      </c>
      <c r="O390" s="39">
        <f t="shared" si="19"/>
        <v>3960</v>
      </c>
      <c r="P390" s="24" t="s">
        <v>2051</v>
      </c>
      <c r="Q390" s="15" t="s">
        <v>2828</v>
      </c>
      <c r="R390" s="1" t="s">
        <v>2013</v>
      </c>
      <c r="S390" s="15" t="s">
        <v>2082</v>
      </c>
      <c r="T390" s="15" t="s">
        <v>2442</v>
      </c>
      <c r="U390" s="25" t="s">
        <v>2089</v>
      </c>
      <c r="V390" s="25" t="s">
        <v>2434</v>
      </c>
      <c r="W390" s="80">
        <v>45010</v>
      </c>
      <c r="X390" s="21" t="s">
        <v>2816</v>
      </c>
    </row>
    <row r="391" spans="1:24" x14ac:dyDescent="0.2">
      <c r="A391" s="1">
        <v>389</v>
      </c>
      <c r="B391" s="1" t="s">
        <v>102</v>
      </c>
      <c r="C391" s="1" t="s">
        <v>2782</v>
      </c>
      <c r="D391" s="8" t="s">
        <v>166</v>
      </c>
      <c r="E391" s="35" t="s">
        <v>866</v>
      </c>
      <c r="F391" s="66" t="s">
        <v>894</v>
      </c>
      <c r="G391" s="24" t="s">
        <v>2809</v>
      </c>
      <c r="H391" s="15" t="s">
        <v>2789</v>
      </c>
      <c r="I391" s="16">
        <v>48</v>
      </c>
      <c r="J391" s="16" t="str">
        <f t="shared" si="20"/>
        <v>Middle Age</v>
      </c>
      <c r="K391" s="25">
        <v>3</v>
      </c>
      <c r="L391" s="42">
        <v>7371</v>
      </c>
      <c r="M391" s="15">
        <f>4390-60</f>
        <v>4330</v>
      </c>
      <c r="N391" s="39">
        <f t="shared" si="18"/>
        <v>22113</v>
      </c>
      <c r="O391" s="39">
        <f t="shared" si="19"/>
        <v>9123</v>
      </c>
      <c r="P391" s="24" t="s">
        <v>2060</v>
      </c>
      <c r="Q391" s="24" t="s">
        <v>2024</v>
      </c>
      <c r="R391" s="1" t="s">
        <v>2013</v>
      </c>
      <c r="S391" s="15" t="s">
        <v>2082</v>
      </c>
      <c r="T391" s="15" t="s">
        <v>2442</v>
      </c>
      <c r="U391" s="25" t="s">
        <v>2089</v>
      </c>
      <c r="V391" s="25" t="s">
        <v>2436</v>
      </c>
      <c r="W391" s="80">
        <v>45238</v>
      </c>
      <c r="X391" s="21" t="s">
        <v>2823</v>
      </c>
    </row>
    <row r="392" spans="1:24" x14ac:dyDescent="0.2">
      <c r="A392" s="1">
        <v>390</v>
      </c>
      <c r="B392" s="1" t="s">
        <v>102</v>
      </c>
      <c r="C392" s="1" t="s">
        <v>2782</v>
      </c>
      <c r="D392" s="8" t="s">
        <v>166</v>
      </c>
      <c r="E392" s="35" t="s">
        <v>868</v>
      </c>
      <c r="F392" s="66" t="s">
        <v>888</v>
      </c>
      <c r="G392" s="24" t="s">
        <v>2794</v>
      </c>
      <c r="H392" s="15" t="s">
        <v>2788</v>
      </c>
      <c r="I392" s="16">
        <v>53</v>
      </c>
      <c r="J392" s="16" t="str">
        <f t="shared" si="20"/>
        <v>Old</v>
      </c>
      <c r="K392" s="25">
        <v>4</v>
      </c>
      <c r="L392" s="42">
        <v>7371</v>
      </c>
      <c r="M392" s="15">
        <f>4390-60</f>
        <v>4330</v>
      </c>
      <c r="N392" s="39">
        <f t="shared" si="18"/>
        <v>29484</v>
      </c>
      <c r="O392" s="39">
        <f t="shared" si="19"/>
        <v>12164</v>
      </c>
      <c r="P392" s="24" t="s">
        <v>2028</v>
      </c>
      <c r="Q392" s="15" t="s">
        <v>2024</v>
      </c>
      <c r="R392" s="1" t="s">
        <v>2013</v>
      </c>
      <c r="S392" s="15" t="s">
        <v>2082</v>
      </c>
      <c r="T392" s="15" t="s">
        <v>2442</v>
      </c>
      <c r="U392" s="25" t="s">
        <v>2085</v>
      </c>
      <c r="V392" s="25" t="s">
        <v>2437</v>
      </c>
      <c r="W392" s="80">
        <v>45060</v>
      </c>
      <c r="X392" s="21" t="s">
        <v>2786</v>
      </c>
    </row>
    <row r="393" spans="1:24" x14ac:dyDescent="0.2">
      <c r="A393" s="1">
        <v>391</v>
      </c>
      <c r="B393" s="1" t="s">
        <v>104</v>
      </c>
      <c r="C393" s="1" t="s">
        <v>2782</v>
      </c>
      <c r="D393" s="11" t="s">
        <v>103</v>
      </c>
      <c r="E393" s="35" t="s">
        <v>822</v>
      </c>
      <c r="F393" s="67" t="s">
        <v>889</v>
      </c>
      <c r="G393" s="24" t="s">
        <v>2792</v>
      </c>
      <c r="H393" s="15" t="s">
        <v>2788</v>
      </c>
      <c r="I393" s="16">
        <v>30</v>
      </c>
      <c r="J393" s="16" t="str">
        <f t="shared" si="20"/>
        <v>Young</v>
      </c>
      <c r="K393" s="25">
        <v>1</v>
      </c>
      <c r="L393" s="42">
        <v>4520</v>
      </c>
      <c r="M393" s="15">
        <f>1950+270-60</f>
        <v>2160</v>
      </c>
      <c r="N393" s="39">
        <f t="shared" si="18"/>
        <v>4520</v>
      </c>
      <c r="O393" s="39">
        <f t="shared" si="19"/>
        <v>2360</v>
      </c>
      <c r="P393" s="24" t="s">
        <v>2052</v>
      </c>
      <c r="Q393" s="15" t="s">
        <v>2016</v>
      </c>
      <c r="R393" s="1" t="s">
        <v>2013</v>
      </c>
      <c r="S393" s="15" t="s">
        <v>2082</v>
      </c>
      <c r="T393" s="15" t="s">
        <v>2442</v>
      </c>
      <c r="U393" s="25" t="s">
        <v>2088</v>
      </c>
      <c r="V393" s="25" t="s">
        <v>2435</v>
      </c>
      <c r="W393" s="80">
        <v>45036</v>
      </c>
      <c r="X393" s="21" t="s">
        <v>2815</v>
      </c>
    </row>
    <row r="394" spans="1:24" x14ac:dyDescent="0.2">
      <c r="A394" s="1">
        <v>392</v>
      </c>
      <c r="B394" s="1" t="s">
        <v>105</v>
      </c>
      <c r="C394" s="1" t="s">
        <v>2782</v>
      </c>
      <c r="D394" s="8" t="s">
        <v>2537</v>
      </c>
      <c r="E394" s="35" t="s">
        <v>828</v>
      </c>
      <c r="F394" s="66" t="s">
        <v>881</v>
      </c>
      <c r="G394" s="24" t="s">
        <v>2796</v>
      </c>
      <c r="H394" s="15" t="s">
        <v>2789</v>
      </c>
      <c r="I394" s="16">
        <v>37</v>
      </c>
      <c r="J394" s="16" t="str">
        <f t="shared" si="20"/>
        <v>Middle Age</v>
      </c>
      <c r="K394" s="25">
        <v>5</v>
      </c>
      <c r="L394" s="42">
        <v>1989</v>
      </c>
      <c r="M394" s="15">
        <v>620</v>
      </c>
      <c r="N394" s="39">
        <f t="shared" si="18"/>
        <v>9945</v>
      </c>
      <c r="O394" s="39">
        <f t="shared" si="19"/>
        <v>6845</v>
      </c>
      <c r="P394" s="24" t="s">
        <v>2021</v>
      </c>
      <c r="Q394" s="24" t="s">
        <v>2020</v>
      </c>
      <c r="R394" s="1" t="s">
        <v>2013</v>
      </c>
      <c r="S394" s="15" t="s">
        <v>2082</v>
      </c>
      <c r="T394" s="15" t="s">
        <v>2442</v>
      </c>
      <c r="U394" s="25" t="s">
        <v>2084</v>
      </c>
      <c r="V394" s="25" t="s">
        <v>2436</v>
      </c>
      <c r="W394" s="80">
        <v>45144</v>
      </c>
      <c r="X394" s="21" t="s">
        <v>2819</v>
      </c>
    </row>
    <row r="395" spans="1:24" x14ac:dyDescent="0.2">
      <c r="A395" s="1">
        <v>393</v>
      </c>
      <c r="B395" s="1" t="s">
        <v>107</v>
      </c>
      <c r="C395" s="1" t="s">
        <v>2782</v>
      </c>
      <c r="D395" s="11" t="s">
        <v>106</v>
      </c>
      <c r="E395" s="35" t="s">
        <v>864</v>
      </c>
      <c r="F395" s="66" t="s">
        <v>883</v>
      </c>
      <c r="G395" s="24" t="s">
        <v>2798</v>
      </c>
      <c r="H395" s="15" t="s">
        <v>2788</v>
      </c>
      <c r="I395" s="16">
        <v>42</v>
      </c>
      <c r="J395" s="16" t="str">
        <f t="shared" si="20"/>
        <v>Middle Age</v>
      </c>
      <c r="K395" s="25">
        <v>3</v>
      </c>
      <c r="L395" s="42">
        <v>4390</v>
      </c>
      <c r="M395" s="15">
        <v>2100</v>
      </c>
      <c r="N395" s="39">
        <f t="shared" si="18"/>
        <v>13170</v>
      </c>
      <c r="O395" s="39">
        <f t="shared" si="19"/>
        <v>6870</v>
      </c>
      <c r="P395" s="24" t="s">
        <v>2036</v>
      </c>
      <c r="Q395" s="24" t="s">
        <v>2014</v>
      </c>
      <c r="R395" s="1" t="s">
        <v>2013</v>
      </c>
      <c r="S395" s="15" t="s">
        <v>2082</v>
      </c>
      <c r="T395" s="15" t="s">
        <v>2442</v>
      </c>
      <c r="U395" s="25" t="s">
        <v>2083</v>
      </c>
      <c r="V395" s="25" t="s">
        <v>2434</v>
      </c>
      <c r="W395" s="80">
        <v>45023</v>
      </c>
      <c r="X395" s="21" t="s">
        <v>2815</v>
      </c>
    </row>
    <row r="396" spans="1:24" x14ac:dyDescent="0.2">
      <c r="A396" s="1">
        <v>394</v>
      </c>
      <c r="B396" s="1" t="s">
        <v>109</v>
      </c>
      <c r="C396" s="1" t="s">
        <v>2782</v>
      </c>
      <c r="D396" s="8" t="s">
        <v>108</v>
      </c>
      <c r="E396" s="35" t="s">
        <v>823</v>
      </c>
      <c r="F396" s="66" t="s">
        <v>884</v>
      </c>
      <c r="G396" s="24" t="s">
        <v>2800</v>
      </c>
      <c r="H396" s="15" t="s">
        <v>2788</v>
      </c>
      <c r="I396" s="16">
        <v>24</v>
      </c>
      <c r="J396" s="16" t="str">
        <f t="shared" si="20"/>
        <v>Young</v>
      </c>
      <c r="K396" s="25">
        <v>2</v>
      </c>
      <c r="L396" s="42">
        <v>4175</v>
      </c>
      <c r="M396" s="15">
        <f>2240-70</f>
        <v>2170</v>
      </c>
      <c r="N396" s="39">
        <f t="shared" si="18"/>
        <v>8350</v>
      </c>
      <c r="O396" s="39">
        <f t="shared" si="19"/>
        <v>4010</v>
      </c>
      <c r="P396" s="24" t="s">
        <v>2058</v>
      </c>
      <c r="Q396" s="24" t="s">
        <v>2020</v>
      </c>
      <c r="R396" s="1" t="s">
        <v>2013</v>
      </c>
      <c r="S396" s="15" t="s">
        <v>2082</v>
      </c>
      <c r="T396" s="15" t="s">
        <v>2442</v>
      </c>
      <c r="U396" s="25" t="s">
        <v>2083</v>
      </c>
      <c r="V396" s="25" t="s">
        <v>2437</v>
      </c>
      <c r="W396" s="80">
        <v>45283</v>
      </c>
      <c r="X396" s="21" t="s">
        <v>2822</v>
      </c>
    </row>
    <row r="397" spans="1:24" x14ac:dyDescent="0.2">
      <c r="A397" s="1">
        <v>395</v>
      </c>
      <c r="B397" s="1" t="s">
        <v>93</v>
      </c>
      <c r="C397" s="1" t="s">
        <v>2782</v>
      </c>
      <c r="D397" s="8" t="s">
        <v>110</v>
      </c>
      <c r="E397" s="35" t="s">
        <v>823</v>
      </c>
      <c r="F397" s="66" t="s">
        <v>885</v>
      </c>
      <c r="G397" s="24" t="s">
        <v>2802</v>
      </c>
      <c r="H397" s="15" t="s">
        <v>2789</v>
      </c>
      <c r="I397" s="16">
        <v>57</v>
      </c>
      <c r="J397" s="16" t="str">
        <f t="shared" si="20"/>
        <v>Old</v>
      </c>
      <c r="K397" s="25">
        <v>4</v>
      </c>
      <c r="L397" s="42">
        <v>6340</v>
      </c>
      <c r="M397" s="15">
        <f>3090-70</f>
        <v>3020</v>
      </c>
      <c r="N397" s="39">
        <f t="shared" si="18"/>
        <v>25360</v>
      </c>
      <c r="O397" s="39">
        <f t="shared" si="19"/>
        <v>13280</v>
      </c>
      <c r="P397" s="24" t="s">
        <v>2054</v>
      </c>
      <c r="Q397" s="24" t="s">
        <v>2016</v>
      </c>
      <c r="R397" s="1" t="s">
        <v>2013</v>
      </c>
      <c r="S397" s="15" t="s">
        <v>2082</v>
      </c>
      <c r="T397" s="15" t="s">
        <v>2442</v>
      </c>
      <c r="U397" s="25" t="s">
        <v>2089</v>
      </c>
      <c r="V397" s="25" t="s">
        <v>2435</v>
      </c>
      <c r="W397" s="80">
        <v>45037</v>
      </c>
      <c r="X397" s="21" t="s">
        <v>2815</v>
      </c>
    </row>
    <row r="398" spans="1:24" x14ac:dyDescent="0.2">
      <c r="A398" s="1">
        <v>396</v>
      </c>
      <c r="B398" s="1" t="s">
        <v>112</v>
      </c>
      <c r="C398" s="1" t="s">
        <v>2782</v>
      </c>
      <c r="D398" s="11" t="s">
        <v>111</v>
      </c>
      <c r="E398" s="35" t="s">
        <v>863</v>
      </c>
      <c r="F398" s="66" t="s">
        <v>886</v>
      </c>
      <c r="G398" s="24" t="s">
        <v>2804</v>
      </c>
      <c r="H398" s="15" t="s">
        <v>2788</v>
      </c>
      <c r="I398" s="16">
        <v>35</v>
      </c>
      <c r="J398" s="16" t="str">
        <f t="shared" si="20"/>
        <v>Young</v>
      </c>
      <c r="K398" s="25">
        <v>1</v>
      </c>
      <c r="L398" s="42">
        <f>6570+350</f>
        <v>6920</v>
      </c>
      <c r="M398" s="15">
        <f>3160+270+320-40</f>
        <v>3710</v>
      </c>
      <c r="N398" s="39">
        <f t="shared" si="18"/>
        <v>6920</v>
      </c>
      <c r="O398" s="39">
        <f t="shared" si="19"/>
        <v>3210</v>
      </c>
      <c r="P398" s="24" t="s">
        <v>2054</v>
      </c>
      <c r="Q398" s="24" t="s">
        <v>2016</v>
      </c>
      <c r="R398" s="1" t="s">
        <v>2013</v>
      </c>
      <c r="S398" s="15" t="s">
        <v>2082</v>
      </c>
      <c r="T398" s="15" t="s">
        <v>2442</v>
      </c>
      <c r="U398" s="25" t="s">
        <v>2090</v>
      </c>
      <c r="V398" s="25" t="s">
        <v>2434</v>
      </c>
      <c r="W398" s="80">
        <v>45210</v>
      </c>
      <c r="X398" s="21" t="s">
        <v>2821</v>
      </c>
    </row>
    <row r="399" spans="1:24" x14ac:dyDescent="0.2">
      <c r="A399" s="1">
        <v>397</v>
      </c>
      <c r="B399" s="1" t="s">
        <v>113</v>
      </c>
      <c r="C399" s="1" t="s">
        <v>2782</v>
      </c>
      <c r="D399" s="11" t="s">
        <v>278</v>
      </c>
      <c r="E399" s="35" t="s">
        <v>822</v>
      </c>
      <c r="F399" s="66" t="s">
        <v>878</v>
      </c>
      <c r="G399" s="24" t="s">
        <v>2806</v>
      </c>
      <c r="H399" s="15" t="s">
        <v>2789</v>
      </c>
      <c r="I399" s="16">
        <v>40</v>
      </c>
      <c r="J399" s="16" t="str">
        <f t="shared" si="20"/>
        <v>Middle Age</v>
      </c>
      <c r="K399" s="25">
        <v>5</v>
      </c>
      <c r="L399" s="42">
        <v>2280</v>
      </c>
      <c r="M399" s="15">
        <f>790-70</f>
        <v>720</v>
      </c>
      <c r="N399" s="39">
        <f t="shared" si="18"/>
        <v>11400</v>
      </c>
      <c r="O399" s="39">
        <f t="shared" si="19"/>
        <v>7800</v>
      </c>
      <c r="P399" s="24" t="s">
        <v>2029</v>
      </c>
      <c r="Q399" s="24" t="s">
        <v>2016</v>
      </c>
      <c r="R399" s="1" t="s">
        <v>2013</v>
      </c>
      <c r="S399" s="15" t="s">
        <v>2082</v>
      </c>
      <c r="T399" s="15" t="s">
        <v>2442</v>
      </c>
      <c r="U399" s="25" t="s">
        <v>2086</v>
      </c>
      <c r="V399" s="25" t="s">
        <v>2436</v>
      </c>
      <c r="W399" s="80">
        <v>45156</v>
      </c>
      <c r="X399" s="21" t="s">
        <v>2819</v>
      </c>
    </row>
    <row r="400" spans="1:24" x14ac:dyDescent="0.2">
      <c r="A400" s="1">
        <v>398</v>
      </c>
      <c r="B400" s="1" t="s">
        <v>115</v>
      </c>
      <c r="C400" s="1" t="s">
        <v>2782</v>
      </c>
      <c r="D400" s="11" t="s">
        <v>114</v>
      </c>
      <c r="E400" s="35" t="s">
        <v>817</v>
      </c>
      <c r="F400" s="67" t="s">
        <v>887</v>
      </c>
      <c r="G400" s="24" t="s">
        <v>2808</v>
      </c>
      <c r="H400" s="15" t="s">
        <v>2788</v>
      </c>
      <c r="I400" s="16">
        <v>21</v>
      </c>
      <c r="J400" s="16" t="str">
        <f t="shared" si="20"/>
        <v>Young</v>
      </c>
      <c r="K400" s="25">
        <v>2</v>
      </c>
      <c r="L400" s="42">
        <v>1760</v>
      </c>
      <c r="M400" s="15">
        <f>550+90-70</f>
        <v>570</v>
      </c>
      <c r="N400" s="39">
        <f t="shared" si="18"/>
        <v>3520</v>
      </c>
      <c r="O400" s="39">
        <f t="shared" si="19"/>
        <v>2380</v>
      </c>
      <c r="P400" s="24" t="s">
        <v>2044</v>
      </c>
      <c r="Q400" s="24" t="s">
        <v>2020</v>
      </c>
      <c r="R400" s="1" t="s">
        <v>2013</v>
      </c>
      <c r="S400" s="15" t="s">
        <v>2082</v>
      </c>
      <c r="T400" s="15" t="s">
        <v>2442</v>
      </c>
      <c r="U400" s="25" t="s">
        <v>2087</v>
      </c>
      <c r="V400" s="25" t="s">
        <v>2437</v>
      </c>
      <c r="W400" s="80">
        <v>45198</v>
      </c>
      <c r="X400" s="21" t="s">
        <v>2820</v>
      </c>
    </row>
    <row r="401" spans="1:24" x14ac:dyDescent="0.2">
      <c r="A401" s="1">
        <v>399</v>
      </c>
      <c r="B401" s="1" t="s">
        <v>117</v>
      </c>
      <c r="C401" s="1" t="s">
        <v>2782</v>
      </c>
      <c r="D401" s="8" t="s">
        <v>116</v>
      </c>
      <c r="E401" s="15" t="s">
        <v>863</v>
      </c>
      <c r="F401" s="66" t="s">
        <v>888</v>
      </c>
      <c r="G401" s="24" t="s">
        <v>2810</v>
      </c>
      <c r="H401" s="15" t="s">
        <v>2788</v>
      </c>
      <c r="I401" s="16">
        <v>59</v>
      </c>
      <c r="J401" s="16" t="str">
        <f t="shared" si="20"/>
        <v>Old</v>
      </c>
      <c r="K401" s="25">
        <v>3</v>
      </c>
      <c r="L401" s="42">
        <v>3030</v>
      </c>
      <c r="M401" s="15">
        <f>920+50-70</f>
        <v>900</v>
      </c>
      <c r="N401" s="39">
        <f t="shared" si="18"/>
        <v>9090</v>
      </c>
      <c r="O401" s="39">
        <f t="shared" si="19"/>
        <v>6390</v>
      </c>
      <c r="P401" s="24" t="s">
        <v>2052</v>
      </c>
      <c r="Q401" s="15" t="s">
        <v>2016</v>
      </c>
      <c r="R401" s="1" t="s">
        <v>2013</v>
      </c>
      <c r="S401" s="15" t="s">
        <v>2082</v>
      </c>
      <c r="T401" s="15" t="s">
        <v>2442</v>
      </c>
      <c r="U401" s="25" t="s">
        <v>2087</v>
      </c>
      <c r="V401" s="25" t="s">
        <v>2435</v>
      </c>
      <c r="W401" s="80">
        <v>45113</v>
      </c>
      <c r="X401" s="21" t="s">
        <v>2813</v>
      </c>
    </row>
    <row r="402" spans="1:24" x14ac:dyDescent="0.2">
      <c r="A402" s="1">
        <v>400</v>
      </c>
      <c r="B402" s="1" t="s">
        <v>119</v>
      </c>
      <c r="C402" s="1" t="s">
        <v>2782</v>
      </c>
      <c r="D402" s="11" t="s">
        <v>118</v>
      </c>
      <c r="E402" s="15" t="s">
        <v>864</v>
      </c>
      <c r="F402" s="67" t="s">
        <v>889</v>
      </c>
      <c r="G402" s="24" t="s">
        <v>2793</v>
      </c>
      <c r="H402" s="15" t="s">
        <v>2788</v>
      </c>
      <c r="I402" s="16">
        <v>32</v>
      </c>
      <c r="J402" s="16" t="str">
        <f t="shared" si="20"/>
        <v>Young</v>
      </c>
      <c r="K402" s="25">
        <v>4</v>
      </c>
      <c r="L402" s="42">
        <v>4270</v>
      </c>
      <c r="M402" s="15">
        <f>1950+800-40</f>
        <v>2710</v>
      </c>
      <c r="N402" s="39">
        <f t="shared" si="18"/>
        <v>17080</v>
      </c>
      <c r="O402" s="39">
        <f t="shared" si="19"/>
        <v>6240</v>
      </c>
      <c r="P402" s="24" t="s">
        <v>2033</v>
      </c>
      <c r="Q402" s="24" t="s">
        <v>2016</v>
      </c>
      <c r="R402" s="1" t="s">
        <v>2013</v>
      </c>
      <c r="S402" s="15" t="s">
        <v>2082</v>
      </c>
      <c r="T402" s="15" t="s">
        <v>2442</v>
      </c>
      <c r="U402" s="25" t="s">
        <v>2087</v>
      </c>
      <c r="V402" s="25" t="s">
        <v>2436</v>
      </c>
      <c r="W402" s="80">
        <v>44959</v>
      </c>
      <c r="X402" s="21" t="s">
        <v>2817</v>
      </c>
    </row>
    <row r="403" spans="1:24" x14ac:dyDescent="0.2">
      <c r="A403" s="1">
        <v>401</v>
      </c>
      <c r="B403" s="1" t="s">
        <v>121</v>
      </c>
      <c r="C403" s="1" t="s">
        <v>2782</v>
      </c>
      <c r="D403" s="11" t="s">
        <v>120</v>
      </c>
      <c r="E403" s="15" t="s">
        <v>822</v>
      </c>
      <c r="F403" s="67" t="s">
        <v>890</v>
      </c>
      <c r="G403" s="24" t="s">
        <v>2791</v>
      </c>
      <c r="H403" s="15" t="s">
        <v>2788</v>
      </c>
      <c r="I403" s="16">
        <v>46</v>
      </c>
      <c r="J403" s="16" t="str">
        <f t="shared" si="20"/>
        <v>Middle Age</v>
      </c>
      <c r="K403" s="25">
        <v>1</v>
      </c>
      <c r="L403" s="42">
        <v>1880</v>
      </c>
      <c r="M403" s="15">
        <f>680-40</f>
        <v>640</v>
      </c>
      <c r="N403" s="39">
        <f t="shared" si="18"/>
        <v>1880</v>
      </c>
      <c r="O403" s="39">
        <f t="shared" si="19"/>
        <v>1240</v>
      </c>
      <c r="P403" s="24" t="s">
        <v>2044</v>
      </c>
      <c r="Q403" s="24" t="s">
        <v>2020</v>
      </c>
      <c r="R403" s="1" t="s">
        <v>2013</v>
      </c>
      <c r="S403" s="15" t="s">
        <v>2082</v>
      </c>
      <c r="T403" s="15" t="s">
        <v>2442</v>
      </c>
      <c r="U403" s="25" t="s">
        <v>2088</v>
      </c>
      <c r="V403" s="25" t="s">
        <v>2434</v>
      </c>
      <c r="W403" s="80">
        <v>44937</v>
      </c>
      <c r="X403" s="21" t="s">
        <v>2818</v>
      </c>
    </row>
    <row r="404" spans="1:24" x14ac:dyDescent="0.2">
      <c r="A404" s="1">
        <v>402</v>
      </c>
      <c r="B404" s="1" t="s">
        <v>123</v>
      </c>
      <c r="C404" s="1" t="s">
        <v>2782</v>
      </c>
      <c r="D404" s="11" t="s">
        <v>122</v>
      </c>
      <c r="E404" s="15" t="s">
        <v>823</v>
      </c>
      <c r="F404" s="66" t="s">
        <v>891</v>
      </c>
      <c r="G404" s="24" t="s">
        <v>2795</v>
      </c>
      <c r="H404" s="15" t="s">
        <v>2788</v>
      </c>
      <c r="I404" s="16">
        <v>54</v>
      </c>
      <c r="J404" s="16" t="str">
        <f t="shared" si="20"/>
        <v>Old</v>
      </c>
      <c r="K404" s="25">
        <v>5</v>
      </c>
      <c r="L404" s="42">
        <v>3250</v>
      </c>
      <c r="M404" s="15">
        <f>1550+170-30</f>
        <v>1690</v>
      </c>
      <c r="N404" s="39">
        <f t="shared" si="18"/>
        <v>16250</v>
      </c>
      <c r="O404" s="39">
        <f t="shared" si="19"/>
        <v>7800</v>
      </c>
      <c r="P404" s="24" t="s">
        <v>2053</v>
      </c>
      <c r="Q404" s="24" t="s">
        <v>2014</v>
      </c>
      <c r="R404" s="1" t="s">
        <v>2013</v>
      </c>
      <c r="S404" s="15" t="s">
        <v>2082</v>
      </c>
      <c r="T404" s="15" t="s">
        <v>2442</v>
      </c>
      <c r="U404" s="25" t="s">
        <v>2083</v>
      </c>
      <c r="V404" s="25" t="s">
        <v>2437</v>
      </c>
      <c r="W404" s="80">
        <v>45189</v>
      </c>
      <c r="X404" s="21" t="s">
        <v>2820</v>
      </c>
    </row>
    <row r="405" spans="1:24" x14ac:dyDescent="0.2">
      <c r="A405" s="1">
        <v>403</v>
      </c>
      <c r="B405" s="1" t="s">
        <v>125</v>
      </c>
      <c r="C405" s="1" t="s">
        <v>2782</v>
      </c>
      <c r="D405" s="11" t="s">
        <v>124</v>
      </c>
      <c r="E405" s="15" t="s">
        <v>828</v>
      </c>
      <c r="F405" s="67" t="s">
        <v>892</v>
      </c>
      <c r="G405" s="24" t="s">
        <v>2797</v>
      </c>
      <c r="H405" s="15" t="s">
        <v>2789</v>
      </c>
      <c r="I405" s="16">
        <v>25</v>
      </c>
      <c r="J405" s="16" t="str">
        <f t="shared" si="20"/>
        <v>Young</v>
      </c>
      <c r="K405" s="25">
        <v>3</v>
      </c>
      <c r="L405" s="42">
        <v>7500</v>
      </c>
      <c r="M405" s="15">
        <f>3860+600-30</f>
        <v>4430</v>
      </c>
      <c r="N405" s="39">
        <f t="shared" si="18"/>
        <v>22500</v>
      </c>
      <c r="O405" s="39">
        <f t="shared" si="19"/>
        <v>9210</v>
      </c>
      <c r="P405" s="24" t="s">
        <v>2047</v>
      </c>
      <c r="Q405" s="24" t="s">
        <v>2024</v>
      </c>
      <c r="R405" s="1" t="s">
        <v>2013</v>
      </c>
      <c r="S405" s="15" t="s">
        <v>2082</v>
      </c>
      <c r="T405" s="15" t="s">
        <v>2442</v>
      </c>
      <c r="U405" s="25" t="s">
        <v>2084</v>
      </c>
      <c r="V405" s="25" t="s">
        <v>2435</v>
      </c>
      <c r="W405" s="80">
        <v>45241</v>
      </c>
      <c r="X405" s="21" t="s">
        <v>2823</v>
      </c>
    </row>
    <row r="406" spans="1:24" x14ac:dyDescent="0.2">
      <c r="A406" s="1">
        <v>404</v>
      </c>
      <c r="B406" s="1" t="s">
        <v>79</v>
      </c>
      <c r="C406" s="1" t="s">
        <v>2782</v>
      </c>
      <c r="D406" s="1" t="s">
        <v>2538</v>
      </c>
      <c r="E406" s="15" t="s">
        <v>863</v>
      </c>
      <c r="F406" s="67" t="s">
        <v>876</v>
      </c>
      <c r="G406" s="24" t="s">
        <v>2799</v>
      </c>
      <c r="H406" s="15" t="s">
        <v>2788</v>
      </c>
      <c r="I406" s="16">
        <v>43</v>
      </c>
      <c r="J406" s="16" t="str">
        <f t="shared" si="20"/>
        <v>Middle Age</v>
      </c>
      <c r="K406" s="25">
        <v>5</v>
      </c>
      <c r="L406" s="42">
        <v>2450</v>
      </c>
      <c r="M406" s="15">
        <f>1050+100-70</f>
        <v>1080</v>
      </c>
      <c r="N406" s="39">
        <f t="shared" si="18"/>
        <v>12250</v>
      </c>
      <c r="O406" s="39">
        <f t="shared" si="19"/>
        <v>6850</v>
      </c>
      <c r="P406" s="24" t="s">
        <v>2034</v>
      </c>
      <c r="Q406" s="24" t="s">
        <v>2016</v>
      </c>
      <c r="R406" s="1" t="s">
        <v>2013</v>
      </c>
      <c r="S406" s="15" t="s">
        <v>2082</v>
      </c>
      <c r="T406" s="15" t="s">
        <v>2442</v>
      </c>
      <c r="U406" s="25" t="s">
        <v>2090</v>
      </c>
      <c r="V406" s="25" t="s">
        <v>2434</v>
      </c>
      <c r="W406" s="80">
        <v>45204</v>
      </c>
      <c r="X406" s="21" t="s">
        <v>2821</v>
      </c>
    </row>
    <row r="407" spans="1:24" x14ac:dyDescent="0.2">
      <c r="A407" s="1">
        <v>405</v>
      </c>
      <c r="B407" s="1" t="s">
        <v>13</v>
      </c>
      <c r="C407" s="1" t="s">
        <v>2781</v>
      </c>
      <c r="D407" s="1" t="s">
        <v>869</v>
      </c>
      <c r="E407" s="15" t="s">
        <v>863</v>
      </c>
      <c r="F407" s="67" t="s">
        <v>885</v>
      </c>
      <c r="G407" s="24" t="s">
        <v>2801</v>
      </c>
      <c r="H407" s="15" t="s">
        <v>2789</v>
      </c>
      <c r="I407" s="16">
        <v>58</v>
      </c>
      <c r="J407" s="16" t="str">
        <f t="shared" si="20"/>
        <v>Old</v>
      </c>
      <c r="K407" s="25">
        <v>2</v>
      </c>
      <c r="L407" s="42">
        <v>990</v>
      </c>
      <c r="M407" s="15">
        <v>500</v>
      </c>
      <c r="N407" s="39">
        <f t="shared" si="18"/>
        <v>1980</v>
      </c>
      <c r="O407" s="39">
        <f t="shared" si="19"/>
        <v>980</v>
      </c>
      <c r="P407" s="24" t="s">
        <v>2036</v>
      </c>
      <c r="Q407" s="24" t="s">
        <v>2014</v>
      </c>
      <c r="R407" s="1" t="s">
        <v>2013</v>
      </c>
      <c r="S407" s="15" t="s">
        <v>2082</v>
      </c>
      <c r="T407" s="15" t="s">
        <v>2442</v>
      </c>
      <c r="U407" s="25" t="s">
        <v>2088</v>
      </c>
      <c r="V407" s="25" t="s">
        <v>2436</v>
      </c>
      <c r="W407" s="80">
        <v>45269</v>
      </c>
      <c r="X407" s="21" t="s">
        <v>2822</v>
      </c>
    </row>
    <row r="408" spans="1:24" x14ac:dyDescent="0.2">
      <c r="A408" s="1">
        <v>406</v>
      </c>
      <c r="B408" s="1" t="s">
        <v>127</v>
      </c>
      <c r="C408" s="1" t="s">
        <v>2782</v>
      </c>
      <c r="D408" s="11" t="s">
        <v>126</v>
      </c>
      <c r="E408" s="15" t="s">
        <v>822</v>
      </c>
      <c r="F408" s="67" t="s">
        <v>893</v>
      </c>
      <c r="G408" s="24" t="s">
        <v>2803</v>
      </c>
      <c r="H408" s="15" t="s">
        <v>2789</v>
      </c>
      <c r="I408" s="16">
        <v>20</v>
      </c>
      <c r="J408" s="16" t="str">
        <f t="shared" si="20"/>
        <v>Young</v>
      </c>
      <c r="K408" s="25">
        <v>1</v>
      </c>
      <c r="L408" s="42">
        <v>2920</v>
      </c>
      <c r="M408" s="15">
        <f>1030+240</f>
        <v>1270</v>
      </c>
      <c r="N408" s="39">
        <f t="shared" si="18"/>
        <v>2920</v>
      </c>
      <c r="O408" s="39">
        <f t="shared" si="19"/>
        <v>1650</v>
      </c>
      <c r="P408" s="24" t="s">
        <v>2036</v>
      </c>
      <c r="Q408" s="24" t="s">
        <v>2014</v>
      </c>
      <c r="R408" s="1" t="s">
        <v>2013</v>
      </c>
      <c r="S408" s="15" t="s">
        <v>2082</v>
      </c>
      <c r="T408" s="15" t="s">
        <v>2442</v>
      </c>
      <c r="U408" s="25" t="s">
        <v>2083</v>
      </c>
      <c r="V408" s="25" t="s">
        <v>2437</v>
      </c>
      <c r="W408" s="80">
        <v>45052</v>
      </c>
      <c r="X408" s="21" t="s">
        <v>2786</v>
      </c>
    </row>
    <row r="409" spans="1:24" x14ac:dyDescent="0.2">
      <c r="A409" s="1">
        <v>407</v>
      </c>
      <c r="B409" s="1" t="s">
        <v>129</v>
      </c>
      <c r="C409" s="1" t="s">
        <v>2782</v>
      </c>
      <c r="D409" s="11" t="s">
        <v>128</v>
      </c>
      <c r="E409" s="15" t="s">
        <v>864</v>
      </c>
      <c r="F409" s="67" t="s">
        <v>894</v>
      </c>
      <c r="G409" s="24" t="s">
        <v>2805</v>
      </c>
      <c r="H409" s="15" t="s">
        <v>2789</v>
      </c>
      <c r="I409" s="16">
        <v>49</v>
      </c>
      <c r="J409" s="16" t="str">
        <f t="shared" si="20"/>
        <v>Middle Age</v>
      </c>
      <c r="K409" s="25">
        <v>3</v>
      </c>
      <c r="L409" s="42">
        <v>2400</v>
      </c>
      <c r="M409" s="15">
        <f>900+100</f>
        <v>1000</v>
      </c>
      <c r="N409" s="39">
        <f t="shared" si="18"/>
        <v>7200</v>
      </c>
      <c r="O409" s="39">
        <f t="shared" si="19"/>
        <v>4200</v>
      </c>
      <c r="P409" s="24" t="s">
        <v>2047</v>
      </c>
      <c r="Q409" s="24" t="s">
        <v>2024</v>
      </c>
      <c r="R409" s="1" t="s">
        <v>2013</v>
      </c>
      <c r="S409" s="15" t="s">
        <v>2082</v>
      </c>
      <c r="T409" s="15" t="s">
        <v>2442</v>
      </c>
      <c r="U409" s="25" t="s">
        <v>2085</v>
      </c>
      <c r="V409" s="25" t="s">
        <v>2435</v>
      </c>
      <c r="W409" s="80">
        <v>45236</v>
      </c>
      <c r="X409" s="21" t="s">
        <v>2823</v>
      </c>
    </row>
    <row r="410" spans="1:24" x14ac:dyDescent="0.2">
      <c r="A410" s="1">
        <v>408</v>
      </c>
      <c r="B410" s="1" t="s">
        <v>131</v>
      </c>
      <c r="C410" s="1" t="s">
        <v>2782</v>
      </c>
      <c r="D410" s="1" t="s">
        <v>130</v>
      </c>
      <c r="E410" s="15" t="s">
        <v>822</v>
      </c>
      <c r="F410" s="66" t="s">
        <v>25</v>
      </c>
      <c r="G410" s="24" t="s">
        <v>2807</v>
      </c>
      <c r="H410" s="15" t="s">
        <v>2789</v>
      </c>
      <c r="I410" s="16">
        <v>34</v>
      </c>
      <c r="J410" s="16" t="str">
        <f t="shared" si="20"/>
        <v>Young</v>
      </c>
      <c r="K410" s="25">
        <v>4</v>
      </c>
      <c r="L410" s="42">
        <v>3620</v>
      </c>
      <c r="M410" s="15">
        <v>850</v>
      </c>
      <c r="N410" s="39">
        <f t="shared" si="18"/>
        <v>14480</v>
      </c>
      <c r="O410" s="39">
        <f t="shared" si="19"/>
        <v>11080</v>
      </c>
      <c r="P410" s="24" t="s">
        <v>2021</v>
      </c>
      <c r="Q410" s="24" t="s">
        <v>2020</v>
      </c>
      <c r="R410" s="1" t="s">
        <v>2013</v>
      </c>
      <c r="S410" s="15" t="s">
        <v>2082</v>
      </c>
      <c r="T410" s="15" t="s">
        <v>2442</v>
      </c>
      <c r="U410" s="25" t="s">
        <v>2085</v>
      </c>
      <c r="V410" s="25" t="s">
        <v>2436</v>
      </c>
      <c r="W410" s="80">
        <v>45053</v>
      </c>
      <c r="X410" s="21" t="s">
        <v>2786</v>
      </c>
    </row>
    <row r="411" spans="1:24" x14ac:dyDescent="0.2">
      <c r="A411" s="1">
        <v>409</v>
      </c>
      <c r="B411" s="1" t="s">
        <v>132</v>
      </c>
      <c r="C411" s="1" t="s">
        <v>2782</v>
      </c>
      <c r="D411" s="11" t="s">
        <v>2539</v>
      </c>
      <c r="E411" s="15" t="s">
        <v>828</v>
      </c>
      <c r="F411" s="67" t="s">
        <v>915</v>
      </c>
      <c r="G411" s="24" t="s">
        <v>2809</v>
      </c>
      <c r="H411" s="15" t="s">
        <v>2788</v>
      </c>
      <c r="I411" s="16">
        <v>27</v>
      </c>
      <c r="J411" s="16" t="str">
        <f t="shared" si="20"/>
        <v>Young</v>
      </c>
      <c r="K411" s="25">
        <v>5</v>
      </c>
      <c r="L411" s="42">
        <v>3685</v>
      </c>
      <c r="M411" s="15">
        <f>955+100</f>
        <v>1055</v>
      </c>
      <c r="N411" s="39">
        <f t="shared" si="18"/>
        <v>18425</v>
      </c>
      <c r="O411" s="39">
        <f t="shared" si="19"/>
        <v>13150</v>
      </c>
      <c r="P411" s="24" t="s">
        <v>2050</v>
      </c>
      <c r="Q411" s="24" t="s">
        <v>2024</v>
      </c>
      <c r="R411" s="1" t="s">
        <v>2013</v>
      </c>
      <c r="S411" s="15" t="s">
        <v>2082</v>
      </c>
      <c r="T411" s="15" t="s">
        <v>2442</v>
      </c>
      <c r="U411" s="25" t="s">
        <v>2089</v>
      </c>
      <c r="V411" s="25" t="s">
        <v>2434</v>
      </c>
      <c r="W411" s="80">
        <v>44968</v>
      </c>
      <c r="X411" s="21" t="s">
        <v>2817</v>
      </c>
    </row>
    <row r="412" spans="1:24" x14ac:dyDescent="0.2">
      <c r="A412" s="1">
        <v>410</v>
      </c>
      <c r="B412" s="1" t="s">
        <v>91</v>
      </c>
      <c r="C412" s="1" t="s">
        <v>2782</v>
      </c>
      <c r="D412" s="1" t="s">
        <v>133</v>
      </c>
      <c r="E412" s="15" t="s">
        <v>864</v>
      </c>
      <c r="F412" s="66" t="s">
        <v>920</v>
      </c>
      <c r="G412" s="24" t="s">
        <v>2794</v>
      </c>
      <c r="H412" s="15" t="s">
        <v>2789</v>
      </c>
      <c r="I412" s="16">
        <v>45</v>
      </c>
      <c r="J412" s="16" t="str">
        <f t="shared" si="20"/>
        <v>Middle Age</v>
      </c>
      <c r="K412" s="25">
        <v>2</v>
      </c>
      <c r="L412" s="42">
        <v>1827</v>
      </c>
      <c r="M412" s="15">
        <f>610-70</f>
        <v>540</v>
      </c>
      <c r="N412" s="39">
        <f t="shared" si="18"/>
        <v>3654</v>
      </c>
      <c r="O412" s="39">
        <f t="shared" si="19"/>
        <v>2574</v>
      </c>
      <c r="P412" s="24" t="s">
        <v>2033</v>
      </c>
      <c r="Q412" s="24" t="s">
        <v>2016</v>
      </c>
      <c r="R412" s="1" t="s">
        <v>2013</v>
      </c>
      <c r="S412" s="15" t="s">
        <v>2082</v>
      </c>
      <c r="T412" s="15" t="s">
        <v>2442</v>
      </c>
      <c r="U412" s="25" t="s">
        <v>2089</v>
      </c>
      <c r="V412" s="25" t="s">
        <v>2437</v>
      </c>
      <c r="W412" s="80">
        <v>45288</v>
      </c>
      <c r="X412" s="21" t="s">
        <v>2822</v>
      </c>
    </row>
    <row r="413" spans="1:24" x14ac:dyDescent="0.2">
      <c r="A413" s="1">
        <v>411</v>
      </c>
      <c r="B413" s="1" t="s">
        <v>112</v>
      </c>
      <c r="C413" s="1" t="s">
        <v>2782</v>
      </c>
      <c r="D413" s="11" t="s">
        <v>111</v>
      </c>
      <c r="E413" s="15" t="s">
        <v>822</v>
      </c>
      <c r="F413" s="67" t="s">
        <v>921</v>
      </c>
      <c r="G413" s="24" t="s">
        <v>2792</v>
      </c>
      <c r="H413" s="15" t="s">
        <v>2789</v>
      </c>
      <c r="I413" s="16">
        <v>52</v>
      </c>
      <c r="J413" s="16" t="str">
        <f t="shared" si="20"/>
        <v>Old</v>
      </c>
      <c r="K413" s="25">
        <v>3</v>
      </c>
      <c r="L413" s="42">
        <v>6435</v>
      </c>
      <c r="M413" s="15">
        <v>3710</v>
      </c>
      <c r="N413" s="39">
        <f t="shared" si="18"/>
        <v>19305</v>
      </c>
      <c r="O413" s="39">
        <f t="shared" si="19"/>
        <v>8175</v>
      </c>
      <c r="P413" s="24" t="s">
        <v>2032</v>
      </c>
      <c r="Q413" s="15" t="s">
        <v>2016</v>
      </c>
      <c r="R413" s="1" t="s">
        <v>2013</v>
      </c>
      <c r="S413" s="15" t="s">
        <v>2082</v>
      </c>
      <c r="T413" s="15" t="s">
        <v>2442</v>
      </c>
      <c r="U413" s="25" t="s">
        <v>2085</v>
      </c>
      <c r="V413" s="25" t="s">
        <v>2435</v>
      </c>
      <c r="W413" s="80">
        <v>45094</v>
      </c>
      <c r="X413" s="21" t="s">
        <v>2814</v>
      </c>
    </row>
    <row r="414" spans="1:24" x14ac:dyDescent="0.2">
      <c r="A414" s="1">
        <v>412</v>
      </c>
      <c r="B414" s="1" t="s">
        <v>93</v>
      </c>
      <c r="C414" s="1" t="s">
        <v>2782</v>
      </c>
      <c r="D414" s="11" t="s">
        <v>111</v>
      </c>
      <c r="E414" s="15" t="s">
        <v>863</v>
      </c>
      <c r="F414" s="67" t="s">
        <v>922</v>
      </c>
      <c r="G414" s="24" t="s">
        <v>2796</v>
      </c>
      <c r="H414" s="15" t="s">
        <v>2788</v>
      </c>
      <c r="I414" s="16">
        <v>23</v>
      </c>
      <c r="J414" s="16" t="str">
        <f t="shared" si="20"/>
        <v>Young</v>
      </c>
      <c r="K414" s="25">
        <v>1</v>
      </c>
      <c r="L414" s="42">
        <v>7390</v>
      </c>
      <c r="M414" s="15">
        <f>3550+270+400-70</f>
        <v>4150</v>
      </c>
      <c r="N414" s="39">
        <f t="shared" si="18"/>
        <v>7390</v>
      </c>
      <c r="O414" s="39">
        <f t="shared" si="19"/>
        <v>3240</v>
      </c>
      <c r="P414" s="24" t="s">
        <v>2045</v>
      </c>
      <c r="Q414" s="24" t="s">
        <v>2014</v>
      </c>
      <c r="R414" s="1" t="s">
        <v>2013</v>
      </c>
      <c r="S414" s="15" t="s">
        <v>2082</v>
      </c>
      <c r="T414" s="15" t="s">
        <v>2442</v>
      </c>
      <c r="U414" s="25" t="s">
        <v>2087</v>
      </c>
      <c r="V414" s="25" t="s">
        <v>2434</v>
      </c>
      <c r="W414" s="80">
        <v>45077</v>
      </c>
      <c r="X414" s="21" t="s">
        <v>2786</v>
      </c>
    </row>
    <row r="415" spans="1:24" x14ac:dyDescent="0.2">
      <c r="A415" s="1">
        <v>412</v>
      </c>
      <c r="B415" s="1" t="s">
        <v>5</v>
      </c>
      <c r="C415" s="1" t="s">
        <v>2781</v>
      </c>
      <c r="D415" s="1" t="s">
        <v>869</v>
      </c>
      <c r="E415" s="15" t="s">
        <v>818</v>
      </c>
      <c r="F415" s="67" t="s">
        <v>923</v>
      </c>
      <c r="G415" s="24" t="s">
        <v>2798</v>
      </c>
      <c r="H415" s="15" t="s">
        <v>2788</v>
      </c>
      <c r="I415" s="16">
        <v>38</v>
      </c>
      <c r="J415" s="16" t="str">
        <f t="shared" si="20"/>
        <v>Middle Age</v>
      </c>
      <c r="K415" s="25">
        <v>2</v>
      </c>
      <c r="L415" s="42">
        <v>1190</v>
      </c>
      <c r="M415" s="15">
        <v>700</v>
      </c>
      <c r="N415" s="39">
        <f t="shared" si="18"/>
        <v>2380</v>
      </c>
      <c r="O415" s="39">
        <f t="shared" si="19"/>
        <v>980</v>
      </c>
      <c r="P415" s="24" t="s">
        <v>2022</v>
      </c>
      <c r="Q415" s="24" t="s">
        <v>2016</v>
      </c>
      <c r="R415" s="1" t="s">
        <v>2013</v>
      </c>
      <c r="S415" s="15" t="s">
        <v>2082</v>
      </c>
      <c r="T415" s="15" t="s">
        <v>2442</v>
      </c>
      <c r="U415" s="25" t="s">
        <v>2085</v>
      </c>
      <c r="V415" s="25" t="s">
        <v>2436</v>
      </c>
      <c r="W415" s="80">
        <v>44951</v>
      </c>
      <c r="X415" s="21" t="s">
        <v>2818</v>
      </c>
    </row>
    <row r="416" spans="1:24" x14ac:dyDescent="0.2">
      <c r="A416" s="1">
        <v>413</v>
      </c>
      <c r="B416" s="1" t="s">
        <v>134</v>
      </c>
      <c r="C416" s="1" t="s">
        <v>2782</v>
      </c>
      <c r="D416" s="11" t="s">
        <v>2540</v>
      </c>
      <c r="E416" s="15" t="s">
        <v>863</v>
      </c>
      <c r="F416" s="67" t="s">
        <v>924</v>
      </c>
      <c r="G416" s="24" t="s">
        <v>2800</v>
      </c>
      <c r="H416" s="15" t="s">
        <v>2789</v>
      </c>
      <c r="I416" s="16">
        <v>41</v>
      </c>
      <c r="J416" s="16" t="str">
        <f t="shared" si="20"/>
        <v>Middle Age</v>
      </c>
      <c r="K416" s="25">
        <v>4</v>
      </c>
      <c r="L416" s="42">
        <v>1700</v>
      </c>
      <c r="M416" s="15">
        <f>650+100+60-70</f>
        <v>740</v>
      </c>
      <c r="N416" s="39">
        <f t="shared" si="18"/>
        <v>6800</v>
      </c>
      <c r="O416" s="39">
        <f t="shared" si="19"/>
        <v>3840</v>
      </c>
      <c r="P416" s="24" t="s">
        <v>2055</v>
      </c>
      <c r="Q416" s="24" t="s">
        <v>2014</v>
      </c>
      <c r="R416" s="1" t="s">
        <v>2013</v>
      </c>
      <c r="S416" s="15" t="s">
        <v>2082</v>
      </c>
      <c r="T416" s="15" t="s">
        <v>2442</v>
      </c>
      <c r="U416" s="25" t="s">
        <v>2087</v>
      </c>
      <c r="V416" s="25" t="s">
        <v>2437</v>
      </c>
      <c r="W416" s="80">
        <v>44953</v>
      </c>
      <c r="X416" s="21" t="s">
        <v>2818</v>
      </c>
    </row>
    <row r="417" spans="1:24" x14ac:dyDescent="0.2">
      <c r="A417" s="1">
        <v>414</v>
      </c>
      <c r="B417" s="1" t="s">
        <v>136</v>
      </c>
      <c r="C417" s="1" t="s">
        <v>2782</v>
      </c>
      <c r="D417" s="1" t="s">
        <v>135</v>
      </c>
      <c r="E417" s="15" t="s">
        <v>864</v>
      </c>
      <c r="F417" s="67" t="s">
        <v>925</v>
      </c>
      <c r="G417" s="24" t="s">
        <v>2802</v>
      </c>
      <c r="H417" s="15" t="s">
        <v>2788</v>
      </c>
      <c r="I417" s="16">
        <v>29</v>
      </c>
      <c r="J417" s="16" t="str">
        <f t="shared" si="20"/>
        <v>Young</v>
      </c>
      <c r="K417" s="25">
        <v>5</v>
      </c>
      <c r="L417" s="42">
        <v>2030</v>
      </c>
      <c r="M417" s="15">
        <v>670</v>
      </c>
      <c r="N417" s="39">
        <f t="shared" si="18"/>
        <v>10150</v>
      </c>
      <c r="O417" s="39">
        <f t="shared" si="19"/>
        <v>6800</v>
      </c>
      <c r="P417" s="24" t="s">
        <v>2033</v>
      </c>
      <c r="Q417" s="24" t="s">
        <v>2016</v>
      </c>
      <c r="R417" s="1" t="s">
        <v>2013</v>
      </c>
      <c r="S417" s="15" t="s">
        <v>2082</v>
      </c>
      <c r="T417" s="15" t="s">
        <v>2442</v>
      </c>
      <c r="U417" s="25" t="s">
        <v>2086</v>
      </c>
      <c r="V417" s="25" t="s">
        <v>2435</v>
      </c>
      <c r="W417" s="80">
        <v>45139</v>
      </c>
      <c r="X417" s="21" t="s">
        <v>2819</v>
      </c>
    </row>
    <row r="418" spans="1:24" x14ac:dyDescent="0.2">
      <c r="A418" s="1">
        <v>415</v>
      </c>
      <c r="B418" s="1" t="s">
        <v>12</v>
      </c>
      <c r="C418" s="1" t="s">
        <v>2781</v>
      </c>
      <c r="D418" s="1" t="s">
        <v>869</v>
      </c>
      <c r="E418" s="15" t="s">
        <v>817</v>
      </c>
      <c r="F418" s="69" t="s">
        <v>904</v>
      </c>
      <c r="G418" s="24" t="s">
        <v>2804</v>
      </c>
      <c r="H418" s="15" t="s">
        <v>2788</v>
      </c>
      <c r="I418" s="16">
        <v>60</v>
      </c>
      <c r="J418" s="16" t="str">
        <f t="shared" si="20"/>
        <v>Old</v>
      </c>
      <c r="K418" s="25">
        <v>2</v>
      </c>
      <c r="L418" s="42">
        <v>1240</v>
      </c>
      <c r="M418" s="15">
        <v>700</v>
      </c>
      <c r="N418" s="39">
        <f t="shared" si="18"/>
        <v>2480</v>
      </c>
      <c r="O418" s="39">
        <f t="shared" si="19"/>
        <v>1080</v>
      </c>
      <c r="P418" s="24" t="s">
        <v>2038</v>
      </c>
      <c r="Q418" s="15" t="s">
        <v>2016</v>
      </c>
      <c r="R418" s="1" t="s">
        <v>2013</v>
      </c>
      <c r="S418" s="15" t="s">
        <v>2082</v>
      </c>
      <c r="T418" s="15" t="s">
        <v>2442</v>
      </c>
      <c r="U418" s="25" t="s">
        <v>2088</v>
      </c>
      <c r="V418" s="25" t="s">
        <v>2436</v>
      </c>
      <c r="W418" s="80">
        <v>45134</v>
      </c>
      <c r="X418" s="21" t="s">
        <v>2813</v>
      </c>
    </row>
    <row r="419" spans="1:24" x14ac:dyDescent="0.2">
      <c r="A419" s="1">
        <v>416</v>
      </c>
      <c r="B419" s="1" t="s">
        <v>137</v>
      </c>
      <c r="C419" s="1" t="s">
        <v>2782</v>
      </c>
      <c r="D419" s="11" t="s">
        <v>2541</v>
      </c>
      <c r="E419" s="15" t="s">
        <v>863</v>
      </c>
      <c r="F419" s="66" t="s">
        <v>926</v>
      </c>
      <c r="G419" s="24" t="s">
        <v>2806</v>
      </c>
      <c r="H419" s="15" t="s">
        <v>2788</v>
      </c>
      <c r="I419" s="16">
        <v>33</v>
      </c>
      <c r="J419" s="16" t="str">
        <f t="shared" si="20"/>
        <v>Young</v>
      </c>
      <c r="K419" s="25">
        <v>3</v>
      </c>
      <c r="L419" s="42">
        <v>3460</v>
      </c>
      <c r="M419" s="15">
        <f>1690+250</f>
        <v>1940</v>
      </c>
      <c r="N419" s="39">
        <f t="shared" si="18"/>
        <v>10380</v>
      </c>
      <c r="O419" s="39">
        <f t="shared" si="19"/>
        <v>4560</v>
      </c>
      <c r="P419" s="24" t="s">
        <v>2027</v>
      </c>
      <c r="Q419" s="24" t="s">
        <v>2014</v>
      </c>
      <c r="R419" s="1" t="s">
        <v>2013</v>
      </c>
      <c r="S419" s="15" t="s">
        <v>2082</v>
      </c>
      <c r="T419" s="15" t="s">
        <v>2442</v>
      </c>
      <c r="U419" s="25" t="s">
        <v>2085</v>
      </c>
      <c r="V419" s="25" t="s">
        <v>2434</v>
      </c>
      <c r="W419" s="80">
        <v>45162</v>
      </c>
      <c r="X419" s="21" t="s">
        <v>2819</v>
      </c>
    </row>
    <row r="420" spans="1:24" x14ac:dyDescent="0.2">
      <c r="A420" s="1">
        <v>417</v>
      </c>
      <c r="B420" s="1" t="s">
        <v>138</v>
      </c>
      <c r="C420" s="1" t="s">
        <v>2782</v>
      </c>
      <c r="D420" s="11" t="s">
        <v>2542</v>
      </c>
      <c r="E420" s="15" t="s">
        <v>823</v>
      </c>
      <c r="F420" s="66" t="s">
        <v>927</v>
      </c>
      <c r="G420" s="24" t="s">
        <v>2808</v>
      </c>
      <c r="H420" s="15" t="s">
        <v>2789</v>
      </c>
      <c r="I420" s="16">
        <v>22</v>
      </c>
      <c r="J420" s="16" t="str">
        <f t="shared" si="20"/>
        <v>Young</v>
      </c>
      <c r="K420" s="25">
        <v>1</v>
      </c>
      <c r="L420" s="42">
        <v>1700</v>
      </c>
      <c r="M420" s="15">
        <v>875</v>
      </c>
      <c r="N420" s="39">
        <f t="shared" si="18"/>
        <v>1700</v>
      </c>
      <c r="O420" s="39">
        <f t="shared" si="19"/>
        <v>825</v>
      </c>
      <c r="P420" s="24" t="s">
        <v>2057</v>
      </c>
      <c r="Q420" s="24" t="s">
        <v>2020</v>
      </c>
      <c r="R420" s="1" t="s">
        <v>2013</v>
      </c>
      <c r="S420" s="15" t="s">
        <v>2082</v>
      </c>
      <c r="T420" s="15" t="s">
        <v>2442</v>
      </c>
      <c r="U420" s="25" t="s">
        <v>2089</v>
      </c>
      <c r="V420" s="25" t="s">
        <v>2437</v>
      </c>
      <c r="W420" s="80">
        <v>45232</v>
      </c>
      <c r="X420" s="21" t="s">
        <v>2823</v>
      </c>
    </row>
    <row r="421" spans="1:24" x14ac:dyDescent="0.2">
      <c r="A421" s="1">
        <v>418</v>
      </c>
      <c r="B421" s="1" t="s">
        <v>139</v>
      </c>
      <c r="C421" s="1" t="s">
        <v>2782</v>
      </c>
      <c r="D421" s="11" t="s">
        <v>2543</v>
      </c>
      <c r="E421" s="15" t="s">
        <v>828</v>
      </c>
      <c r="F421" s="66" t="s">
        <v>877</v>
      </c>
      <c r="G421" s="24" t="s">
        <v>2810</v>
      </c>
      <c r="H421" s="15" t="s">
        <v>2789</v>
      </c>
      <c r="I421" s="16">
        <v>47</v>
      </c>
      <c r="J421" s="16" t="str">
        <f t="shared" si="20"/>
        <v>Middle Age</v>
      </c>
      <c r="K421" s="25">
        <v>4</v>
      </c>
      <c r="L421" s="42">
        <v>1650</v>
      </c>
      <c r="M421" s="15">
        <v>875</v>
      </c>
      <c r="N421" s="39">
        <f t="shared" si="18"/>
        <v>6600</v>
      </c>
      <c r="O421" s="39">
        <f t="shared" si="19"/>
        <v>3100</v>
      </c>
      <c r="P421" s="24" t="s">
        <v>2061</v>
      </c>
      <c r="Q421" s="24" t="s">
        <v>2014</v>
      </c>
      <c r="R421" s="1" t="s">
        <v>2013</v>
      </c>
      <c r="S421" s="15" t="s">
        <v>2082</v>
      </c>
      <c r="T421" s="15" t="s">
        <v>2442</v>
      </c>
      <c r="U421" s="25" t="s">
        <v>2087</v>
      </c>
      <c r="V421" s="25" t="s">
        <v>2435</v>
      </c>
      <c r="W421" s="80">
        <v>45210</v>
      </c>
      <c r="X421" s="21" t="s">
        <v>2821</v>
      </c>
    </row>
    <row r="422" spans="1:24" x14ac:dyDescent="0.2">
      <c r="A422" s="1">
        <v>419</v>
      </c>
      <c r="B422" s="1" t="s">
        <v>140</v>
      </c>
      <c r="C422" s="1" t="s">
        <v>2782</v>
      </c>
      <c r="D422" s="11" t="s">
        <v>2544</v>
      </c>
      <c r="E422" s="15" t="s">
        <v>822</v>
      </c>
      <c r="F422" s="66" t="s">
        <v>878</v>
      </c>
      <c r="G422" s="24" t="s">
        <v>2793</v>
      </c>
      <c r="H422" s="15" t="s">
        <v>2789</v>
      </c>
      <c r="I422" s="16">
        <v>55</v>
      </c>
      <c r="J422" s="16" t="str">
        <f t="shared" si="20"/>
        <v>Old</v>
      </c>
      <c r="K422" s="25">
        <v>5</v>
      </c>
      <c r="L422" s="42">
        <v>5300</v>
      </c>
      <c r="M422" s="15">
        <f>2300+300</f>
        <v>2600</v>
      </c>
      <c r="N422" s="39">
        <f t="shared" si="18"/>
        <v>26500</v>
      </c>
      <c r="O422" s="39">
        <f t="shared" si="19"/>
        <v>13500</v>
      </c>
      <c r="P422" s="24" t="s">
        <v>2036</v>
      </c>
      <c r="Q422" s="24" t="s">
        <v>2014</v>
      </c>
      <c r="R422" s="1" t="s">
        <v>2013</v>
      </c>
      <c r="S422" s="15" t="s">
        <v>2082</v>
      </c>
      <c r="T422" s="15" t="s">
        <v>2442</v>
      </c>
      <c r="U422" s="25" t="s">
        <v>2090</v>
      </c>
      <c r="V422" s="25" t="s">
        <v>2434</v>
      </c>
      <c r="W422" s="80">
        <v>45125</v>
      </c>
      <c r="X422" s="21" t="s">
        <v>2813</v>
      </c>
    </row>
    <row r="423" spans="1:24" x14ac:dyDescent="0.2">
      <c r="A423" s="1">
        <v>420</v>
      </c>
      <c r="B423" s="1" t="s">
        <v>141</v>
      </c>
      <c r="C423" s="1" t="s">
        <v>2782</v>
      </c>
      <c r="D423" s="11" t="s">
        <v>2544</v>
      </c>
      <c r="E423" s="15" t="s">
        <v>822</v>
      </c>
      <c r="F423" s="66" t="s">
        <v>879</v>
      </c>
      <c r="G423" s="24" t="s">
        <v>2791</v>
      </c>
      <c r="H423" s="15" t="s">
        <v>2788</v>
      </c>
      <c r="I423" s="16">
        <v>36</v>
      </c>
      <c r="J423" s="16" t="str">
        <f t="shared" si="20"/>
        <v>Middle Age</v>
      </c>
      <c r="K423" s="25">
        <v>3</v>
      </c>
      <c r="L423" s="42">
        <v>5300</v>
      </c>
      <c r="M423" s="15">
        <f>2300+300</f>
        <v>2600</v>
      </c>
      <c r="N423" s="39">
        <f t="shared" si="18"/>
        <v>15900</v>
      </c>
      <c r="O423" s="39">
        <f t="shared" si="19"/>
        <v>8100</v>
      </c>
      <c r="P423" s="24" t="s">
        <v>2035</v>
      </c>
      <c r="Q423" s="24" t="s">
        <v>2020</v>
      </c>
      <c r="R423" s="1" t="s">
        <v>2013</v>
      </c>
      <c r="S423" s="15" t="s">
        <v>2082</v>
      </c>
      <c r="T423" s="15" t="s">
        <v>2442</v>
      </c>
      <c r="U423" s="25" t="s">
        <v>2089</v>
      </c>
      <c r="V423" s="25" t="s">
        <v>2436</v>
      </c>
      <c r="W423" s="80">
        <v>45097</v>
      </c>
      <c r="X423" s="21" t="s">
        <v>2814</v>
      </c>
    </row>
    <row r="424" spans="1:24" x14ac:dyDescent="0.2">
      <c r="A424" s="1">
        <v>421</v>
      </c>
      <c r="B424" s="1" t="s">
        <v>61</v>
      </c>
      <c r="C424" s="1" t="s">
        <v>2782</v>
      </c>
      <c r="D424" s="11" t="s">
        <v>2545</v>
      </c>
      <c r="E424" s="15" t="s">
        <v>863</v>
      </c>
      <c r="F424" s="66" t="s">
        <v>880</v>
      </c>
      <c r="G424" s="24" t="s">
        <v>2795</v>
      </c>
      <c r="H424" s="15" t="s">
        <v>2789</v>
      </c>
      <c r="I424" s="16">
        <v>28</v>
      </c>
      <c r="J424" s="16" t="str">
        <f t="shared" si="20"/>
        <v>Young</v>
      </c>
      <c r="K424" s="25">
        <v>2</v>
      </c>
      <c r="L424" s="42">
        <v>5000</v>
      </c>
      <c r="M424" s="15">
        <f>2000+500+550+300</f>
        <v>3350</v>
      </c>
      <c r="N424" s="39">
        <f t="shared" si="18"/>
        <v>10000</v>
      </c>
      <c r="O424" s="39">
        <f t="shared" si="19"/>
        <v>3300</v>
      </c>
      <c r="P424" s="24" t="s">
        <v>2061</v>
      </c>
      <c r="Q424" s="24" t="s">
        <v>2014</v>
      </c>
      <c r="R424" s="1" t="s">
        <v>2013</v>
      </c>
      <c r="S424" s="15" t="s">
        <v>2082</v>
      </c>
      <c r="T424" s="15" t="s">
        <v>2442</v>
      </c>
      <c r="U424" s="25" t="s">
        <v>2085</v>
      </c>
      <c r="V424" s="25" t="s">
        <v>2437</v>
      </c>
      <c r="W424" s="80">
        <v>45145</v>
      </c>
      <c r="X424" s="21" t="s">
        <v>2819</v>
      </c>
    </row>
    <row r="425" spans="1:24" x14ac:dyDescent="0.2">
      <c r="A425" s="1">
        <v>422</v>
      </c>
      <c r="B425" s="1" t="s">
        <v>93</v>
      </c>
      <c r="C425" s="1" t="s">
        <v>2782</v>
      </c>
      <c r="D425" s="1" t="s">
        <v>142</v>
      </c>
      <c r="E425" s="35" t="s">
        <v>864</v>
      </c>
      <c r="F425" s="66" t="s">
        <v>881</v>
      </c>
      <c r="G425" s="24" t="s">
        <v>2797</v>
      </c>
      <c r="H425" s="15" t="s">
        <v>2789</v>
      </c>
      <c r="I425" s="16">
        <v>50</v>
      </c>
      <c r="J425" s="16" t="str">
        <f t="shared" si="20"/>
        <v>Old</v>
      </c>
      <c r="K425" s="25">
        <v>4</v>
      </c>
      <c r="L425" s="42">
        <v>8850</v>
      </c>
      <c r="M425" s="15">
        <v>3290</v>
      </c>
      <c r="N425" s="39">
        <f t="shared" si="18"/>
        <v>35400</v>
      </c>
      <c r="O425" s="39">
        <f t="shared" si="19"/>
        <v>22240</v>
      </c>
      <c r="P425" s="24" t="s">
        <v>2052</v>
      </c>
      <c r="Q425" s="15" t="s">
        <v>2016</v>
      </c>
      <c r="R425" s="1" t="s">
        <v>2013</v>
      </c>
      <c r="S425" s="15" t="s">
        <v>2082</v>
      </c>
      <c r="T425" s="15" t="s">
        <v>2442</v>
      </c>
      <c r="U425" s="25" t="s">
        <v>2090</v>
      </c>
      <c r="V425" s="25" t="s">
        <v>2435</v>
      </c>
      <c r="W425" s="80">
        <v>45255</v>
      </c>
      <c r="X425" s="21" t="s">
        <v>2823</v>
      </c>
    </row>
    <row r="426" spans="1:24" x14ac:dyDescent="0.2">
      <c r="A426" s="1">
        <v>423</v>
      </c>
      <c r="B426" s="1" t="s">
        <v>7</v>
      </c>
      <c r="C426" s="1" t="s">
        <v>2781</v>
      </c>
      <c r="D426" s="1" t="s">
        <v>869</v>
      </c>
      <c r="E426" s="35" t="s">
        <v>823</v>
      </c>
      <c r="F426" s="66" t="s">
        <v>882</v>
      </c>
      <c r="G426" s="24" t="s">
        <v>2799</v>
      </c>
      <c r="H426" s="15" t="s">
        <v>2788</v>
      </c>
      <c r="I426" s="16">
        <v>39</v>
      </c>
      <c r="J426" s="16" t="str">
        <f t="shared" si="20"/>
        <v>Middle Age</v>
      </c>
      <c r="K426" s="25">
        <v>1</v>
      </c>
      <c r="L426" s="42">
        <f>1190+150</f>
        <v>1340</v>
      </c>
      <c r="M426" s="15">
        <v>750</v>
      </c>
      <c r="N426" s="39">
        <f t="shared" si="18"/>
        <v>1340</v>
      </c>
      <c r="O426" s="39">
        <f t="shared" si="19"/>
        <v>590</v>
      </c>
      <c r="P426" s="24" t="s">
        <v>2056</v>
      </c>
      <c r="Q426" s="24" t="s">
        <v>2024</v>
      </c>
      <c r="R426" s="1" t="s">
        <v>2013</v>
      </c>
      <c r="S426" s="15" t="s">
        <v>2082</v>
      </c>
      <c r="T426" s="15" t="s">
        <v>2442</v>
      </c>
      <c r="U426" s="25" t="s">
        <v>2089</v>
      </c>
      <c r="V426" s="25" t="s">
        <v>2436</v>
      </c>
      <c r="W426" s="80">
        <v>45030</v>
      </c>
      <c r="X426" s="21" t="s">
        <v>2815</v>
      </c>
    </row>
    <row r="427" spans="1:24" x14ac:dyDescent="0.2">
      <c r="A427" s="1">
        <v>424</v>
      </c>
      <c r="B427" s="1" t="s">
        <v>39</v>
      </c>
      <c r="C427" s="1" t="s">
        <v>2782</v>
      </c>
      <c r="D427" s="11" t="s">
        <v>143</v>
      </c>
      <c r="E427" s="35" t="s">
        <v>823</v>
      </c>
      <c r="F427" s="66" t="s">
        <v>881</v>
      </c>
      <c r="G427" s="24" t="s">
        <v>2801</v>
      </c>
      <c r="H427" s="15" t="s">
        <v>2789</v>
      </c>
      <c r="I427" s="16">
        <v>31</v>
      </c>
      <c r="J427" s="16" t="str">
        <f t="shared" si="20"/>
        <v>Young</v>
      </c>
      <c r="K427" s="25">
        <v>5</v>
      </c>
      <c r="L427" s="42">
        <v>2350</v>
      </c>
      <c r="M427" s="15">
        <f>790+100</f>
        <v>890</v>
      </c>
      <c r="N427" s="39">
        <f t="shared" si="18"/>
        <v>11750</v>
      </c>
      <c r="O427" s="39">
        <f t="shared" si="19"/>
        <v>7300</v>
      </c>
      <c r="P427" s="24" t="s">
        <v>2022</v>
      </c>
      <c r="Q427" s="24" t="s">
        <v>2016</v>
      </c>
      <c r="R427" s="1" t="s">
        <v>2013</v>
      </c>
      <c r="S427" s="15" t="s">
        <v>2082</v>
      </c>
      <c r="T427" s="15" t="s">
        <v>2442</v>
      </c>
      <c r="U427" s="25" t="s">
        <v>2088</v>
      </c>
      <c r="V427" s="25" t="s">
        <v>2434</v>
      </c>
      <c r="W427" s="80">
        <v>45163</v>
      </c>
      <c r="X427" s="21" t="s">
        <v>2819</v>
      </c>
    </row>
    <row r="428" spans="1:24" x14ac:dyDescent="0.2">
      <c r="A428" s="1">
        <v>425</v>
      </c>
      <c r="B428" s="1" t="s">
        <v>145</v>
      </c>
      <c r="C428" s="1" t="s">
        <v>2782</v>
      </c>
      <c r="D428" s="11" t="s">
        <v>144</v>
      </c>
      <c r="E428" s="35" t="s">
        <v>863</v>
      </c>
      <c r="F428" s="66" t="s">
        <v>883</v>
      </c>
      <c r="G428" s="24" t="s">
        <v>2803</v>
      </c>
      <c r="H428" s="15" t="s">
        <v>2788</v>
      </c>
      <c r="I428" s="16">
        <v>44</v>
      </c>
      <c r="J428" s="16" t="str">
        <f t="shared" si="20"/>
        <v>Middle Age</v>
      </c>
      <c r="K428" s="25">
        <v>2</v>
      </c>
      <c r="L428" s="42">
        <v>6300</v>
      </c>
      <c r="M428" s="15">
        <f>2700+500-70</f>
        <v>3130</v>
      </c>
      <c r="N428" s="39">
        <f t="shared" si="18"/>
        <v>12600</v>
      </c>
      <c r="O428" s="39">
        <f t="shared" si="19"/>
        <v>6340</v>
      </c>
      <c r="P428" s="24" t="s">
        <v>2038</v>
      </c>
      <c r="Q428" s="15" t="s">
        <v>2016</v>
      </c>
      <c r="R428" s="1" t="s">
        <v>2013</v>
      </c>
      <c r="S428" s="15" t="s">
        <v>2082</v>
      </c>
      <c r="T428" s="15" t="s">
        <v>2442</v>
      </c>
      <c r="U428" s="25" t="s">
        <v>2085</v>
      </c>
      <c r="V428" s="25" t="s">
        <v>2437</v>
      </c>
      <c r="W428" s="80">
        <v>45087</v>
      </c>
      <c r="X428" s="21" t="s">
        <v>2814</v>
      </c>
    </row>
    <row r="429" spans="1:24" x14ac:dyDescent="0.2">
      <c r="A429" s="1">
        <v>426</v>
      </c>
      <c r="B429" s="1" t="s">
        <v>147</v>
      </c>
      <c r="C429" s="1" t="s">
        <v>2782</v>
      </c>
      <c r="D429" s="11" t="s">
        <v>146</v>
      </c>
      <c r="E429" s="35" t="s">
        <v>822</v>
      </c>
      <c r="F429" s="66" t="s">
        <v>884</v>
      </c>
      <c r="G429" s="24" t="s">
        <v>2805</v>
      </c>
      <c r="H429" s="15" t="s">
        <v>2788</v>
      </c>
      <c r="I429" s="16">
        <v>26</v>
      </c>
      <c r="J429" s="16" t="str">
        <f t="shared" si="20"/>
        <v>Young</v>
      </c>
      <c r="K429" s="25">
        <v>3</v>
      </c>
      <c r="L429" s="42">
        <v>6200</v>
      </c>
      <c r="M429" s="15">
        <f>2600+400-70</f>
        <v>2930</v>
      </c>
      <c r="N429" s="39">
        <f t="shared" si="18"/>
        <v>18600</v>
      </c>
      <c r="O429" s="39">
        <f t="shared" si="19"/>
        <v>9810</v>
      </c>
      <c r="P429" s="24" t="s">
        <v>2050</v>
      </c>
      <c r="Q429" s="24" t="s">
        <v>2024</v>
      </c>
      <c r="R429" s="1" t="s">
        <v>2013</v>
      </c>
      <c r="S429" s="15" t="s">
        <v>2082</v>
      </c>
      <c r="T429" s="15" t="s">
        <v>2442</v>
      </c>
      <c r="U429" s="25" t="s">
        <v>2090</v>
      </c>
      <c r="V429" s="25" t="s">
        <v>2435</v>
      </c>
      <c r="W429" s="80">
        <v>45118</v>
      </c>
      <c r="X429" s="21" t="s">
        <v>2813</v>
      </c>
    </row>
    <row r="430" spans="1:24" x14ac:dyDescent="0.2">
      <c r="A430" s="1">
        <v>427</v>
      </c>
      <c r="B430" s="1" t="s">
        <v>148</v>
      </c>
      <c r="C430" s="1" t="s">
        <v>2782</v>
      </c>
      <c r="D430" s="11" t="s">
        <v>2546</v>
      </c>
      <c r="E430" s="35" t="s">
        <v>817</v>
      </c>
      <c r="F430" s="66" t="s">
        <v>928</v>
      </c>
      <c r="G430" s="24" t="s">
        <v>2807</v>
      </c>
      <c r="H430" s="15" t="s">
        <v>2789</v>
      </c>
      <c r="I430" s="16">
        <v>48</v>
      </c>
      <c r="J430" s="16" t="str">
        <f t="shared" si="20"/>
        <v>Middle Age</v>
      </c>
      <c r="K430" s="25">
        <v>4</v>
      </c>
      <c r="L430" s="42">
        <v>5690</v>
      </c>
      <c r="M430" s="15">
        <f>2670+330</f>
        <v>3000</v>
      </c>
      <c r="N430" s="39">
        <f t="shared" si="18"/>
        <v>22760</v>
      </c>
      <c r="O430" s="39">
        <f t="shared" si="19"/>
        <v>10760</v>
      </c>
      <c r="P430" s="24" t="s">
        <v>2018</v>
      </c>
      <c r="Q430" s="15" t="s">
        <v>2828</v>
      </c>
      <c r="R430" s="1" t="s">
        <v>2013</v>
      </c>
      <c r="S430" s="15" t="s">
        <v>2082</v>
      </c>
      <c r="T430" s="15" t="s">
        <v>2442</v>
      </c>
      <c r="U430" s="25" t="s">
        <v>2087</v>
      </c>
      <c r="V430" s="25" t="s">
        <v>2434</v>
      </c>
      <c r="W430" s="80">
        <v>44978</v>
      </c>
      <c r="X430" s="21" t="s">
        <v>2817</v>
      </c>
    </row>
    <row r="431" spans="1:24" x14ac:dyDescent="0.2">
      <c r="A431" s="1">
        <v>428</v>
      </c>
      <c r="B431" s="1" t="s">
        <v>150</v>
      </c>
      <c r="C431" s="1" t="s">
        <v>2782</v>
      </c>
      <c r="D431" s="11" t="s">
        <v>149</v>
      </c>
      <c r="E431" s="15" t="s">
        <v>863</v>
      </c>
      <c r="F431" s="66" t="s">
        <v>929</v>
      </c>
      <c r="G431" s="24" t="s">
        <v>2809</v>
      </c>
      <c r="H431" s="15" t="s">
        <v>2789</v>
      </c>
      <c r="I431" s="16">
        <v>53</v>
      </c>
      <c r="J431" s="16" t="str">
        <f t="shared" si="20"/>
        <v>Old</v>
      </c>
      <c r="K431" s="25">
        <v>1</v>
      </c>
      <c r="L431" s="42">
        <f>6880+150</f>
        <v>7030</v>
      </c>
      <c r="M431" s="15">
        <f>1470+1300+80+80+60</f>
        <v>2990</v>
      </c>
      <c r="N431" s="39">
        <f t="shared" si="18"/>
        <v>7030</v>
      </c>
      <c r="O431" s="39">
        <f t="shared" si="19"/>
        <v>4040</v>
      </c>
      <c r="P431" s="24" t="s">
        <v>2060</v>
      </c>
      <c r="Q431" s="24" t="s">
        <v>2024</v>
      </c>
      <c r="R431" s="1" t="s">
        <v>2013</v>
      </c>
      <c r="S431" s="15" t="s">
        <v>2082</v>
      </c>
      <c r="T431" s="15" t="s">
        <v>2442</v>
      </c>
      <c r="U431" s="25" t="s">
        <v>2083</v>
      </c>
      <c r="V431" s="25" t="s">
        <v>2436</v>
      </c>
      <c r="W431" s="80">
        <v>45211</v>
      </c>
      <c r="X431" s="21" t="s">
        <v>2821</v>
      </c>
    </row>
    <row r="432" spans="1:24" x14ac:dyDescent="0.2">
      <c r="A432" s="1">
        <v>429</v>
      </c>
      <c r="B432" s="1" t="s">
        <v>152</v>
      </c>
      <c r="C432" s="1" t="s">
        <v>2782</v>
      </c>
      <c r="D432" s="11" t="s">
        <v>151</v>
      </c>
      <c r="E432" s="15" t="s">
        <v>864</v>
      </c>
      <c r="F432" s="66" t="s">
        <v>882</v>
      </c>
      <c r="G432" s="24" t="s">
        <v>2794</v>
      </c>
      <c r="H432" s="15" t="s">
        <v>2788</v>
      </c>
      <c r="I432" s="16">
        <v>30</v>
      </c>
      <c r="J432" s="16" t="str">
        <f t="shared" si="20"/>
        <v>Young</v>
      </c>
      <c r="K432" s="25">
        <v>5</v>
      </c>
      <c r="L432" s="42">
        <f>2120</f>
        <v>2120</v>
      </c>
      <c r="M432" s="15">
        <f>560+120</f>
        <v>680</v>
      </c>
      <c r="N432" s="39">
        <f t="shared" si="18"/>
        <v>10600</v>
      </c>
      <c r="O432" s="39">
        <f t="shared" si="19"/>
        <v>7200</v>
      </c>
      <c r="P432" s="24" t="s">
        <v>2046</v>
      </c>
      <c r="Q432" s="24" t="s">
        <v>2016</v>
      </c>
      <c r="R432" s="1" t="s">
        <v>2013</v>
      </c>
      <c r="S432" s="15" t="s">
        <v>2082</v>
      </c>
      <c r="T432" s="15" t="s">
        <v>2442</v>
      </c>
      <c r="U432" s="25" t="s">
        <v>2089</v>
      </c>
      <c r="V432" s="25" t="s">
        <v>2437</v>
      </c>
      <c r="W432" s="80">
        <v>44943</v>
      </c>
      <c r="X432" s="21" t="s">
        <v>2818</v>
      </c>
    </row>
    <row r="433" spans="1:24" x14ac:dyDescent="0.2">
      <c r="A433" s="1">
        <v>430</v>
      </c>
      <c r="B433" s="1" t="s">
        <v>154</v>
      </c>
      <c r="C433" s="1" t="s">
        <v>2782</v>
      </c>
      <c r="D433" s="11" t="s">
        <v>153</v>
      </c>
      <c r="E433" s="15" t="s">
        <v>822</v>
      </c>
      <c r="F433" s="66" t="s">
        <v>930</v>
      </c>
      <c r="G433" s="24" t="s">
        <v>2792</v>
      </c>
      <c r="H433" s="15" t="s">
        <v>2788</v>
      </c>
      <c r="I433" s="16">
        <v>37</v>
      </c>
      <c r="J433" s="16" t="str">
        <f t="shared" si="20"/>
        <v>Middle Age</v>
      </c>
      <c r="K433" s="25">
        <v>3</v>
      </c>
      <c r="L433" s="42">
        <v>9260</v>
      </c>
      <c r="M433" s="15">
        <f>6000+195+410</f>
        <v>6605</v>
      </c>
      <c r="N433" s="39">
        <f t="shared" si="18"/>
        <v>27780</v>
      </c>
      <c r="O433" s="39">
        <f t="shared" si="19"/>
        <v>7965</v>
      </c>
      <c r="P433" s="24" t="s">
        <v>2050</v>
      </c>
      <c r="Q433" s="24" t="s">
        <v>2024</v>
      </c>
      <c r="R433" s="1" t="s">
        <v>2013</v>
      </c>
      <c r="S433" s="15" t="s">
        <v>2082</v>
      </c>
      <c r="T433" s="15" t="s">
        <v>2442</v>
      </c>
      <c r="U433" s="25" t="s">
        <v>2088</v>
      </c>
      <c r="V433" s="25" t="s">
        <v>2435</v>
      </c>
      <c r="W433" s="80">
        <v>45191</v>
      </c>
      <c r="X433" s="21" t="s">
        <v>2820</v>
      </c>
    </row>
    <row r="434" spans="1:24" x14ac:dyDescent="0.2">
      <c r="A434" s="1">
        <v>431</v>
      </c>
      <c r="B434" s="1" t="s">
        <v>155</v>
      </c>
      <c r="C434" s="1" t="s">
        <v>2782</v>
      </c>
      <c r="D434" s="11" t="s">
        <v>2547</v>
      </c>
      <c r="E434" s="15" t="s">
        <v>823</v>
      </c>
      <c r="F434" s="67" t="s">
        <v>915</v>
      </c>
      <c r="G434" s="24" t="s">
        <v>2796</v>
      </c>
      <c r="H434" s="15" t="s">
        <v>2788</v>
      </c>
      <c r="I434" s="16">
        <v>42</v>
      </c>
      <c r="J434" s="16" t="str">
        <f t="shared" si="20"/>
        <v>Middle Age</v>
      </c>
      <c r="K434" s="25">
        <v>2</v>
      </c>
      <c r="L434" s="42">
        <v>4850</v>
      </c>
      <c r="M434" s="15">
        <f>1970+410</f>
        <v>2380</v>
      </c>
      <c r="N434" s="39">
        <f t="shared" si="18"/>
        <v>9700</v>
      </c>
      <c r="O434" s="39">
        <f t="shared" si="19"/>
        <v>4940</v>
      </c>
      <c r="P434" s="24" t="s">
        <v>2048</v>
      </c>
      <c r="Q434" s="24" t="s">
        <v>2014</v>
      </c>
      <c r="R434" s="1" t="s">
        <v>2013</v>
      </c>
      <c r="S434" s="15" t="s">
        <v>2082</v>
      </c>
      <c r="T434" s="15" t="s">
        <v>2442</v>
      </c>
      <c r="U434" s="25" t="s">
        <v>2083</v>
      </c>
      <c r="V434" s="25" t="s">
        <v>2436</v>
      </c>
      <c r="W434" s="80">
        <v>44983</v>
      </c>
      <c r="X434" s="21" t="s">
        <v>2817</v>
      </c>
    </row>
    <row r="435" spans="1:24" x14ac:dyDescent="0.2">
      <c r="A435" s="1">
        <v>432</v>
      </c>
      <c r="B435" s="1" t="s">
        <v>157</v>
      </c>
      <c r="C435" s="1" t="s">
        <v>2782</v>
      </c>
      <c r="D435" s="1" t="s">
        <v>156</v>
      </c>
      <c r="E435" s="15" t="s">
        <v>828</v>
      </c>
      <c r="F435" s="66" t="s">
        <v>920</v>
      </c>
      <c r="G435" s="24" t="s">
        <v>2798</v>
      </c>
      <c r="H435" s="15" t="s">
        <v>2789</v>
      </c>
      <c r="I435" s="16">
        <v>24</v>
      </c>
      <c r="J435" s="16" t="str">
        <f t="shared" si="20"/>
        <v>Young</v>
      </c>
      <c r="K435" s="25">
        <v>4</v>
      </c>
      <c r="L435" s="42">
        <v>2750</v>
      </c>
      <c r="M435" s="15">
        <v>950</v>
      </c>
      <c r="N435" s="39">
        <f t="shared" si="18"/>
        <v>11000</v>
      </c>
      <c r="O435" s="39">
        <f t="shared" si="19"/>
        <v>7200</v>
      </c>
      <c r="P435" s="24" t="s">
        <v>2048</v>
      </c>
      <c r="Q435" s="24" t="s">
        <v>2014</v>
      </c>
      <c r="R435" s="1" t="s">
        <v>2013</v>
      </c>
      <c r="S435" s="15" t="s">
        <v>2082</v>
      </c>
      <c r="T435" s="15" t="s">
        <v>2442</v>
      </c>
      <c r="U435" s="25" t="s">
        <v>2086</v>
      </c>
      <c r="V435" s="25" t="s">
        <v>2434</v>
      </c>
      <c r="W435" s="80">
        <v>44959</v>
      </c>
      <c r="X435" s="21" t="s">
        <v>2817</v>
      </c>
    </row>
    <row r="436" spans="1:24" x14ac:dyDescent="0.2">
      <c r="A436" s="1">
        <v>433</v>
      </c>
      <c r="B436" s="1" t="s">
        <v>159</v>
      </c>
      <c r="C436" s="1" t="s">
        <v>2782</v>
      </c>
      <c r="D436" s="11" t="s">
        <v>158</v>
      </c>
      <c r="E436" s="15" t="s">
        <v>863</v>
      </c>
      <c r="F436" s="67" t="s">
        <v>921</v>
      </c>
      <c r="G436" s="24" t="s">
        <v>2800</v>
      </c>
      <c r="H436" s="15" t="s">
        <v>2789</v>
      </c>
      <c r="I436" s="16">
        <v>28</v>
      </c>
      <c r="J436" s="16" t="str">
        <f t="shared" si="20"/>
        <v>Young</v>
      </c>
      <c r="K436" s="25">
        <v>1</v>
      </c>
      <c r="L436" s="42">
        <v>7670</v>
      </c>
      <c r="M436" s="15">
        <f>1739+60+1500</f>
        <v>3299</v>
      </c>
      <c r="N436" s="39">
        <f t="shared" si="18"/>
        <v>7670</v>
      </c>
      <c r="O436" s="39">
        <f t="shared" si="19"/>
        <v>4371</v>
      </c>
      <c r="P436" s="24" t="s">
        <v>2061</v>
      </c>
      <c r="Q436" s="24" t="s">
        <v>2014</v>
      </c>
      <c r="R436" s="1" t="s">
        <v>2013</v>
      </c>
      <c r="S436" s="15" t="s">
        <v>2082</v>
      </c>
      <c r="T436" s="15" t="s">
        <v>2442</v>
      </c>
      <c r="U436" s="25" t="s">
        <v>2085</v>
      </c>
      <c r="V436" s="25" t="s">
        <v>2437</v>
      </c>
      <c r="W436" s="80">
        <v>45268</v>
      </c>
      <c r="X436" s="21" t="s">
        <v>2822</v>
      </c>
    </row>
    <row r="437" spans="1:24" x14ac:dyDescent="0.2">
      <c r="A437" s="1">
        <v>434</v>
      </c>
      <c r="B437" s="1" t="s">
        <v>68</v>
      </c>
      <c r="C437" s="1" t="s">
        <v>2782</v>
      </c>
      <c r="D437" s="1" t="s">
        <v>160</v>
      </c>
      <c r="E437" s="15" t="s">
        <v>863</v>
      </c>
      <c r="F437" s="67" t="s">
        <v>922</v>
      </c>
      <c r="G437" s="24" t="s">
        <v>2802</v>
      </c>
      <c r="H437" s="15" t="s">
        <v>2788</v>
      </c>
      <c r="I437" s="16">
        <v>50</v>
      </c>
      <c r="J437" s="16" t="str">
        <f t="shared" si="20"/>
        <v>Old</v>
      </c>
      <c r="K437" s="25">
        <v>5</v>
      </c>
      <c r="L437" s="42">
        <v>2900</v>
      </c>
      <c r="M437" s="15">
        <f>940+200</f>
        <v>1140</v>
      </c>
      <c r="N437" s="39">
        <f t="shared" si="18"/>
        <v>14500</v>
      </c>
      <c r="O437" s="39">
        <f t="shared" si="19"/>
        <v>8800</v>
      </c>
      <c r="P437" s="24" t="s">
        <v>2052</v>
      </c>
      <c r="Q437" s="15" t="s">
        <v>2016</v>
      </c>
      <c r="R437" s="1" t="s">
        <v>2013</v>
      </c>
      <c r="S437" s="15" t="s">
        <v>2082</v>
      </c>
      <c r="T437" s="15" t="s">
        <v>2442</v>
      </c>
      <c r="U437" s="25" t="s">
        <v>2088</v>
      </c>
      <c r="V437" s="25" t="s">
        <v>2435</v>
      </c>
      <c r="W437" s="80">
        <v>45067</v>
      </c>
      <c r="X437" s="21" t="s">
        <v>2786</v>
      </c>
    </row>
    <row r="438" spans="1:24" x14ac:dyDescent="0.2">
      <c r="A438" s="1">
        <v>435</v>
      </c>
      <c r="B438" s="1" t="s">
        <v>162</v>
      </c>
      <c r="C438" s="1" t="s">
        <v>2782</v>
      </c>
      <c r="D438" s="1" t="s">
        <v>161</v>
      </c>
      <c r="E438" s="15" t="s">
        <v>822</v>
      </c>
      <c r="F438" s="67" t="s">
        <v>923</v>
      </c>
      <c r="G438" s="24" t="s">
        <v>2804</v>
      </c>
      <c r="H438" s="15" t="s">
        <v>2788</v>
      </c>
      <c r="I438" s="16">
        <v>39</v>
      </c>
      <c r="J438" s="16" t="str">
        <f t="shared" si="20"/>
        <v>Middle Age</v>
      </c>
      <c r="K438" s="25">
        <v>2</v>
      </c>
      <c r="L438" s="42">
        <f>4930+400</f>
        <v>5330</v>
      </c>
      <c r="M438" s="15">
        <f>2800+310</f>
        <v>3110</v>
      </c>
      <c r="N438" s="39">
        <f t="shared" si="18"/>
        <v>10660</v>
      </c>
      <c r="O438" s="39">
        <f t="shared" si="19"/>
        <v>4440</v>
      </c>
      <c r="P438" s="24" t="s">
        <v>2036</v>
      </c>
      <c r="Q438" s="24" t="s">
        <v>2014</v>
      </c>
      <c r="R438" s="1" t="s">
        <v>2013</v>
      </c>
      <c r="S438" s="15" t="s">
        <v>2082</v>
      </c>
      <c r="T438" s="15" t="s">
        <v>2442</v>
      </c>
      <c r="U438" s="25" t="s">
        <v>2087</v>
      </c>
      <c r="V438" s="25" t="s">
        <v>2434</v>
      </c>
      <c r="W438" s="80">
        <v>45210</v>
      </c>
      <c r="X438" s="21" t="s">
        <v>2821</v>
      </c>
    </row>
    <row r="439" spans="1:24" x14ac:dyDescent="0.2">
      <c r="A439" s="1">
        <v>436</v>
      </c>
      <c r="B439" s="1" t="s">
        <v>164</v>
      </c>
      <c r="C439" s="1" t="s">
        <v>2782</v>
      </c>
      <c r="D439" s="1" t="s">
        <v>163</v>
      </c>
      <c r="E439" s="15" t="s">
        <v>864</v>
      </c>
      <c r="F439" s="67" t="s">
        <v>924</v>
      </c>
      <c r="G439" s="24" t="s">
        <v>2806</v>
      </c>
      <c r="H439" s="15" t="s">
        <v>2789</v>
      </c>
      <c r="I439" s="16">
        <v>31</v>
      </c>
      <c r="J439" s="16" t="str">
        <f t="shared" si="20"/>
        <v>Young</v>
      </c>
      <c r="K439" s="25">
        <v>3</v>
      </c>
      <c r="L439" s="42">
        <v>3440</v>
      </c>
      <c r="M439" s="15">
        <v>1750</v>
      </c>
      <c r="N439" s="39">
        <f t="shared" si="18"/>
        <v>10320</v>
      </c>
      <c r="O439" s="39">
        <f t="shared" si="19"/>
        <v>5070</v>
      </c>
      <c r="P439" s="24" t="s">
        <v>2047</v>
      </c>
      <c r="Q439" s="24" t="s">
        <v>2024</v>
      </c>
      <c r="R439" s="1" t="s">
        <v>2013</v>
      </c>
      <c r="S439" s="15" t="s">
        <v>2082</v>
      </c>
      <c r="T439" s="15" t="s">
        <v>2442</v>
      </c>
      <c r="U439" s="25" t="s">
        <v>2085</v>
      </c>
      <c r="V439" s="25" t="s">
        <v>2436</v>
      </c>
      <c r="W439" s="80">
        <v>45127</v>
      </c>
      <c r="X439" s="21" t="s">
        <v>2813</v>
      </c>
    </row>
    <row r="440" spans="1:24" x14ac:dyDescent="0.2">
      <c r="A440" s="1">
        <v>437</v>
      </c>
      <c r="B440" s="1" t="s">
        <v>164</v>
      </c>
      <c r="C440" s="1" t="s">
        <v>2782</v>
      </c>
      <c r="D440" s="1" t="s">
        <v>163</v>
      </c>
      <c r="E440" s="15" t="s">
        <v>822</v>
      </c>
      <c r="F440" s="67" t="s">
        <v>925</v>
      </c>
      <c r="G440" s="24" t="s">
        <v>2808</v>
      </c>
      <c r="H440" s="15" t="s">
        <v>2788</v>
      </c>
      <c r="I440" s="16">
        <v>24</v>
      </c>
      <c r="J440" s="16" t="str">
        <f t="shared" si="20"/>
        <v>Young</v>
      </c>
      <c r="K440" s="25">
        <v>4</v>
      </c>
      <c r="L440" s="42">
        <v>3440</v>
      </c>
      <c r="M440" s="15">
        <v>1750</v>
      </c>
      <c r="N440" s="39">
        <f t="shared" si="18"/>
        <v>13760</v>
      </c>
      <c r="O440" s="39">
        <f t="shared" si="19"/>
        <v>6760</v>
      </c>
      <c r="P440" s="24" t="s">
        <v>2061</v>
      </c>
      <c r="Q440" s="24" t="s">
        <v>2014</v>
      </c>
      <c r="R440" s="1" t="s">
        <v>2013</v>
      </c>
      <c r="S440" s="15" t="s">
        <v>2082</v>
      </c>
      <c r="T440" s="15" t="s">
        <v>2442</v>
      </c>
      <c r="U440" s="25" t="s">
        <v>2089</v>
      </c>
      <c r="V440" s="25" t="s">
        <v>2437</v>
      </c>
      <c r="W440" s="80">
        <v>45185</v>
      </c>
      <c r="X440" s="21" t="s">
        <v>2820</v>
      </c>
    </row>
    <row r="441" spans="1:24" x14ac:dyDescent="0.2">
      <c r="A441" s="1">
        <v>438</v>
      </c>
      <c r="B441" s="1" t="s">
        <v>165</v>
      </c>
      <c r="C441" s="1" t="s">
        <v>2782</v>
      </c>
      <c r="D441" s="1" t="s">
        <v>2548</v>
      </c>
      <c r="E441" s="15" t="s">
        <v>828</v>
      </c>
      <c r="F441" s="69" t="s">
        <v>904</v>
      </c>
      <c r="G441" s="24" t="s">
        <v>2810</v>
      </c>
      <c r="H441" s="15" t="s">
        <v>2788</v>
      </c>
      <c r="I441" s="16">
        <v>57</v>
      </c>
      <c r="J441" s="16" t="str">
        <f t="shared" si="20"/>
        <v>Old</v>
      </c>
      <c r="K441" s="25">
        <v>1</v>
      </c>
      <c r="L441" s="42">
        <v>2110</v>
      </c>
      <c r="M441" s="15">
        <v>1050</v>
      </c>
      <c r="N441" s="39">
        <f t="shared" si="18"/>
        <v>2110</v>
      </c>
      <c r="O441" s="39">
        <f t="shared" si="19"/>
        <v>1060</v>
      </c>
      <c r="P441" s="24" t="s">
        <v>2017</v>
      </c>
      <c r="Q441" s="24" t="s">
        <v>2016</v>
      </c>
      <c r="R441" s="1" t="s">
        <v>2013</v>
      </c>
      <c r="S441" s="15" t="s">
        <v>2082</v>
      </c>
      <c r="T441" s="15" t="s">
        <v>2442</v>
      </c>
      <c r="U441" s="25" t="s">
        <v>2089</v>
      </c>
      <c r="V441" s="25" t="s">
        <v>2435</v>
      </c>
      <c r="W441" s="80">
        <v>45189</v>
      </c>
      <c r="X441" s="21" t="s">
        <v>2820</v>
      </c>
    </row>
    <row r="442" spans="1:24" x14ac:dyDescent="0.2">
      <c r="A442" s="1">
        <v>438</v>
      </c>
      <c r="B442" s="1" t="s">
        <v>167</v>
      </c>
      <c r="C442" s="1" t="s">
        <v>2782</v>
      </c>
      <c r="D442" s="1" t="s">
        <v>166</v>
      </c>
      <c r="E442" s="15" t="s">
        <v>864</v>
      </c>
      <c r="F442" s="66" t="s">
        <v>926</v>
      </c>
      <c r="G442" s="24" t="s">
        <v>2793</v>
      </c>
      <c r="H442" s="15" t="s">
        <v>2788</v>
      </c>
      <c r="I442" s="16">
        <v>35</v>
      </c>
      <c r="J442" s="16" t="str">
        <f t="shared" si="20"/>
        <v>Young</v>
      </c>
      <c r="K442" s="25">
        <v>5</v>
      </c>
      <c r="L442" s="42">
        <v>7370</v>
      </c>
      <c r="M442" s="15">
        <v>3660</v>
      </c>
      <c r="N442" s="39">
        <f t="shared" si="18"/>
        <v>36850</v>
      </c>
      <c r="O442" s="39">
        <f t="shared" si="19"/>
        <v>18550</v>
      </c>
      <c r="P442" s="24" t="s">
        <v>2046</v>
      </c>
      <c r="Q442" s="24" t="s">
        <v>2016</v>
      </c>
      <c r="R442" s="1" t="s">
        <v>2013</v>
      </c>
      <c r="S442" s="15" t="s">
        <v>2082</v>
      </c>
      <c r="T442" s="15" t="s">
        <v>2442</v>
      </c>
      <c r="U442" s="25" t="s">
        <v>2088</v>
      </c>
      <c r="V442" s="25" t="s">
        <v>2436</v>
      </c>
      <c r="W442" s="80">
        <v>44929</v>
      </c>
      <c r="X442" s="21" t="s">
        <v>2818</v>
      </c>
    </row>
    <row r="443" spans="1:24" x14ac:dyDescent="0.2">
      <c r="A443" s="1">
        <v>440</v>
      </c>
      <c r="B443" s="1" t="s">
        <v>168</v>
      </c>
      <c r="C443" s="1" t="s">
        <v>2782</v>
      </c>
      <c r="D443" s="1" t="s">
        <v>2549</v>
      </c>
      <c r="E443" s="15" t="s">
        <v>822</v>
      </c>
      <c r="F443" s="66" t="s">
        <v>927</v>
      </c>
      <c r="G443" s="24" t="s">
        <v>2791</v>
      </c>
      <c r="H443" s="15" t="s">
        <v>2789</v>
      </c>
      <c r="I443" s="16">
        <v>40</v>
      </c>
      <c r="J443" s="16" t="str">
        <f t="shared" si="20"/>
        <v>Middle Age</v>
      </c>
      <c r="K443" s="25">
        <v>3</v>
      </c>
      <c r="L443" s="42">
        <v>3200</v>
      </c>
      <c r="M443" s="15">
        <v>1300</v>
      </c>
      <c r="N443" s="39">
        <f t="shared" si="18"/>
        <v>9600</v>
      </c>
      <c r="O443" s="39">
        <f t="shared" si="19"/>
        <v>5700</v>
      </c>
      <c r="P443" s="24" t="s">
        <v>2054</v>
      </c>
      <c r="Q443" s="24" t="s">
        <v>2016</v>
      </c>
      <c r="R443" s="1" t="s">
        <v>2013</v>
      </c>
      <c r="S443" s="15" t="s">
        <v>2082</v>
      </c>
      <c r="T443" s="15" t="s">
        <v>2442</v>
      </c>
      <c r="U443" s="25" t="s">
        <v>2084</v>
      </c>
      <c r="V443" s="25" t="s">
        <v>2434</v>
      </c>
      <c r="W443" s="80">
        <v>45090</v>
      </c>
      <c r="X443" s="21" t="s">
        <v>2814</v>
      </c>
    </row>
    <row r="444" spans="1:24" x14ac:dyDescent="0.2">
      <c r="A444" s="1">
        <v>441</v>
      </c>
      <c r="B444" s="1" t="s">
        <v>17</v>
      </c>
      <c r="C444" s="1" t="s">
        <v>2782</v>
      </c>
      <c r="D444" s="1" t="s">
        <v>2550</v>
      </c>
      <c r="E444" s="15" t="s">
        <v>863</v>
      </c>
      <c r="F444" s="66" t="s">
        <v>877</v>
      </c>
      <c r="G444" s="24" t="s">
        <v>2795</v>
      </c>
      <c r="H444" s="15" t="s">
        <v>2789</v>
      </c>
      <c r="I444" s="16">
        <v>21</v>
      </c>
      <c r="J444" s="16" t="str">
        <f t="shared" si="20"/>
        <v>Young</v>
      </c>
      <c r="K444" s="25">
        <v>2</v>
      </c>
      <c r="L444" s="42">
        <v>1920</v>
      </c>
      <c r="M444" s="15">
        <v>920</v>
      </c>
      <c r="N444" s="39">
        <f t="shared" si="18"/>
        <v>3840</v>
      </c>
      <c r="O444" s="39">
        <f t="shared" si="19"/>
        <v>2000</v>
      </c>
      <c r="P444" s="24" t="s">
        <v>2032</v>
      </c>
      <c r="Q444" s="15" t="s">
        <v>2016</v>
      </c>
      <c r="R444" s="1" t="s">
        <v>2013</v>
      </c>
      <c r="S444" s="15" t="s">
        <v>2082</v>
      </c>
      <c r="T444" s="15" t="s">
        <v>2442</v>
      </c>
      <c r="U444" s="25" t="s">
        <v>2083</v>
      </c>
      <c r="V444" s="25" t="s">
        <v>2437</v>
      </c>
      <c r="W444" s="80">
        <v>45265</v>
      </c>
      <c r="X444" s="21" t="s">
        <v>2822</v>
      </c>
    </row>
    <row r="445" spans="1:24" x14ac:dyDescent="0.2">
      <c r="A445" s="1">
        <v>442</v>
      </c>
      <c r="B445" s="1" t="s">
        <v>169</v>
      </c>
      <c r="C445" s="1" t="s">
        <v>2782</v>
      </c>
      <c r="D445" s="1" t="s">
        <v>2551</v>
      </c>
      <c r="E445" s="15" t="s">
        <v>863</v>
      </c>
      <c r="F445" s="66" t="s">
        <v>878</v>
      </c>
      <c r="G445" s="24" t="s">
        <v>2797</v>
      </c>
      <c r="H445" s="15" t="s">
        <v>2789</v>
      </c>
      <c r="I445" s="16">
        <v>36</v>
      </c>
      <c r="J445" s="16" t="str">
        <f t="shared" si="20"/>
        <v>Middle Age</v>
      </c>
      <c r="K445" s="25">
        <v>4</v>
      </c>
      <c r="L445" s="42">
        <v>1610</v>
      </c>
      <c r="M445" s="15">
        <f>660+80</f>
        <v>740</v>
      </c>
      <c r="N445" s="39">
        <f t="shared" si="18"/>
        <v>6440</v>
      </c>
      <c r="O445" s="39">
        <f t="shared" si="19"/>
        <v>3480</v>
      </c>
      <c r="P445" s="24" t="s">
        <v>2028</v>
      </c>
      <c r="Q445" s="15" t="s">
        <v>2024</v>
      </c>
      <c r="R445" s="1" t="s">
        <v>2013</v>
      </c>
      <c r="S445" s="15" t="s">
        <v>2082</v>
      </c>
      <c r="T445" s="15" t="s">
        <v>2442</v>
      </c>
      <c r="U445" s="25" t="s">
        <v>2087</v>
      </c>
      <c r="V445" s="25" t="s">
        <v>2435</v>
      </c>
      <c r="W445" s="80">
        <v>45241</v>
      </c>
      <c r="X445" s="21" t="s">
        <v>2823</v>
      </c>
    </row>
    <row r="446" spans="1:24" x14ac:dyDescent="0.2">
      <c r="A446" s="1">
        <v>443</v>
      </c>
      <c r="B446" s="1" t="s">
        <v>171</v>
      </c>
      <c r="C446" s="1" t="s">
        <v>2782</v>
      </c>
      <c r="D446" s="1" t="s">
        <v>170</v>
      </c>
      <c r="E446" s="15" t="s">
        <v>864</v>
      </c>
      <c r="F446" s="66" t="s">
        <v>879</v>
      </c>
      <c r="G446" s="24" t="s">
        <v>2799</v>
      </c>
      <c r="H446" s="15" t="s">
        <v>2788</v>
      </c>
      <c r="I446" s="16">
        <v>28</v>
      </c>
      <c r="J446" s="16" t="str">
        <f t="shared" si="20"/>
        <v>Young</v>
      </c>
      <c r="K446" s="25">
        <v>1</v>
      </c>
      <c r="L446" s="42">
        <v>2560</v>
      </c>
      <c r="M446" s="15">
        <v>730</v>
      </c>
      <c r="N446" s="39">
        <f t="shared" si="18"/>
        <v>2560</v>
      </c>
      <c r="O446" s="39">
        <f t="shared" si="19"/>
        <v>1830</v>
      </c>
      <c r="P446" s="24" t="s">
        <v>2039</v>
      </c>
      <c r="Q446" s="24" t="s">
        <v>2014</v>
      </c>
      <c r="R446" s="1" t="s">
        <v>2013</v>
      </c>
      <c r="S446" s="15" t="s">
        <v>2082</v>
      </c>
      <c r="T446" s="15" t="s">
        <v>2442</v>
      </c>
      <c r="U446" s="25" t="s">
        <v>2089</v>
      </c>
      <c r="V446" s="25" t="s">
        <v>2434</v>
      </c>
      <c r="W446" s="80">
        <v>45228</v>
      </c>
      <c r="X446" s="21" t="s">
        <v>2821</v>
      </c>
    </row>
    <row r="447" spans="1:24" x14ac:dyDescent="0.2">
      <c r="A447" s="1">
        <v>444</v>
      </c>
      <c r="B447" s="1" t="s">
        <v>854</v>
      </c>
      <c r="C447" s="1" t="s">
        <v>2782</v>
      </c>
      <c r="D447" s="1" t="s">
        <v>2552</v>
      </c>
      <c r="E447" s="15" t="s">
        <v>822</v>
      </c>
      <c r="F447" s="66" t="s">
        <v>880</v>
      </c>
      <c r="G447" s="24" t="s">
        <v>2801</v>
      </c>
      <c r="H447" s="15" t="s">
        <v>2789</v>
      </c>
      <c r="I447" s="16">
        <v>50</v>
      </c>
      <c r="J447" s="16" t="str">
        <f t="shared" si="20"/>
        <v>Old</v>
      </c>
      <c r="K447" s="25">
        <v>5</v>
      </c>
      <c r="L447" s="42">
        <v>1400</v>
      </c>
      <c r="M447" s="15">
        <v>660</v>
      </c>
      <c r="N447" s="39">
        <f t="shared" si="18"/>
        <v>7000</v>
      </c>
      <c r="O447" s="39">
        <f t="shared" si="19"/>
        <v>3700</v>
      </c>
      <c r="P447" s="24" t="s">
        <v>2021</v>
      </c>
      <c r="Q447" s="24" t="s">
        <v>2020</v>
      </c>
      <c r="R447" s="1" t="s">
        <v>2013</v>
      </c>
      <c r="S447" s="15" t="s">
        <v>2082</v>
      </c>
      <c r="T447" s="15" t="s">
        <v>2442</v>
      </c>
      <c r="U447" s="25" t="s">
        <v>2083</v>
      </c>
      <c r="V447" s="25" t="s">
        <v>2436</v>
      </c>
      <c r="W447" s="80">
        <v>45131</v>
      </c>
      <c r="X447" s="21" t="s">
        <v>2813</v>
      </c>
    </row>
    <row r="448" spans="1:24" x14ac:dyDescent="0.2">
      <c r="A448" s="1">
        <v>445</v>
      </c>
      <c r="B448" s="1" t="s">
        <v>173</v>
      </c>
      <c r="C448" s="1" t="s">
        <v>2782</v>
      </c>
      <c r="D448" s="1" t="s">
        <v>172</v>
      </c>
      <c r="E448" s="15" t="s">
        <v>828</v>
      </c>
      <c r="F448" s="66" t="s">
        <v>878</v>
      </c>
      <c r="G448" s="24" t="s">
        <v>2803</v>
      </c>
      <c r="H448" s="15" t="s">
        <v>2789</v>
      </c>
      <c r="I448" s="16">
        <v>39</v>
      </c>
      <c r="J448" s="16" t="str">
        <f t="shared" si="20"/>
        <v>Middle Age</v>
      </c>
      <c r="K448" s="25">
        <v>2</v>
      </c>
      <c r="L448" s="42">
        <v>2955</v>
      </c>
      <c r="M448" s="15">
        <f>1200+200</f>
        <v>1400</v>
      </c>
      <c r="N448" s="39">
        <f t="shared" si="18"/>
        <v>5910</v>
      </c>
      <c r="O448" s="39">
        <f t="shared" si="19"/>
        <v>3110</v>
      </c>
      <c r="P448" s="24" t="s">
        <v>2040</v>
      </c>
      <c r="Q448" s="15" t="s">
        <v>2014</v>
      </c>
      <c r="R448" s="1" t="s">
        <v>2013</v>
      </c>
      <c r="S448" s="15" t="s">
        <v>2082</v>
      </c>
      <c r="T448" s="15" t="s">
        <v>2442</v>
      </c>
      <c r="U448" s="25" t="s">
        <v>2090</v>
      </c>
      <c r="V448" s="25" t="s">
        <v>2437</v>
      </c>
      <c r="W448" s="80">
        <v>45082</v>
      </c>
      <c r="X448" s="21" t="s">
        <v>2814</v>
      </c>
    </row>
    <row r="449" spans="1:24" x14ac:dyDescent="0.2">
      <c r="A449" s="1">
        <v>446</v>
      </c>
      <c r="B449" s="1" t="s">
        <v>174</v>
      </c>
      <c r="C449" s="1" t="s">
        <v>2782</v>
      </c>
      <c r="D449" s="1" t="s">
        <v>2553</v>
      </c>
      <c r="E449" s="15" t="s">
        <v>823</v>
      </c>
      <c r="F449" s="66" t="s">
        <v>879</v>
      </c>
      <c r="G449" s="24" t="s">
        <v>2805</v>
      </c>
      <c r="H449" s="15" t="s">
        <v>2788</v>
      </c>
      <c r="I449" s="16">
        <v>31</v>
      </c>
      <c r="J449" s="16" t="str">
        <f t="shared" si="20"/>
        <v>Young</v>
      </c>
      <c r="K449" s="25">
        <v>3</v>
      </c>
      <c r="L449" s="42">
        <f>3680+450</f>
        <v>4130</v>
      </c>
      <c r="M449" s="15">
        <f>1720+370</f>
        <v>2090</v>
      </c>
      <c r="N449" s="39">
        <f t="shared" si="18"/>
        <v>12390</v>
      </c>
      <c r="O449" s="39">
        <f t="shared" si="19"/>
        <v>6120</v>
      </c>
      <c r="P449" s="24" t="s">
        <v>2019</v>
      </c>
      <c r="Q449" s="24" t="s">
        <v>2014</v>
      </c>
      <c r="R449" s="1" t="s">
        <v>2013</v>
      </c>
      <c r="S449" s="15" t="s">
        <v>2082</v>
      </c>
      <c r="T449" s="15" t="s">
        <v>2442</v>
      </c>
      <c r="U449" s="25" t="s">
        <v>2090</v>
      </c>
      <c r="V449" s="25" t="s">
        <v>2435</v>
      </c>
      <c r="W449" s="80">
        <v>45153</v>
      </c>
      <c r="X449" s="21" t="s">
        <v>2819</v>
      </c>
    </row>
    <row r="450" spans="1:24" x14ac:dyDescent="0.2">
      <c r="A450" s="1">
        <v>447</v>
      </c>
      <c r="B450" s="1" t="s">
        <v>45</v>
      </c>
      <c r="C450" s="1" t="s">
        <v>2782</v>
      </c>
      <c r="D450" s="1" t="s">
        <v>2554</v>
      </c>
      <c r="E450" s="15" t="s">
        <v>828</v>
      </c>
      <c r="F450" s="66" t="s">
        <v>880</v>
      </c>
      <c r="G450" s="24" t="s">
        <v>2807</v>
      </c>
      <c r="H450" s="15" t="s">
        <v>2789</v>
      </c>
      <c r="I450" s="16">
        <v>44</v>
      </c>
      <c r="J450" s="16" t="str">
        <f t="shared" si="20"/>
        <v>Middle Age</v>
      </c>
      <c r="K450" s="25">
        <v>4</v>
      </c>
      <c r="L450" s="42">
        <v>3195</v>
      </c>
      <c r="M450" s="15">
        <f>1270-50</f>
        <v>1220</v>
      </c>
      <c r="N450" s="39">
        <f t="shared" ref="N450:N513" si="21">L450*K450</f>
        <v>12780</v>
      </c>
      <c r="O450" s="39">
        <f t="shared" ref="O450:O513" si="22">N450-(M450*K450)</f>
        <v>7900</v>
      </c>
      <c r="P450" s="24" t="s">
        <v>2044</v>
      </c>
      <c r="Q450" s="24" t="s">
        <v>2020</v>
      </c>
      <c r="R450" s="1" t="s">
        <v>2013</v>
      </c>
      <c r="S450" s="15" t="s">
        <v>2082</v>
      </c>
      <c r="T450" s="15" t="s">
        <v>2442</v>
      </c>
      <c r="U450" s="25" t="s">
        <v>2083</v>
      </c>
      <c r="V450" s="25" t="s">
        <v>2436</v>
      </c>
      <c r="W450" s="80">
        <v>45020</v>
      </c>
      <c r="X450" s="21" t="s">
        <v>2815</v>
      </c>
    </row>
    <row r="451" spans="1:24" x14ac:dyDescent="0.2">
      <c r="A451" s="1">
        <v>448</v>
      </c>
      <c r="B451" s="1" t="s">
        <v>45</v>
      </c>
      <c r="C451" s="1" t="s">
        <v>2782</v>
      </c>
      <c r="D451" s="1" t="s">
        <v>2554</v>
      </c>
      <c r="E451" s="15" t="s">
        <v>822</v>
      </c>
      <c r="F451" s="66" t="s">
        <v>881</v>
      </c>
      <c r="G451" s="24" t="s">
        <v>2809</v>
      </c>
      <c r="H451" s="15" t="s">
        <v>2789</v>
      </c>
      <c r="I451" s="16">
        <v>26</v>
      </c>
      <c r="J451" s="16" t="str">
        <f t="shared" ref="J451:J514" si="23">IF(I451&lt;=35,"Young",IF(I451&lt;=49,"Middle Age",IF(I451&gt;=50,"Old")))</f>
        <v>Young</v>
      </c>
      <c r="K451" s="25">
        <v>1</v>
      </c>
      <c r="L451" s="42">
        <v>3195</v>
      </c>
      <c r="M451" s="15">
        <f>1270-50</f>
        <v>1220</v>
      </c>
      <c r="N451" s="39">
        <f t="shared" si="21"/>
        <v>3195</v>
      </c>
      <c r="O451" s="39">
        <f t="shared" si="22"/>
        <v>1975</v>
      </c>
      <c r="P451" s="24" t="s">
        <v>2023</v>
      </c>
      <c r="Q451" s="15" t="s">
        <v>2828</v>
      </c>
      <c r="R451" s="1" t="s">
        <v>2013</v>
      </c>
      <c r="S451" s="15" t="s">
        <v>2082</v>
      </c>
      <c r="T451" s="15" t="s">
        <v>2442</v>
      </c>
      <c r="U451" s="25" t="s">
        <v>2090</v>
      </c>
      <c r="V451" s="25" t="s">
        <v>2434</v>
      </c>
      <c r="W451" s="80">
        <v>45165</v>
      </c>
      <c r="X451" s="21" t="s">
        <v>2819</v>
      </c>
    </row>
    <row r="452" spans="1:24" x14ac:dyDescent="0.2">
      <c r="A452" s="1">
        <v>449</v>
      </c>
      <c r="B452" s="1" t="s">
        <v>56</v>
      </c>
      <c r="C452" s="1" t="s">
        <v>2782</v>
      </c>
      <c r="D452" s="1" t="s">
        <v>2555</v>
      </c>
      <c r="E452" s="15" t="s">
        <v>822</v>
      </c>
      <c r="F452" s="66" t="s">
        <v>882</v>
      </c>
      <c r="G452" s="24" t="s">
        <v>2794</v>
      </c>
      <c r="H452" s="15" t="s">
        <v>2788</v>
      </c>
      <c r="I452" s="16">
        <v>48</v>
      </c>
      <c r="J452" s="16" t="str">
        <f t="shared" si="23"/>
        <v>Middle Age</v>
      </c>
      <c r="K452" s="25">
        <v>5</v>
      </c>
      <c r="L452" s="42">
        <v>2600</v>
      </c>
      <c r="M452" s="15">
        <v>1140</v>
      </c>
      <c r="N452" s="39">
        <f t="shared" si="21"/>
        <v>13000</v>
      </c>
      <c r="O452" s="39">
        <f t="shared" si="22"/>
        <v>7300</v>
      </c>
      <c r="P452" s="24" t="s">
        <v>2046</v>
      </c>
      <c r="Q452" s="24" t="s">
        <v>2016</v>
      </c>
      <c r="R452" s="1" t="s">
        <v>2013</v>
      </c>
      <c r="S452" s="15" t="s">
        <v>2082</v>
      </c>
      <c r="T452" s="15" t="s">
        <v>2442</v>
      </c>
      <c r="U452" s="25" t="s">
        <v>2084</v>
      </c>
      <c r="V452" s="25" t="s">
        <v>2437</v>
      </c>
      <c r="W452" s="80">
        <v>45066</v>
      </c>
      <c r="X452" s="21" t="s">
        <v>2786</v>
      </c>
    </row>
    <row r="453" spans="1:24" x14ac:dyDescent="0.2">
      <c r="A453" s="1">
        <v>450</v>
      </c>
      <c r="B453" s="1" t="s">
        <v>176</v>
      </c>
      <c r="C453" s="1" t="s">
        <v>2782</v>
      </c>
      <c r="D453" s="1" t="s">
        <v>175</v>
      </c>
      <c r="E453" s="15" t="s">
        <v>863</v>
      </c>
      <c r="F453" s="66" t="s">
        <v>881</v>
      </c>
      <c r="G453" s="24" t="s">
        <v>2792</v>
      </c>
      <c r="H453" s="15" t="s">
        <v>2789</v>
      </c>
      <c r="I453" s="16">
        <v>53</v>
      </c>
      <c r="J453" s="16" t="str">
        <f t="shared" si="23"/>
        <v>Old</v>
      </c>
      <c r="K453" s="25">
        <v>3</v>
      </c>
      <c r="L453" s="42">
        <f>6000+500</f>
        <v>6500</v>
      </c>
      <c r="M453" s="15">
        <f>3000+320</f>
        <v>3320</v>
      </c>
      <c r="N453" s="39">
        <f t="shared" si="21"/>
        <v>19500</v>
      </c>
      <c r="O453" s="39">
        <f t="shared" si="22"/>
        <v>9540</v>
      </c>
      <c r="P453" s="24" t="s">
        <v>2051</v>
      </c>
      <c r="Q453" s="15" t="s">
        <v>2828</v>
      </c>
      <c r="R453" s="1" t="s">
        <v>2013</v>
      </c>
      <c r="S453" s="15" t="s">
        <v>2082</v>
      </c>
      <c r="T453" s="15" t="s">
        <v>2442</v>
      </c>
      <c r="U453" s="25" t="s">
        <v>2083</v>
      </c>
      <c r="V453" s="25" t="s">
        <v>2435</v>
      </c>
      <c r="W453" s="80">
        <v>45003</v>
      </c>
      <c r="X453" s="21" t="s">
        <v>2816</v>
      </c>
    </row>
    <row r="454" spans="1:24" x14ac:dyDescent="0.2">
      <c r="A454" s="1">
        <v>451</v>
      </c>
      <c r="B454" s="1" t="s">
        <v>1</v>
      </c>
      <c r="C454" s="1" t="s">
        <v>2782</v>
      </c>
      <c r="D454" s="1" t="s">
        <v>2556</v>
      </c>
      <c r="E454" s="35" t="s">
        <v>864</v>
      </c>
      <c r="F454" s="66" t="s">
        <v>883</v>
      </c>
      <c r="G454" s="24" t="s">
        <v>2796</v>
      </c>
      <c r="H454" s="15" t="s">
        <v>2788</v>
      </c>
      <c r="I454" s="16">
        <v>30</v>
      </c>
      <c r="J454" s="16" t="str">
        <f t="shared" si="23"/>
        <v>Young</v>
      </c>
      <c r="K454" s="25">
        <v>2</v>
      </c>
      <c r="L454" s="42">
        <v>980</v>
      </c>
      <c r="M454" s="76">
        <f>500+245</f>
        <v>745</v>
      </c>
      <c r="N454" s="39">
        <f t="shared" si="21"/>
        <v>1960</v>
      </c>
      <c r="O454" s="39">
        <f t="shared" si="22"/>
        <v>470</v>
      </c>
      <c r="P454" s="24" t="s">
        <v>2050</v>
      </c>
      <c r="Q454" s="24" t="s">
        <v>2024</v>
      </c>
      <c r="R454" s="1" t="s">
        <v>2013</v>
      </c>
      <c r="S454" s="15" t="s">
        <v>2082</v>
      </c>
      <c r="T454" s="15" t="s">
        <v>2442</v>
      </c>
      <c r="U454" s="25" t="s">
        <v>2087</v>
      </c>
      <c r="V454" s="25" t="s">
        <v>2434</v>
      </c>
      <c r="W454" s="80">
        <v>45147</v>
      </c>
      <c r="X454" s="21" t="s">
        <v>2819</v>
      </c>
    </row>
    <row r="455" spans="1:24" x14ac:dyDescent="0.2">
      <c r="A455" s="1">
        <v>452</v>
      </c>
      <c r="B455" s="1" t="s">
        <v>178</v>
      </c>
      <c r="C455" s="1" t="s">
        <v>2782</v>
      </c>
      <c r="D455" s="1" t="s">
        <v>177</v>
      </c>
      <c r="E455" s="35" t="s">
        <v>823</v>
      </c>
      <c r="F455" s="66" t="s">
        <v>884</v>
      </c>
      <c r="G455" s="24" t="s">
        <v>2798</v>
      </c>
      <c r="H455" s="15" t="s">
        <v>2788</v>
      </c>
      <c r="I455" s="16">
        <v>37</v>
      </c>
      <c r="J455" s="16" t="str">
        <f t="shared" si="23"/>
        <v>Middle Age</v>
      </c>
      <c r="K455" s="25">
        <v>4</v>
      </c>
      <c r="L455" s="42">
        <v>2500</v>
      </c>
      <c r="M455" s="15">
        <f>1250+250</f>
        <v>1500</v>
      </c>
      <c r="N455" s="39">
        <f t="shared" si="21"/>
        <v>10000</v>
      </c>
      <c r="O455" s="39">
        <f t="shared" si="22"/>
        <v>4000</v>
      </c>
      <c r="P455" s="24" t="s">
        <v>2037</v>
      </c>
      <c r="Q455" s="24" t="s">
        <v>2014</v>
      </c>
      <c r="R455" s="1" t="s">
        <v>2013</v>
      </c>
      <c r="S455" s="15" t="s">
        <v>2082</v>
      </c>
      <c r="T455" s="15" t="s">
        <v>2442</v>
      </c>
      <c r="U455" s="25" t="s">
        <v>2085</v>
      </c>
      <c r="V455" s="25" t="s">
        <v>2436</v>
      </c>
      <c r="W455" s="80">
        <v>45110</v>
      </c>
      <c r="X455" s="21" t="s">
        <v>2813</v>
      </c>
    </row>
    <row r="456" spans="1:24" x14ac:dyDescent="0.2">
      <c r="A456" s="1">
        <v>453</v>
      </c>
      <c r="B456" s="1" t="s">
        <v>180</v>
      </c>
      <c r="C456" s="1" t="s">
        <v>2782</v>
      </c>
      <c r="D456" s="1" t="s">
        <v>179</v>
      </c>
      <c r="E456" s="35" t="s">
        <v>823</v>
      </c>
      <c r="F456" s="67" t="s">
        <v>931</v>
      </c>
      <c r="G456" s="24" t="s">
        <v>2800</v>
      </c>
      <c r="H456" s="15" t="s">
        <v>2788</v>
      </c>
      <c r="I456" s="16">
        <v>42</v>
      </c>
      <c r="J456" s="16" t="str">
        <f t="shared" si="23"/>
        <v>Middle Age</v>
      </c>
      <c r="K456" s="25">
        <v>1</v>
      </c>
      <c r="L456" s="42">
        <v>3180</v>
      </c>
      <c r="M456" s="15">
        <f>1520+80+318-80</f>
        <v>1838</v>
      </c>
      <c r="N456" s="39">
        <f t="shared" si="21"/>
        <v>3180</v>
      </c>
      <c r="O456" s="39">
        <f t="shared" si="22"/>
        <v>1342</v>
      </c>
      <c r="P456" s="24" t="s">
        <v>2039</v>
      </c>
      <c r="Q456" s="24" t="s">
        <v>2014</v>
      </c>
      <c r="R456" s="1" t="s">
        <v>2013</v>
      </c>
      <c r="S456" s="15" t="s">
        <v>2082</v>
      </c>
      <c r="T456" s="15" t="s">
        <v>2442</v>
      </c>
      <c r="U456" s="25" t="s">
        <v>2090</v>
      </c>
      <c r="V456" s="25" t="s">
        <v>2437</v>
      </c>
      <c r="W456" s="80">
        <v>44992</v>
      </c>
      <c r="X456" s="21" t="s">
        <v>2816</v>
      </c>
    </row>
    <row r="457" spans="1:24" x14ac:dyDescent="0.2">
      <c r="A457" s="1">
        <v>454</v>
      </c>
      <c r="B457" s="1" t="s">
        <v>181</v>
      </c>
      <c r="C457" s="1" t="s">
        <v>2782</v>
      </c>
      <c r="D457" s="1" t="s">
        <v>2557</v>
      </c>
      <c r="E457" s="35" t="s">
        <v>863</v>
      </c>
      <c r="F457" s="66" t="s">
        <v>929</v>
      </c>
      <c r="G457" s="24" t="s">
        <v>2802</v>
      </c>
      <c r="H457" s="15" t="s">
        <v>2788</v>
      </c>
      <c r="I457" s="16">
        <v>24</v>
      </c>
      <c r="J457" s="16" t="str">
        <f t="shared" si="23"/>
        <v>Young</v>
      </c>
      <c r="K457" s="25">
        <v>5</v>
      </c>
      <c r="L457" s="42">
        <v>4610</v>
      </c>
      <c r="M457" s="15">
        <f>1560+461+409</f>
        <v>2430</v>
      </c>
      <c r="N457" s="39">
        <f t="shared" si="21"/>
        <v>23050</v>
      </c>
      <c r="O457" s="39">
        <f t="shared" si="22"/>
        <v>10900</v>
      </c>
      <c r="P457" s="24" t="s">
        <v>2040</v>
      </c>
      <c r="Q457" s="15" t="s">
        <v>2014</v>
      </c>
      <c r="R457" s="1" t="s">
        <v>2013</v>
      </c>
      <c r="S457" s="15" t="s">
        <v>2082</v>
      </c>
      <c r="T457" s="15" t="s">
        <v>2442</v>
      </c>
      <c r="U457" s="25" t="s">
        <v>2085</v>
      </c>
      <c r="V457" s="25" t="s">
        <v>2435</v>
      </c>
      <c r="W457" s="80">
        <v>45199</v>
      </c>
      <c r="X457" s="21" t="s">
        <v>2820</v>
      </c>
    </row>
    <row r="458" spans="1:24" x14ac:dyDescent="0.2">
      <c r="A458" s="1">
        <v>455</v>
      </c>
      <c r="B458" s="1" t="s">
        <v>176</v>
      </c>
      <c r="C458" s="1" t="s">
        <v>2782</v>
      </c>
      <c r="D458" s="1" t="s">
        <v>2558</v>
      </c>
      <c r="E458" s="35" t="s">
        <v>822</v>
      </c>
      <c r="F458" s="66" t="s">
        <v>882</v>
      </c>
      <c r="G458" s="24" t="s">
        <v>2804</v>
      </c>
      <c r="H458" s="15" t="s">
        <v>2788</v>
      </c>
      <c r="I458" s="16">
        <v>57</v>
      </c>
      <c r="J458" s="16" t="str">
        <f t="shared" si="23"/>
        <v>Old</v>
      </c>
      <c r="K458" s="25">
        <v>2</v>
      </c>
      <c r="L458" s="42">
        <f>6345+450</f>
        <v>6795</v>
      </c>
      <c r="M458" s="15">
        <f>2700+300+380+680-80</f>
        <v>3980</v>
      </c>
      <c r="N458" s="39">
        <f t="shared" si="21"/>
        <v>13590</v>
      </c>
      <c r="O458" s="39">
        <f t="shared" si="22"/>
        <v>5630</v>
      </c>
      <c r="P458" s="24" t="s">
        <v>2019</v>
      </c>
      <c r="Q458" s="24" t="s">
        <v>2014</v>
      </c>
      <c r="R458" s="1" t="s">
        <v>2013</v>
      </c>
      <c r="S458" s="15" t="s">
        <v>2082</v>
      </c>
      <c r="T458" s="15" t="s">
        <v>2442</v>
      </c>
      <c r="U458" s="25" t="s">
        <v>2088</v>
      </c>
      <c r="V458" s="25" t="s">
        <v>2436</v>
      </c>
      <c r="W458" s="80">
        <v>44959</v>
      </c>
      <c r="X458" s="21" t="s">
        <v>2817</v>
      </c>
    </row>
    <row r="459" spans="1:24" x14ac:dyDescent="0.2">
      <c r="A459" s="1">
        <v>456</v>
      </c>
      <c r="B459" s="1" t="s">
        <v>45</v>
      </c>
      <c r="C459" s="1" t="s">
        <v>2782</v>
      </c>
      <c r="D459" s="1" t="s">
        <v>2559</v>
      </c>
      <c r="E459" s="35" t="s">
        <v>864</v>
      </c>
      <c r="F459" s="66" t="s">
        <v>930</v>
      </c>
      <c r="G459" s="24" t="s">
        <v>2806</v>
      </c>
      <c r="H459" s="15" t="s">
        <v>2788</v>
      </c>
      <c r="I459" s="16">
        <v>35</v>
      </c>
      <c r="J459" s="16" t="str">
        <f t="shared" si="23"/>
        <v>Young</v>
      </c>
      <c r="K459" s="25">
        <v>3</v>
      </c>
      <c r="L459" s="42">
        <f>5916+450</f>
        <v>6366</v>
      </c>
      <c r="M459" s="15">
        <f>1570+1200+1050+380-40</f>
        <v>4160</v>
      </c>
      <c r="N459" s="39">
        <f t="shared" si="21"/>
        <v>19098</v>
      </c>
      <c r="O459" s="39">
        <f t="shared" si="22"/>
        <v>6618</v>
      </c>
      <c r="P459" s="24" t="s">
        <v>2059</v>
      </c>
      <c r="Q459" s="24" t="s">
        <v>2016</v>
      </c>
      <c r="R459" s="1" t="s">
        <v>2013</v>
      </c>
      <c r="S459" s="15" t="s">
        <v>2082</v>
      </c>
      <c r="T459" s="15" t="s">
        <v>2442</v>
      </c>
      <c r="U459" s="25" t="s">
        <v>2084</v>
      </c>
      <c r="V459" s="25" t="s">
        <v>2434</v>
      </c>
      <c r="W459" s="80">
        <v>45138</v>
      </c>
      <c r="X459" s="21" t="s">
        <v>2813</v>
      </c>
    </row>
    <row r="460" spans="1:24" x14ac:dyDescent="0.2">
      <c r="A460" s="1">
        <v>457</v>
      </c>
      <c r="B460" s="1" t="s">
        <v>1</v>
      </c>
      <c r="C460" s="1" t="s">
        <v>2782</v>
      </c>
      <c r="D460" s="1" t="s">
        <v>2560</v>
      </c>
      <c r="E460" s="15" t="s">
        <v>863</v>
      </c>
      <c r="F460" s="67" t="s">
        <v>887</v>
      </c>
      <c r="G460" s="24" t="s">
        <v>2808</v>
      </c>
      <c r="H460" s="15" t="s">
        <v>2788</v>
      </c>
      <c r="I460" s="16">
        <v>40</v>
      </c>
      <c r="J460" s="16" t="str">
        <f t="shared" si="23"/>
        <v>Middle Age</v>
      </c>
      <c r="K460" s="25">
        <v>4</v>
      </c>
      <c r="L460" s="42">
        <v>800</v>
      </c>
      <c r="M460" s="15">
        <f>440+200</f>
        <v>640</v>
      </c>
      <c r="N460" s="39">
        <f t="shared" si="21"/>
        <v>3200</v>
      </c>
      <c r="O460" s="39">
        <f t="shared" si="22"/>
        <v>640</v>
      </c>
      <c r="P460" s="24" t="s">
        <v>2043</v>
      </c>
      <c r="Q460" s="24" t="s">
        <v>2016</v>
      </c>
      <c r="R460" s="1" t="s">
        <v>2013</v>
      </c>
      <c r="S460" s="15" t="s">
        <v>2082</v>
      </c>
      <c r="T460" s="15" t="s">
        <v>2442</v>
      </c>
      <c r="U460" s="25" t="s">
        <v>2085</v>
      </c>
      <c r="V460" s="25" t="s">
        <v>2437</v>
      </c>
      <c r="W460" s="80">
        <v>45060</v>
      </c>
      <c r="X460" s="21" t="s">
        <v>2786</v>
      </c>
    </row>
    <row r="461" spans="1:24" x14ac:dyDescent="0.2">
      <c r="A461" s="1">
        <v>458</v>
      </c>
      <c r="B461" s="1" t="s">
        <v>183</v>
      </c>
      <c r="C461" s="1" t="s">
        <v>2782</v>
      </c>
      <c r="D461" s="1" t="s">
        <v>182</v>
      </c>
      <c r="E461" s="15" t="s">
        <v>864</v>
      </c>
      <c r="F461" s="66" t="s">
        <v>888</v>
      </c>
      <c r="G461" s="24" t="s">
        <v>2810</v>
      </c>
      <c r="H461" s="15" t="s">
        <v>2788</v>
      </c>
      <c r="I461" s="16">
        <v>21</v>
      </c>
      <c r="J461" s="16" t="str">
        <f t="shared" si="23"/>
        <v>Young</v>
      </c>
      <c r="K461" s="25">
        <v>1</v>
      </c>
      <c r="L461" s="42">
        <v>2600</v>
      </c>
      <c r="M461" s="15">
        <f>1030+260-80</f>
        <v>1210</v>
      </c>
      <c r="N461" s="39">
        <f t="shared" si="21"/>
        <v>2600</v>
      </c>
      <c r="O461" s="39">
        <f t="shared" si="22"/>
        <v>1390</v>
      </c>
      <c r="P461" s="24" t="s">
        <v>2062</v>
      </c>
      <c r="Q461" s="15" t="s">
        <v>2828</v>
      </c>
      <c r="R461" s="1" t="s">
        <v>2013</v>
      </c>
      <c r="S461" s="15" t="s">
        <v>2082</v>
      </c>
      <c r="T461" s="15" t="s">
        <v>2442</v>
      </c>
      <c r="U461" s="25" t="s">
        <v>2086</v>
      </c>
      <c r="V461" s="25" t="s">
        <v>2435</v>
      </c>
      <c r="W461" s="80">
        <v>45105</v>
      </c>
      <c r="X461" s="21" t="s">
        <v>2814</v>
      </c>
    </row>
    <row r="462" spans="1:24" x14ac:dyDescent="0.2">
      <c r="A462" s="1">
        <v>459</v>
      </c>
      <c r="B462" s="1" t="s">
        <v>184</v>
      </c>
      <c r="C462" s="1" t="s">
        <v>2782</v>
      </c>
      <c r="D462" s="1" t="s">
        <v>2561</v>
      </c>
      <c r="E462" s="15" t="s">
        <v>822</v>
      </c>
      <c r="F462" s="67" t="s">
        <v>889</v>
      </c>
      <c r="G462" s="24" t="s">
        <v>2793</v>
      </c>
      <c r="H462" s="15" t="s">
        <v>2788</v>
      </c>
      <c r="I462" s="16">
        <v>59</v>
      </c>
      <c r="J462" s="16" t="str">
        <f t="shared" si="23"/>
        <v>Old</v>
      </c>
      <c r="K462" s="25">
        <v>5</v>
      </c>
      <c r="L462" s="42">
        <v>5850</v>
      </c>
      <c r="M462" s="15">
        <f>2550+380+585-80</f>
        <v>3435</v>
      </c>
      <c r="N462" s="39">
        <f t="shared" si="21"/>
        <v>29250</v>
      </c>
      <c r="O462" s="39">
        <f t="shared" si="22"/>
        <v>12075</v>
      </c>
      <c r="P462" s="24" t="s">
        <v>2058</v>
      </c>
      <c r="Q462" s="24" t="s">
        <v>2020</v>
      </c>
      <c r="R462" s="1" t="s">
        <v>2013</v>
      </c>
      <c r="S462" s="15" t="s">
        <v>2082</v>
      </c>
      <c r="T462" s="15" t="s">
        <v>2442</v>
      </c>
      <c r="U462" s="25" t="s">
        <v>2084</v>
      </c>
      <c r="V462" s="25" t="s">
        <v>2434</v>
      </c>
      <c r="W462" s="80">
        <v>44978</v>
      </c>
      <c r="X462" s="21" t="s">
        <v>2817</v>
      </c>
    </row>
    <row r="463" spans="1:24" x14ac:dyDescent="0.2">
      <c r="A463" s="1">
        <v>460</v>
      </c>
      <c r="B463" s="1" t="s">
        <v>1</v>
      </c>
      <c r="C463" s="1" t="s">
        <v>2782</v>
      </c>
      <c r="D463" s="1" t="s">
        <v>2556</v>
      </c>
      <c r="E463" s="15" t="s">
        <v>823</v>
      </c>
      <c r="F463" s="67" t="s">
        <v>890</v>
      </c>
      <c r="G463" s="24" t="s">
        <v>2791</v>
      </c>
      <c r="H463" s="15" t="s">
        <v>2788</v>
      </c>
      <c r="I463" s="16">
        <v>34</v>
      </c>
      <c r="J463" s="16" t="str">
        <f t="shared" si="23"/>
        <v>Young</v>
      </c>
      <c r="K463" s="25">
        <v>3</v>
      </c>
      <c r="L463" s="42">
        <v>980</v>
      </c>
      <c r="M463" s="15">
        <f>500+245</f>
        <v>745</v>
      </c>
      <c r="N463" s="39">
        <f t="shared" si="21"/>
        <v>2940</v>
      </c>
      <c r="O463" s="39">
        <f t="shared" si="22"/>
        <v>705</v>
      </c>
      <c r="P463" s="24" t="s">
        <v>2055</v>
      </c>
      <c r="Q463" s="24" t="s">
        <v>2014</v>
      </c>
      <c r="R463" s="1" t="s">
        <v>2013</v>
      </c>
      <c r="S463" s="15" t="s">
        <v>2082</v>
      </c>
      <c r="T463" s="15" t="s">
        <v>2442</v>
      </c>
      <c r="U463" s="25" t="s">
        <v>2089</v>
      </c>
      <c r="V463" s="25" t="s">
        <v>2436</v>
      </c>
      <c r="W463" s="80">
        <v>45081</v>
      </c>
      <c r="X463" s="21" t="s">
        <v>2814</v>
      </c>
    </row>
    <row r="464" spans="1:24" x14ac:dyDescent="0.2">
      <c r="A464" s="1">
        <v>461</v>
      </c>
      <c r="B464" s="1" t="s">
        <v>1</v>
      </c>
      <c r="C464" s="1" t="s">
        <v>2782</v>
      </c>
      <c r="D464" s="1" t="s">
        <v>2562</v>
      </c>
      <c r="E464" s="15" t="s">
        <v>828</v>
      </c>
      <c r="F464" s="66" t="s">
        <v>891</v>
      </c>
      <c r="G464" s="24" t="s">
        <v>2795</v>
      </c>
      <c r="H464" s="15" t="s">
        <v>2788</v>
      </c>
      <c r="I464" s="16">
        <v>27</v>
      </c>
      <c r="J464" s="16" t="str">
        <f t="shared" si="23"/>
        <v>Young</v>
      </c>
      <c r="K464" s="25">
        <v>2</v>
      </c>
      <c r="L464" s="42">
        <v>1080</v>
      </c>
      <c r="M464" s="15">
        <f>440+50+70+250-80</f>
        <v>730</v>
      </c>
      <c r="N464" s="39">
        <f t="shared" si="21"/>
        <v>2160</v>
      </c>
      <c r="O464" s="39">
        <f t="shared" si="22"/>
        <v>700</v>
      </c>
      <c r="P464" s="24" t="s">
        <v>2053</v>
      </c>
      <c r="Q464" s="24" t="s">
        <v>2014</v>
      </c>
      <c r="R464" s="1" t="s">
        <v>2013</v>
      </c>
      <c r="S464" s="15" t="s">
        <v>2082</v>
      </c>
      <c r="T464" s="15" t="s">
        <v>2442</v>
      </c>
      <c r="U464" s="25" t="s">
        <v>2085</v>
      </c>
      <c r="V464" s="25" t="s">
        <v>2437</v>
      </c>
      <c r="W464" s="80">
        <v>44954</v>
      </c>
      <c r="X464" s="21" t="s">
        <v>2818</v>
      </c>
    </row>
    <row r="465" spans="1:24" x14ac:dyDescent="0.2">
      <c r="A465" s="1">
        <v>462</v>
      </c>
      <c r="B465" s="1" t="s">
        <v>849</v>
      </c>
      <c r="C465" s="1" t="s">
        <v>2782</v>
      </c>
      <c r="D465" s="1" t="s">
        <v>374</v>
      </c>
      <c r="E465" s="15" t="s">
        <v>822</v>
      </c>
      <c r="F465" s="67" t="s">
        <v>892</v>
      </c>
      <c r="G465" s="24" t="s">
        <v>2797</v>
      </c>
      <c r="H465" s="15" t="s">
        <v>2789</v>
      </c>
      <c r="I465" s="16">
        <v>45</v>
      </c>
      <c r="J465" s="16" t="str">
        <f t="shared" si="23"/>
        <v>Middle Age</v>
      </c>
      <c r="K465" s="25">
        <v>4</v>
      </c>
      <c r="L465" s="42">
        <v>2650</v>
      </c>
      <c r="M465" s="15">
        <f>2250-50</f>
        <v>2200</v>
      </c>
      <c r="N465" s="39">
        <f t="shared" si="21"/>
        <v>10600</v>
      </c>
      <c r="O465" s="39">
        <f t="shared" si="22"/>
        <v>1800</v>
      </c>
      <c r="P465" s="24" t="s">
        <v>2052</v>
      </c>
      <c r="Q465" s="15" t="s">
        <v>2016</v>
      </c>
      <c r="R465" s="1" t="s">
        <v>2013</v>
      </c>
      <c r="S465" s="15" t="s">
        <v>2082</v>
      </c>
      <c r="T465" s="15" t="s">
        <v>2442</v>
      </c>
      <c r="U465" s="25" t="s">
        <v>2086</v>
      </c>
      <c r="V465" s="25" t="s">
        <v>2435</v>
      </c>
      <c r="W465" s="80">
        <v>44932</v>
      </c>
      <c r="X465" s="21" t="s">
        <v>2818</v>
      </c>
    </row>
    <row r="466" spans="1:24" x14ac:dyDescent="0.2">
      <c r="A466" s="1">
        <v>463</v>
      </c>
      <c r="B466" s="1" t="s">
        <v>186</v>
      </c>
      <c r="C466" s="1" t="s">
        <v>2782</v>
      </c>
      <c r="D466" s="1" t="s">
        <v>185</v>
      </c>
      <c r="E466" s="15" t="s">
        <v>817</v>
      </c>
      <c r="F466" s="67" t="s">
        <v>876</v>
      </c>
      <c r="G466" s="24" t="s">
        <v>2799</v>
      </c>
      <c r="H466" s="15" t="s">
        <v>2788</v>
      </c>
      <c r="I466" s="16">
        <v>52</v>
      </c>
      <c r="J466" s="16" t="str">
        <f t="shared" si="23"/>
        <v>Old</v>
      </c>
      <c r="K466" s="25">
        <v>1</v>
      </c>
      <c r="L466" s="42">
        <v>3120</v>
      </c>
      <c r="M466" s="15">
        <f>1300+310-50</f>
        <v>1560</v>
      </c>
      <c r="N466" s="39">
        <f t="shared" si="21"/>
        <v>3120</v>
      </c>
      <c r="O466" s="39">
        <f t="shared" si="22"/>
        <v>1560</v>
      </c>
      <c r="P466" s="24" t="s">
        <v>2033</v>
      </c>
      <c r="Q466" s="24" t="s">
        <v>2016</v>
      </c>
      <c r="R466" s="1" t="s">
        <v>2013</v>
      </c>
      <c r="S466" s="15" t="s">
        <v>2082</v>
      </c>
      <c r="T466" s="15" t="s">
        <v>2442</v>
      </c>
      <c r="U466" s="25" t="s">
        <v>2088</v>
      </c>
      <c r="V466" s="25" t="s">
        <v>2436</v>
      </c>
      <c r="W466" s="80">
        <v>45214</v>
      </c>
      <c r="X466" s="21" t="s">
        <v>2821</v>
      </c>
    </row>
    <row r="467" spans="1:24" x14ac:dyDescent="0.2">
      <c r="A467" s="1">
        <v>464</v>
      </c>
      <c r="B467" s="1" t="s">
        <v>188</v>
      </c>
      <c r="C467" s="1" t="s">
        <v>2782</v>
      </c>
      <c r="D467" s="1" t="s">
        <v>187</v>
      </c>
      <c r="E467" s="15" t="s">
        <v>823</v>
      </c>
      <c r="F467" s="67" t="s">
        <v>885</v>
      </c>
      <c r="G467" s="24" t="s">
        <v>2801</v>
      </c>
      <c r="H467" s="15" t="s">
        <v>2789</v>
      </c>
      <c r="I467" s="16">
        <v>23</v>
      </c>
      <c r="J467" s="16" t="str">
        <f t="shared" si="23"/>
        <v>Young</v>
      </c>
      <c r="K467" s="25">
        <v>5</v>
      </c>
      <c r="L467" s="42">
        <v>6000</v>
      </c>
      <c r="M467" s="15">
        <f>3900-50</f>
        <v>3850</v>
      </c>
      <c r="N467" s="39">
        <f t="shared" si="21"/>
        <v>30000</v>
      </c>
      <c r="O467" s="39">
        <f t="shared" si="22"/>
        <v>10750</v>
      </c>
      <c r="P467" s="24" t="s">
        <v>2034</v>
      </c>
      <c r="Q467" s="24" t="s">
        <v>2016</v>
      </c>
      <c r="R467" s="1" t="s">
        <v>2013</v>
      </c>
      <c r="S467" s="15" t="s">
        <v>2082</v>
      </c>
      <c r="T467" s="15" t="s">
        <v>2442</v>
      </c>
      <c r="U467" s="25" t="s">
        <v>2084</v>
      </c>
      <c r="V467" s="25" t="s">
        <v>2434</v>
      </c>
      <c r="W467" s="80">
        <v>45138</v>
      </c>
      <c r="X467" s="21" t="s">
        <v>2813</v>
      </c>
    </row>
    <row r="468" spans="1:24" x14ac:dyDescent="0.2">
      <c r="A468" s="1">
        <v>465</v>
      </c>
      <c r="B468" s="1" t="s">
        <v>1</v>
      </c>
      <c r="C468" s="1" t="s">
        <v>2782</v>
      </c>
      <c r="D468" s="1" t="s">
        <v>2563</v>
      </c>
      <c r="E468" s="15" t="s">
        <v>828</v>
      </c>
      <c r="F468" s="67" t="s">
        <v>893</v>
      </c>
      <c r="G468" s="24" t="s">
        <v>2803</v>
      </c>
      <c r="H468" s="15" t="s">
        <v>2789</v>
      </c>
      <c r="I468" s="16">
        <v>38</v>
      </c>
      <c r="J468" s="16" t="str">
        <f t="shared" si="23"/>
        <v>Middle Age</v>
      </c>
      <c r="K468" s="25">
        <v>2</v>
      </c>
      <c r="L468" s="42">
        <v>1000</v>
      </c>
      <c r="M468" s="15">
        <f>420+150</f>
        <v>570</v>
      </c>
      <c r="N468" s="39">
        <f t="shared" si="21"/>
        <v>2000</v>
      </c>
      <c r="O468" s="39">
        <f t="shared" si="22"/>
        <v>860</v>
      </c>
      <c r="P468" s="24" t="s">
        <v>2054</v>
      </c>
      <c r="Q468" s="24" t="s">
        <v>2016</v>
      </c>
      <c r="R468" s="1" t="s">
        <v>2013</v>
      </c>
      <c r="S468" s="15" t="s">
        <v>2082</v>
      </c>
      <c r="T468" s="15" t="s">
        <v>2442</v>
      </c>
      <c r="U468" s="25" t="s">
        <v>2084</v>
      </c>
      <c r="V468" s="25" t="s">
        <v>2437</v>
      </c>
      <c r="W468" s="80">
        <v>45205</v>
      </c>
      <c r="X468" s="21" t="s">
        <v>2821</v>
      </c>
    </row>
    <row r="469" spans="1:24" x14ac:dyDescent="0.2">
      <c r="A469" s="1">
        <v>466</v>
      </c>
      <c r="B469" s="1" t="s">
        <v>17</v>
      </c>
      <c r="C469" s="1" t="s">
        <v>2782</v>
      </c>
      <c r="D469" s="1" t="s">
        <v>2564</v>
      </c>
      <c r="E469" s="15" t="s">
        <v>822</v>
      </c>
      <c r="F469" s="67" t="s">
        <v>894</v>
      </c>
      <c r="G469" s="24" t="s">
        <v>2805</v>
      </c>
      <c r="H469" s="15" t="s">
        <v>2789</v>
      </c>
      <c r="I469" s="16">
        <v>41</v>
      </c>
      <c r="J469" s="16" t="str">
        <f t="shared" si="23"/>
        <v>Middle Age</v>
      </c>
      <c r="K469" s="25">
        <v>3</v>
      </c>
      <c r="L469" s="42">
        <v>1650</v>
      </c>
      <c r="M469" s="15">
        <f>760+80</f>
        <v>840</v>
      </c>
      <c r="N469" s="39">
        <f t="shared" si="21"/>
        <v>4950</v>
      </c>
      <c r="O469" s="39">
        <f t="shared" si="22"/>
        <v>2430</v>
      </c>
      <c r="P469" s="24" t="s">
        <v>2031</v>
      </c>
      <c r="Q469" s="24" t="s">
        <v>2016</v>
      </c>
      <c r="R469" s="1" t="s">
        <v>2013</v>
      </c>
      <c r="S469" s="15" t="s">
        <v>2082</v>
      </c>
      <c r="T469" s="15" t="s">
        <v>2442</v>
      </c>
      <c r="U469" s="25" t="s">
        <v>2087</v>
      </c>
      <c r="V469" s="25" t="s">
        <v>2435</v>
      </c>
      <c r="W469" s="80">
        <v>45170</v>
      </c>
      <c r="X469" s="21" t="s">
        <v>2820</v>
      </c>
    </row>
    <row r="470" spans="1:24" x14ac:dyDescent="0.2">
      <c r="A470" s="1">
        <v>467</v>
      </c>
      <c r="B470" s="1" t="s">
        <v>1</v>
      </c>
      <c r="C470" s="1" t="s">
        <v>2782</v>
      </c>
      <c r="D470" s="1" t="s">
        <v>2565</v>
      </c>
      <c r="E470" s="15" t="s">
        <v>822</v>
      </c>
      <c r="F470" s="66" t="s">
        <v>25</v>
      </c>
      <c r="G470" s="24" t="s">
        <v>2807</v>
      </c>
      <c r="H470" s="15" t="s">
        <v>2789</v>
      </c>
      <c r="I470" s="16">
        <v>29</v>
      </c>
      <c r="J470" s="16" t="str">
        <f t="shared" si="23"/>
        <v>Young</v>
      </c>
      <c r="K470" s="25">
        <v>4</v>
      </c>
      <c r="L470" s="42">
        <v>1390</v>
      </c>
      <c r="M470" s="15">
        <v>720</v>
      </c>
      <c r="N470" s="39">
        <f t="shared" si="21"/>
        <v>5560</v>
      </c>
      <c r="O470" s="39">
        <f t="shared" si="22"/>
        <v>2680</v>
      </c>
      <c r="P470" s="24" t="s">
        <v>2058</v>
      </c>
      <c r="Q470" s="24" t="s">
        <v>2020</v>
      </c>
      <c r="R470" s="1" t="s">
        <v>2013</v>
      </c>
      <c r="S470" s="15" t="s">
        <v>2082</v>
      </c>
      <c r="T470" s="15" t="s">
        <v>2442</v>
      </c>
      <c r="U470" s="25" t="s">
        <v>2084</v>
      </c>
      <c r="V470" s="25" t="s">
        <v>2434</v>
      </c>
      <c r="W470" s="80">
        <v>45126</v>
      </c>
      <c r="X470" s="21" t="s">
        <v>2813</v>
      </c>
    </row>
    <row r="471" spans="1:24" x14ac:dyDescent="0.2">
      <c r="A471" s="1">
        <v>468</v>
      </c>
      <c r="B471" s="1" t="s">
        <v>17</v>
      </c>
      <c r="C471" s="1" t="s">
        <v>2782</v>
      </c>
      <c r="D471" s="1" t="s">
        <v>2556</v>
      </c>
      <c r="E471" s="15" t="s">
        <v>863</v>
      </c>
      <c r="F471" s="67" t="s">
        <v>915</v>
      </c>
      <c r="G471" s="24" t="s">
        <v>2809</v>
      </c>
      <c r="H471" s="15" t="s">
        <v>2788</v>
      </c>
      <c r="I471" s="16">
        <v>60</v>
      </c>
      <c r="J471" s="16" t="str">
        <f t="shared" si="23"/>
        <v>Old</v>
      </c>
      <c r="K471" s="25">
        <v>1</v>
      </c>
      <c r="L471" s="42">
        <v>1080</v>
      </c>
      <c r="M471" s="15">
        <f>520+30</f>
        <v>550</v>
      </c>
      <c r="N471" s="39">
        <f t="shared" si="21"/>
        <v>1080</v>
      </c>
      <c r="O471" s="39">
        <f t="shared" si="22"/>
        <v>530</v>
      </c>
      <c r="P471" s="24" t="s">
        <v>2056</v>
      </c>
      <c r="Q471" s="24" t="s">
        <v>2024</v>
      </c>
      <c r="R471" s="1" t="s">
        <v>2013</v>
      </c>
      <c r="S471" s="15" t="s">
        <v>2082</v>
      </c>
      <c r="T471" s="15" t="s">
        <v>2442</v>
      </c>
      <c r="U471" s="25" t="s">
        <v>2083</v>
      </c>
      <c r="V471" s="25" t="s">
        <v>2436</v>
      </c>
      <c r="W471" s="80">
        <v>45080</v>
      </c>
      <c r="X471" s="21" t="s">
        <v>2814</v>
      </c>
    </row>
    <row r="472" spans="1:24" x14ac:dyDescent="0.2">
      <c r="A472" s="1">
        <v>469</v>
      </c>
      <c r="B472" s="1" t="s">
        <v>41</v>
      </c>
      <c r="C472" s="1" t="s">
        <v>2782</v>
      </c>
      <c r="D472" s="1" t="s">
        <v>581</v>
      </c>
      <c r="E472" s="35" t="s">
        <v>864</v>
      </c>
      <c r="F472" s="66" t="s">
        <v>920</v>
      </c>
      <c r="G472" s="24" t="s">
        <v>2794</v>
      </c>
      <c r="H472" s="15" t="s">
        <v>2789</v>
      </c>
      <c r="I472" s="16">
        <v>33</v>
      </c>
      <c r="J472" s="16" t="str">
        <f t="shared" si="23"/>
        <v>Young</v>
      </c>
      <c r="K472" s="25">
        <v>5</v>
      </c>
      <c r="L472" s="42">
        <f>4080+750</f>
        <v>4830</v>
      </c>
      <c r="M472" s="15">
        <f>1500+500</f>
        <v>2000</v>
      </c>
      <c r="N472" s="39">
        <f t="shared" si="21"/>
        <v>24150</v>
      </c>
      <c r="O472" s="39">
        <f t="shared" si="22"/>
        <v>14150</v>
      </c>
      <c r="P472" s="24" t="s">
        <v>2043</v>
      </c>
      <c r="Q472" s="24" t="s">
        <v>2016</v>
      </c>
      <c r="R472" s="1" t="s">
        <v>2013</v>
      </c>
      <c r="S472" s="15" t="s">
        <v>2082</v>
      </c>
      <c r="T472" s="15" t="s">
        <v>2442</v>
      </c>
      <c r="U472" s="25" t="s">
        <v>2089</v>
      </c>
      <c r="V472" s="25" t="s">
        <v>2437</v>
      </c>
      <c r="W472" s="80">
        <v>44995</v>
      </c>
      <c r="X472" s="21" t="s">
        <v>2816</v>
      </c>
    </row>
    <row r="473" spans="1:24" x14ac:dyDescent="0.2">
      <c r="A473" s="1">
        <v>470</v>
      </c>
      <c r="B473" s="1" t="s">
        <v>174</v>
      </c>
      <c r="C473" s="1" t="s">
        <v>2782</v>
      </c>
      <c r="D473" s="1" t="s">
        <v>2566</v>
      </c>
      <c r="E473" s="35" t="s">
        <v>823</v>
      </c>
      <c r="F473" s="67" t="s">
        <v>921</v>
      </c>
      <c r="G473" s="24" t="s">
        <v>2792</v>
      </c>
      <c r="H473" s="15" t="s">
        <v>2789</v>
      </c>
      <c r="I473" s="16">
        <v>22</v>
      </c>
      <c r="J473" s="16" t="str">
        <f t="shared" si="23"/>
        <v>Young</v>
      </c>
      <c r="K473" s="25">
        <v>5</v>
      </c>
      <c r="L473" s="42">
        <v>4130</v>
      </c>
      <c r="M473" s="15">
        <v>2100</v>
      </c>
      <c r="N473" s="39">
        <f t="shared" si="21"/>
        <v>20650</v>
      </c>
      <c r="O473" s="39">
        <f t="shared" si="22"/>
        <v>10150</v>
      </c>
      <c r="P473" s="24" t="s">
        <v>2036</v>
      </c>
      <c r="Q473" s="24" t="s">
        <v>2014</v>
      </c>
      <c r="R473" s="1" t="s">
        <v>2013</v>
      </c>
      <c r="S473" s="15" t="s">
        <v>2082</v>
      </c>
      <c r="T473" s="15" t="s">
        <v>2442</v>
      </c>
      <c r="U473" s="25" t="s">
        <v>2090</v>
      </c>
      <c r="V473" s="25" t="s">
        <v>2435</v>
      </c>
      <c r="W473" s="80">
        <v>44975</v>
      </c>
      <c r="X473" s="21" t="s">
        <v>2817</v>
      </c>
    </row>
    <row r="474" spans="1:24" x14ac:dyDescent="0.2">
      <c r="A474" s="1">
        <v>471</v>
      </c>
      <c r="B474" s="1" t="s">
        <v>190</v>
      </c>
      <c r="C474" s="1" t="s">
        <v>2782</v>
      </c>
      <c r="D474" s="1" t="s">
        <v>189</v>
      </c>
      <c r="E474" s="35" t="s">
        <v>823</v>
      </c>
      <c r="F474" s="67" t="s">
        <v>922</v>
      </c>
      <c r="G474" s="24" t="s">
        <v>2796</v>
      </c>
      <c r="H474" s="15" t="s">
        <v>2788</v>
      </c>
      <c r="I474" s="16">
        <v>47</v>
      </c>
      <c r="J474" s="16" t="str">
        <f t="shared" si="23"/>
        <v>Middle Age</v>
      </c>
      <c r="K474" s="25">
        <v>3</v>
      </c>
      <c r="L474" s="42">
        <v>1480</v>
      </c>
      <c r="M474" s="15">
        <f>750+80</f>
        <v>830</v>
      </c>
      <c r="N474" s="39">
        <f t="shared" si="21"/>
        <v>4440</v>
      </c>
      <c r="O474" s="39">
        <f t="shared" si="22"/>
        <v>1950</v>
      </c>
      <c r="P474" s="24" t="s">
        <v>2045</v>
      </c>
      <c r="Q474" s="24" t="s">
        <v>2014</v>
      </c>
      <c r="R474" s="1" t="s">
        <v>2013</v>
      </c>
      <c r="S474" s="15" t="s">
        <v>2082</v>
      </c>
      <c r="T474" s="15" t="s">
        <v>2442</v>
      </c>
      <c r="U474" s="25" t="s">
        <v>2084</v>
      </c>
      <c r="V474" s="25" t="s">
        <v>2436</v>
      </c>
      <c r="W474" s="80">
        <v>45113</v>
      </c>
      <c r="X474" s="21" t="s">
        <v>2813</v>
      </c>
    </row>
    <row r="475" spans="1:24" x14ac:dyDescent="0.2">
      <c r="A475" s="1">
        <v>472</v>
      </c>
      <c r="B475" s="1" t="s">
        <v>1</v>
      </c>
      <c r="C475" s="1" t="s">
        <v>2781</v>
      </c>
      <c r="D475" s="1" t="s">
        <v>869</v>
      </c>
      <c r="E475" s="35" t="s">
        <v>817</v>
      </c>
      <c r="F475" s="67" t="s">
        <v>923</v>
      </c>
      <c r="G475" s="24" t="s">
        <v>2798</v>
      </c>
      <c r="H475" s="15" t="s">
        <v>2788</v>
      </c>
      <c r="I475" s="16">
        <v>55</v>
      </c>
      <c r="J475" s="16" t="str">
        <f t="shared" si="23"/>
        <v>Old</v>
      </c>
      <c r="K475" s="25">
        <v>2</v>
      </c>
      <c r="L475" s="42">
        <v>890</v>
      </c>
      <c r="M475" s="15">
        <v>450</v>
      </c>
      <c r="N475" s="39">
        <f t="shared" si="21"/>
        <v>1780</v>
      </c>
      <c r="O475" s="39">
        <f t="shared" si="22"/>
        <v>880</v>
      </c>
      <c r="P475" s="24" t="s">
        <v>2027</v>
      </c>
      <c r="Q475" s="24" t="s">
        <v>2014</v>
      </c>
      <c r="R475" s="1" t="s">
        <v>2013</v>
      </c>
      <c r="S475" s="15" t="s">
        <v>2082</v>
      </c>
      <c r="T475" s="15" t="s">
        <v>2442</v>
      </c>
      <c r="U475" s="25" t="s">
        <v>2086</v>
      </c>
      <c r="V475" s="25" t="s">
        <v>2434</v>
      </c>
      <c r="W475" s="80">
        <v>45157</v>
      </c>
      <c r="X475" s="21" t="s">
        <v>2819</v>
      </c>
    </row>
    <row r="476" spans="1:24" x14ac:dyDescent="0.2">
      <c r="A476" s="1">
        <v>473</v>
      </c>
      <c r="B476" s="1" t="s">
        <v>192</v>
      </c>
      <c r="C476" s="1" t="s">
        <v>2782</v>
      </c>
      <c r="D476" s="1" t="s">
        <v>191</v>
      </c>
      <c r="E476" s="35" t="s">
        <v>822</v>
      </c>
      <c r="F476" s="67" t="s">
        <v>924</v>
      </c>
      <c r="G476" s="24" t="s">
        <v>2800</v>
      </c>
      <c r="H476" s="15" t="s">
        <v>2789</v>
      </c>
      <c r="I476" s="16">
        <v>36</v>
      </c>
      <c r="J476" s="16" t="str">
        <f t="shared" si="23"/>
        <v>Middle Age</v>
      </c>
      <c r="K476" s="25">
        <v>4</v>
      </c>
      <c r="L476" s="42">
        <f>4980+180</f>
        <v>5160</v>
      </c>
      <c r="M476" s="15">
        <f>2480+280</f>
        <v>2760</v>
      </c>
      <c r="N476" s="39">
        <f t="shared" si="21"/>
        <v>20640</v>
      </c>
      <c r="O476" s="39">
        <f t="shared" si="22"/>
        <v>9600</v>
      </c>
      <c r="P476" s="24" t="s">
        <v>2040</v>
      </c>
      <c r="Q476" s="15" t="s">
        <v>2014</v>
      </c>
      <c r="R476" s="1" t="s">
        <v>2013</v>
      </c>
      <c r="S476" s="15" t="s">
        <v>2082</v>
      </c>
      <c r="T476" s="15" t="s">
        <v>2442</v>
      </c>
      <c r="U476" s="25" t="s">
        <v>2083</v>
      </c>
      <c r="V476" s="25" t="s">
        <v>2437</v>
      </c>
      <c r="W476" s="80">
        <v>45239</v>
      </c>
      <c r="X476" s="21" t="s">
        <v>2823</v>
      </c>
    </row>
    <row r="477" spans="1:24" x14ac:dyDescent="0.2">
      <c r="A477" s="1">
        <v>474</v>
      </c>
      <c r="B477" s="1" t="s">
        <v>193</v>
      </c>
      <c r="C477" s="1" t="s">
        <v>2782</v>
      </c>
      <c r="D477" s="1" t="s">
        <v>237</v>
      </c>
      <c r="E477" s="35" t="s">
        <v>863</v>
      </c>
      <c r="F477" s="67" t="s">
        <v>925</v>
      </c>
      <c r="G477" s="24" t="s">
        <v>2802</v>
      </c>
      <c r="H477" s="15" t="s">
        <v>2788</v>
      </c>
      <c r="I477" s="16">
        <v>28</v>
      </c>
      <c r="J477" s="16" t="str">
        <f t="shared" si="23"/>
        <v>Young</v>
      </c>
      <c r="K477" s="25">
        <v>1</v>
      </c>
      <c r="L477" s="42">
        <v>2290</v>
      </c>
      <c r="M477" s="15">
        <v>1000</v>
      </c>
      <c r="N477" s="39">
        <f t="shared" si="21"/>
        <v>2290</v>
      </c>
      <c r="O477" s="39">
        <f t="shared" si="22"/>
        <v>1290</v>
      </c>
      <c r="P477" s="24" t="s">
        <v>2035</v>
      </c>
      <c r="Q477" s="24" t="s">
        <v>2020</v>
      </c>
      <c r="R477" s="1" t="s">
        <v>2013</v>
      </c>
      <c r="S477" s="15" t="s">
        <v>2082</v>
      </c>
      <c r="T477" s="15" t="s">
        <v>2442</v>
      </c>
      <c r="U477" s="25" t="s">
        <v>2089</v>
      </c>
      <c r="V477" s="25" t="s">
        <v>2435</v>
      </c>
      <c r="W477" s="80">
        <v>45245</v>
      </c>
      <c r="X477" s="21" t="s">
        <v>2823</v>
      </c>
    </row>
    <row r="478" spans="1:24" x14ac:dyDescent="0.2">
      <c r="A478" s="1">
        <v>475</v>
      </c>
      <c r="B478" s="1" t="s">
        <v>555</v>
      </c>
      <c r="C478" s="1" t="s">
        <v>2782</v>
      </c>
      <c r="D478" s="1" t="s">
        <v>2567</v>
      </c>
      <c r="E478" s="35" t="s">
        <v>822</v>
      </c>
      <c r="F478" s="69" t="s">
        <v>904</v>
      </c>
      <c r="G478" s="24" t="s">
        <v>2804</v>
      </c>
      <c r="H478" s="15" t="s">
        <v>2788</v>
      </c>
      <c r="I478" s="16">
        <v>50</v>
      </c>
      <c r="J478" s="16" t="str">
        <f t="shared" si="23"/>
        <v>Old</v>
      </c>
      <c r="K478" s="25">
        <v>5</v>
      </c>
      <c r="L478" s="42">
        <v>1340</v>
      </c>
      <c r="M478" s="15">
        <v>750</v>
      </c>
      <c r="N478" s="39">
        <f t="shared" si="21"/>
        <v>6700</v>
      </c>
      <c r="O478" s="39">
        <f t="shared" si="22"/>
        <v>2950</v>
      </c>
      <c r="P478" s="24" t="s">
        <v>2039</v>
      </c>
      <c r="Q478" s="24" t="s">
        <v>2014</v>
      </c>
      <c r="R478" s="1" t="s">
        <v>2013</v>
      </c>
      <c r="S478" s="15" t="s">
        <v>2082</v>
      </c>
      <c r="T478" s="15" t="s">
        <v>2442</v>
      </c>
      <c r="U478" s="25" t="s">
        <v>2090</v>
      </c>
      <c r="V478" s="25" t="s">
        <v>2434</v>
      </c>
      <c r="W478" s="80">
        <v>45211</v>
      </c>
      <c r="X478" s="21" t="s">
        <v>2821</v>
      </c>
    </row>
    <row r="479" spans="1:24" x14ac:dyDescent="0.2">
      <c r="A479" s="1">
        <v>476</v>
      </c>
      <c r="B479" s="1" t="s">
        <v>85</v>
      </c>
      <c r="C479" s="1" t="s">
        <v>2782</v>
      </c>
      <c r="D479" s="1" t="s">
        <v>194</v>
      </c>
      <c r="E479" s="35" t="s">
        <v>817</v>
      </c>
      <c r="F479" s="67" t="s">
        <v>925</v>
      </c>
      <c r="G479" s="24" t="s">
        <v>2806</v>
      </c>
      <c r="H479" s="15" t="s">
        <v>2788</v>
      </c>
      <c r="I479" s="16">
        <v>39</v>
      </c>
      <c r="J479" s="16" t="str">
        <f t="shared" si="23"/>
        <v>Middle Age</v>
      </c>
      <c r="K479" s="25">
        <v>2</v>
      </c>
      <c r="L479" s="42">
        <v>2330</v>
      </c>
      <c r="M479" s="15">
        <v>1050</v>
      </c>
      <c r="N479" s="39">
        <f t="shared" si="21"/>
        <v>4660</v>
      </c>
      <c r="O479" s="39">
        <f t="shared" si="22"/>
        <v>2560</v>
      </c>
      <c r="P479" s="24" t="s">
        <v>2027</v>
      </c>
      <c r="Q479" s="24" t="s">
        <v>2014</v>
      </c>
      <c r="R479" s="1" t="s">
        <v>2013</v>
      </c>
      <c r="S479" s="15" t="s">
        <v>2082</v>
      </c>
      <c r="T479" s="15" t="s">
        <v>2442</v>
      </c>
      <c r="U479" s="25" t="s">
        <v>2084</v>
      </c>
      <c r="V479" s="25" t="s">
        <v>2436</v>
      </c>
      <c r="W479" s="80">
        <v>45247</v>
      </c>
      <c r="X479" s="21" t="s">
        <v>2823</v>
      </c>
    </row>
    <row r="480" spans="1:24" x14ac:dyDescent="0.2">
      <c r="A480" s="1">
        <v>477</v>
      </c>
      <c r="B480" s="1" t="s">
        <v>855</v>
      </c>
      <c r="C480" s="1" t="s">
        <v>2782</v>
      </c>
      <c r="D480" s="1" t="s">
        <v>2568</v>
      </c>
      <c r="E480" s="15" t="s">
        <v>863</v>
      </c>
      <c r="F480" s="69" t="s">
        <v>904</v>
      </c>
      <c r="G480" s="24" t="s">
        <v>2808</v>
      </c>
      <c r="H480" s="15" t="s">
        <v>2788</v>
      </c>
      <c r="I480" s="16">
        <v>31</v>
      </c>
      <c r="J480" s="16" t="str">
        <f t="shared" si="23"/>
        <v>Young</v>
      </c>
      <c r="K480" s="25">
        <v>3</v>
      </c>
      <c r="L480" s="42">
        <f>1050+180</f>
        <v>1230</v>
      </c>
      <c r="M480" s="15">
        <f>450+80</f>
        <v>530</v>
      </c>
      <c r="N480" s="39">
        <f t="shared" si="21"/>
        <v>3690</v>
      </c>
      <c r="O480" s="39">
        <f t="shared" si="22"/>
        <v>2100</v>
      </c>
      <c r="P480" s="24" t="s">
        <v>2042</v>
      </c>
      <c r="Q480" s="15" t="s">
        <v>2828</v>
      </c>
      <c r="R480" s="1" t="s">
        <v>2013</v>
      </c>
      <c r="S480" s="15" t="s">
        <v>2082</v>
      </c>
      <c r="T480" s="15" t="s">
        <v>2442</v>
      </c>
      <c r="U480" s="25" t="s">
        <v>2084</v>
      </c>
      <c r="V480" s="25" t="s">
        <v>2437</v>
      </c>
      <c r="W480" s="80">
        <v>45278</v>
      </c>
      <c r="X480" s="21" t="s">
        <v>2822</v>
      </c>
    </row>
    <row r="481" spans="1:24" x14ac:dyDescent="0.2">
      <c r="A481" s="1">
        <v>478</v>
      </c>
      <c r="B481" s="1" t="s">
        <v>856</v>
      </c>
      <c r="C481" s="1" t="s">
        <v>2782</v>
      </c>
      <c r="D481" s="1" t="s">
        <v>2569</v>
      </c>
      <c r="E481" s="15" t="s">
        <v>864</v>
      </c>
      <c r="F481" s="66" t="s">
        <v>926</v>
      </c>
      <c r="G481" s="24" t="s">
        <v>2810</v>
      </c>
      <c r="H481" s="15" t="s">
        <v>2788</v>
      </c>
      <c r="I481" s="16">
        <v>44</v>
      </c>
      <c r="J481" s="16" t="str">
        <f t="shared" si="23"/>
        <v>Middle Age</v>
      </c>
      <c r="K481" s="25">
        <v>4</v>
      </c>
      <c r="L481" s="42">
        <v>1780</v>
      </c>
      <c r="M481" s="15">
        <f>860+80</f>
        <v>940</v>
      </c>
      <c r="N481" s="39">
        <f t="shared" si="21"/>
        <v>7120</v>
      </c>
      <c r="O481" s="39">
        <f t="shared" si="22"/>
        <v>3360</v>
      </c>
      <c r="P481" s="24" t="s">
        <v>2045</v>
      </c>
      <c r="Q481" s="24" t="s">
        <v>2014</v>
      </c>
      <c r="R481" s="1" t="s">
        <v>2013</v>
      </c>
      <c r="S481" s="15" t="s">
        <v>2082</v>
      </c>
      <c r="T481" s="15" t="s">
        <v>2442</v>
      </c>
      <c r="U481" s="25" t="s">
        <v>2089</v>
      </c>
      <c r="V481" s="25" t="s">
        <v>2435</v>
      </c>
      <c r="W481" s="80">
        <v>45127</v>
      </c>
      <c r="X481" s="21" t="s">
        <v>2813</v>
      </c>
    </row>
    <row r="482" spans="1:24" x14ac:dyDescent="0.2">
      <c r="A482" s="1">
        <v>479</v>
      </c>
      <c r="B482" s="1" t="s">
        <v>181</v>
      </c>
      <c r="C482" s="1" t="s">
        <v>2782</v>
      </c>
      <c r="D482" s="1" t="s">
        <v>2570</v>
      </c>
      <c r="E482" s="15" t="s">
        <v>822</v>
      </c>
      <c r="F482" s="66" t="s">
        <v>927</v>
      </c>
      <c r="G482" s="24" t="s">
        <v>2793</v>
      </c>
      <c r="H482" s="15" t="s">
        <v>2789</v>
      </c>
      <c r="I482" s="16">
        <v>26</v>
      </c>
      <c r="J482" s="16" t="str">
        <f t="shared" si="23"/>
        <v>Young</v>
      </c>
      <c r="K482" s="25">
        <v>1</v>
      </c>
      <c r="L482" s="42">
        <v>4680</v>
      </c>
      <c r="M482" s="15">
        <f>1630+80</f>
        <v>1710</v>
      </c>
      <c r="N482" s="39">
        <f t="shared" si="21"/>
        <v>4680</v>
      </c>
      <c r="O482" s="39">
        <f t="shared" si="22"/>
        <v>2970</v>
      </c>
      <c r="P482" s="24" t="s">
        <v>2025</v>
      </c>
      <c r="Q482" s="24" t="s">
        <v>2024</v>
      </c>
      <c r="R482" s="1" t="s">
        <v>2013</v>
      </c>
      <c r="S482" s="15" t="s">
        <v>2082</v>
      </c>
      <c r="T482" s="15" t="s">
        <v>2442</v>
      </c>
      <c r="U482" s="25" t="s">
        <v>2089</v>
      </c>
      <c r="V482" s="25" t="s">
        <v>2436</v>
      </c>
      <c r="W482" s="80">
        <v>45080</v>
      </c>
      <c r="X482" s="21" t="s">
        <v>2814</v>
      </c>
    </row>
    <row r="483" spans="1:24" x14ac:dyDescent="0.2">
      <c r="A483" s="1">
        <v>480</v>
      </c>
      <c r="B483" s="1" t="s">
        <v>195</v>
      </c>
      <c r="C483" s="1" t="s">
        <v>2782</v>
      </c>
      <c r="D483" s="1" t="s">
        <v>2571</v>
      </c>
      <c r="E483" s="15" t="s">
        <v>823</v>
      </c>
      <c r="F483" s="66" t="s">
        <v>877</v>
      </c>
      <c r="G483" s="24" t="s">
        <v>2791</v>
      </c>
      <c r="H483" s="15" t="s">
        <v>2789</v>
      </c>
      <c r="I483" s="16">
        <v>48</v>
      </c>
      <c r="J483" s="16" t="str">
        <f t="shared" si="23"/>
        <v>Middle Age</v>
      </c>
      <c r="K483" s="25">
        <v>5</v>
      </c>
      <c r="L483" s="42">
        <v>2500</v>
      </c>
      <c r="M483" s="15">
        <v>1300</v>
      </c>
      <c r="N483" s="39">
        <f t="shared" si="21"/>
        <v>12500</v>
      </c>
      <c r="O483" s="39">
        <f t="shared" si="22"/>
        <v>6000</v>
      </c>
      <c r="P483" s="24" t="s">
        <v>2050</v>
      </c>
      <c r="Q483" s="24" t="s">
        <v>2024</v>
      </c>
      <c r="R483" s="1" t="s">
        <v>2013</v>
      </c>
      <c r="S483" s="15" t="s">
        <v>2082</v>
      </c>
      <c r="T483" s="15" t="s">
        <v>2442</v>
      </c>
      <c r="U483" s="25" t="s">
        <v>2084</v>
      </c>
      <c r="V483" s="25" t="s">
        <v>2434</v>
      </c>
      <c r="W483" s="80">
        <v>45111</v>
      </c>
      <c r="X483" s="21" t="s">
        <v>2813</v>
      </c>
    </row>
    <row r="484" spans="1:24" x14ac:dyDescent="0.2">
      <c r="A484" s="1">
        <v>481</v>
      </c>
      <c r="B484" s="1" t="s">
        <v>17</v>
      </c>
      <c r="C484" s="1" t="s">
        <v>2782</v>
      </c>
      <c r="D484" s="1" t="s">
        <v>2572</v>
      </c>
      <c r="E484" s="15" t="s">
        <v>828</v>
      </c>
      <c r="F484" s="66" t="s">
        <v>878</v>
      </c>
      <c r="G484" s="24" t="s">
        <v>2795</v>
      </c>
      <c r="H484" s="15" t="s">
        <v>2789</v>
      </c>
      <c r="I484" s="16">
        <v>53</v>
      </c>
      <c r="J484" s="16" t="str">
        <f t="shared" si="23"/>
        <v>Old</v>
      </c>
      <c r="K484" s="25">
        <v>3</v>
      </c>
      <c r="L484" s="42">
        <v>1660</v>
      </c>
      <c r="M484" s="15">
        <v>1000</v>
      </c>
      <c r="N484" s="39">
        <f t="shared" si="21"/>
        <v>4980</v>
      </c>
      <c r="O484" s="39">
        <f t="shared" si="22"/>
        <v>1980</v>
      </c>
      <c r="P484" s="24" t="s">
        <v>2058</v>
      </c>
      <c r="Q484" s="24" t="s">
        <v>2020</v>
      </c>
      <c r="R484" s="1" t="s">
        <v>2013</v>
      </c>
      <c r="S484" s="15" t="s">
        <v>2082</v>
      </c>
      <c r="T484" s="15" t="s">
        <v>2442</v>
      </c>
      <c r="U484" s="25" t="s">
        <v>2089</v>
      </c>
      <c r="V484" s="25" t="s">
        <v>2437</v>
      </c>
      <c r="W484" s="80">
        <v>45126</v>
      </c>
      <c r="X484" s="21" t="s">
        <v>2813</v>
      </c>
    </row>
    <row r="485" spans="1:24" x14ac:dyDescent="0.2">
      <c r="A485" s="1">
        <v>482</v>
      </c>
      <c r="B485" s="1" t="s">
        <v>0</v>
      </c>
      <c r="C485" s="1" t="s">
        <v>2782</v>
      </c>
      <c r="D485" s="1" t="s">
        <v>869</v>
      </c>
      <c r="E485" s="15" t="s">
        <v>822</v>
      </c>
      <c r="F485" s="66" t="s">
        <v>879</v>
      </c>
      <c r="G485" s="24" t="s">
        <v>2797</v>
      </c>
      <c r="H485" s="15" t="s">
        <v>2788</v>
      </c>
      <c r="I485" s="16">
        <v>30</v>
      </c>
      <c r="J485" s="16" t="str">
        <f t="shared" si="23"/>
        <v>Young</v>
      </c>
      <c r="K485" s="25">
        <v>2</v>
      </c>
      <c r="L485" s="42">
        <v>1700</v>
      </c>
      <c r="M485" s="15">
        <f>950+55+190+40</f>
        <v>1235</v>
      </c>
      <c r="N485" s="39">
        <f t="shared" si="21"/>
        <v>3400</v>
      </c>
      <c r="O485" s="39">
        <f t="shared" si="22"/>
        <v>930</v>
      </c>
      <c r="P485" s="24" t="s">
        <v>2026</v>
      </c>
      <c r="Q485" s="15" t="s">
        <v>2014</v>
      </c>
      <c r="R485" s="1" t="s">
        <v>2013</v>
      </c>
      <c r="S485" s="15" t="s">
        <v>2082</v>
      </c>
      <c r="T485" s="15" t="s">
        <v>2442</v>
      </c>
      <c r="U485" s="25" t="s">
        <v>2085</v>
      </c>
      <c r="V485" s="25" t="s">
        <v>2435</v>
      </c>
      <c r="W485" s="80">
        <v>45154</v>
      </c>
      <c r="X485" s="21" t="s">
        <v>2819</v>
      </c>
    </row>
    <row r="486" spans="1:24" x14ac:dyDescent="0.2">
      <c r="A486" s="1">
        <v>483</v>
      </c>
      <c r="B486" s="1" t="s">
        <v>2</v>
      </c>
      <c r="C486" s="1" t="s">
        <v>2781</v>
      </c>
      <c r="D486" s="1" t="s">
        <v>869</v>
      </c>
      <c r="E486" s="15" t="s">
        <v>817</v>
      </c>
      <c r="F486" s="66" t="s">
        <v>880</v>
      </c>
      <c r="G486" s="24" t="s">
        <v>2799</v>
      </c>
      <c r="H486" s="15" t="s">
        <v>2789</v>
      </c>
      <c r="I486" s="16">
        <v>37</v>
      </c>
      <c r="J486" s="16" t="str">
        <f t="shared" si="23"/>
        <v>Middle Age</v>
      </c>
      <c r="K486" s="25">
        <v>4</v>
      </c>
      <c r="L486" s="42">
        <v>1500</v>
      </c>
      <c r="M486" s="15">
        <f>800+50+90</f>
        <v>940</v>
      </c>
      <c r="N486" s="39">
        <f t="shared" si="21"/>
        <v>6000</v>
      </c>
      <c r="O486" s="39">
        <f t="shared" si="22"/>
        <v>2240</v>
      </c>
      <c r="P486" s="24" t="s">
        <v>2037</v>
      </c>
      <c r="Q486" s="24" t="s">
        <v>2014</v>
      </c>
      <c r="R486" s="1" t="s">
        <v>2013</v>
      </c>
      <c r="S486" s="15" t="s">
        <v>2082</v>
      </c>
      <c r="T486" s="15" t="s">
        <v>2442</v>
      </c>
      <c r="U486" s="25" t="s">
        <v>2083</v>
      </c>
      <c r="V486" s="25" t="s">
        <v>2434</v>
      </c>
      <c r="W486" s="80">
        <v>45252</v>
      </c>
      <c r="X486" s="21" t="s">
        <v>2823</v>
      </c>
    </row>
    <row r="487" spans="1:24" x14ac:dyDescent="0.2">
      <c r="A487" s="1">
        <v>484</v>
      </c>
      <c r="B487" s="1" t="s">
        <v>196</v>
      </c>
      <c r="C487" s="1" t="s">
        <v>2782</v>
      </c>
      <c r="D487" s="1" t="s">
        <v>2573</v>
      </c>
      <c r="E487" s="15" t="s">
        <v>823</v>
      </c>
      <c r="F487" s="66" t="s">
        <v>878</v>
      </c>
      <c r="G487" s="24" t="s">
        <v>2801</v>
      </c>
      <c r="H487" s="15" t="s">
        <v>2789</v>
      </c>
      <c r="I487" s="16">
        <v>42</v>
      </c>
      <c r="J487" s="16" t="str">
        <f t="shared" si="23"/>
        <v>Middle Age</v>
      </c>
      <c r="K487" s="25">
        <v>1</v>
      </c>
      <c r="L487" s="42">
        <f>2320+180</f>
        <v>2500</v>
      </c>
      <c r="M487" s="15">
        <f>1250+80</f>
        <v>1330</v>
      </c>
      <c r="N487" s="39">
        <f t="shared" si="21"/>
        <v>2500</v>
      </c>
      <c r="O487" s="39">
        <f t="shared" si="22"/>
        <v>1170</v>
      </c>
      <c r="P487" s="24" t="s">
        <v>2015</v>
      </c>
      <c r="Q487" s="24" t="s">
        <v>2014</v>
      </c>
      <c r="R487" s="1" t="s">
        <v>2013</v>
      </c>
      <c r="S487" s="15" t="s">
        <v>2082</v>
      </c>
      <c r="T487" s="15" t="s">
        <v>2442</v>
      </c>
      <c r="U487" s="25" t="s">
        <v>2089</v>
      </c>
      <c r="V487" s="25" t="s">
        <v>2436</v>
      </c>
      <c r="W487" s="80">
        <v>44982</v>
      </c>
      <c r="X487" s="21" t="s">
        <v>2817</v>
      </c>
    </row>
    <row r="488" spans="1:24" x14ac:dyDescent="0.2">
      <c r="A488" s="1">
        <v>485</v>
      </c>
      <c r="B488" s="1" t="s">
        <v>198</v>
      </c>
      <c r="C488" s="1" t="s">
        <v>2782</v>
      </c>
      <c r="D488" s="1" t="s">
        <v>197</v>
      </c>
      <c r="E488" s="15" t="s">
        <v>828</v>
      </c>
      <c r="F488" s="66" t="s">
        <v>879</v>
      </c>
      <c r="G488" s="24" t="s">
        <v>2803</v>
      </c>
      <c r="H488" s="15" t="s">
        <v>2788</v>
      </c>
      <c r="I488" s="16">
        <v>24</v>
      </c>
      <c r="J488" s="16" t="str">
        <f t="shared" si="23"/>
        <v>Young</v>
      </c>
      <c r="K488" s="25">
        <v>5</v>
      </c>
      <c r="L488" s="42">
        <v>2790</v>
      </c>
      <c r="M488" s="15">
        <v>1800</v>
      </c>
      <c r="N488" s="39">
        <f t="shared" si="21"/>
        <v>13950</v>
      </c>
      <c r="O488" s="39">
        <f t="shared" si="22"/>
        <v>4950</v>
      </c>
      <c r="P488" s="24" t="s">
        <v>2029</v>
      </c>
      <c r="Q488" s="24" t="s">
        <v>2016</v>
      </c>
      <c r="R488" s="1" t="s">
        <v>2013</v>
      </c>
      <c r="S488" s="15" t="s">
        <v>2082</v>
      </c>
      <c r="T488" s="15" t="s">
        <v>2442</v>
      </c>
      <c r="U488" s="25" t="s">
        <v>2087</v>
      </c>
      <c r="V488" s="25" t="s">
        <v>2437</v>
      </c>
      <c r="W488" s="80">
        <v>45159</v>
      </c>
      <c r="X488" s="21" t="s">
        <v>2819</v>
      </c>
    </row>
    <row r="489" spans="1:24" x14ac:dyDescent="0.2">
      <c r="A489" s="1">
        <v>486</v>
      </c>
      <c r="B489" s="1" t="s">
        <v>200</v>
      </c>
      <c r="C489" s="1" t="s">
        <v>2782</v>
      </c>
      <c r="D489" s="1" t="s">
        <v>199</v>
      </c>
      <c r="E489" s="15" t="s">
        <v>822</v>
      </c>
      <c r="F489" s="66" t="s">
        <v>880</v>
      </c>
      <c r="G489" s="24" t="s">
        <v>2805</v>
      </c>
      <c r="H489" s="15" t="s">
        <v>2789</v>
      </c>
      <c r="I489" s="16">
        <v>57</v>
      </c>
      <c r="J489" s="16" t="str">
        <f t="shared" si="23"/>
        <v>Old</v>
      </c>
      <c r="K489" s="25">
        <v>2</v>
      </c>
      <c r="L489" s="42">
        <f>3265+180+350</f>
        <v>3795</v>
      </c>
      <c r="M489" s="15">
        <f>1470+80+50</f>
        <v>1600</v>
      </c>
      <c r="N489" s="39">
        <f t="shared" si="21"/>
        <v>7590</v>
      </c>
      <c r="O489" s="39">
        <f t="shared" si="22"/>
        <v>4390</v>
      </c>
      <c r="P489" s="24" t="s">
        <v>2028</v>
      </c>
      <c r="Q489" s="15" t="s">
        <v>2024</v>
      </c>
      <c r="R489" s="1" t="s">
        <v>2013</v>
      </c>
      <c r="S489" s="15" t="s">
        <v>2082</v>
      </c>
      <c r="T489" s="15" t="s">
        <v>2442</v>
      </c>
      <c r="U489" s="25" t="s">
        <v>2085</v>
      </c>
      <c r="V489" s="25" t="s">
        <v>2435</v>
      </c>
      <c r="W489" s="80">
        <v>45210</v>
      </c>
      <c r="X489" s="21" t="s">
        <v>2821</v>
      </c>
    </row>
    <row r="490" spans="1:24" x14ac:dyDescent="0.2">
      <c r="A490" s="1">
        <v>487</v>
      </c>
      <c r="B490" s="1" t="s">
        <v>9</v>
      </c>
      <c r="C490" s="1" t="s">
        <v>2782</v>
      </c>
      <c r="D490" s="1" t="s">
        <v>869</v>
      </c>
      <c r="E490" s="15" t="s">
        <v>822</v>
      </c>
      <c r="F490" s="66" t="s">
        <v>881</v>
      </c>
      <c r="G490" s="24" t="s">
        <v>2807</v>
      </c>
      <c r="H490" s="15" t="s">
        <v>2789</v>
      </c>
      <c r="I490" s="16">
        <v>35</v>
      </c>
      <c r="J490" s="16" t="str">
        <f t="shared" si="23"/>
        <v>Young</v>
      </c>
      <c r="K490" s="25">
        <v>3</v>
      </c>
      <c r="L490" s="42">
        <v>790</v>
      </c>
      <c r="M490" s="15">
        <v>450</v>
      </c>
      <c r="N490" s="39">
        <f t="shared" si="21"/>
        <v>2370</v>
      </c>
      <c r="O490" s="39">
        <f t="shared" si="22"/>
        <v>1020</v>
      </c>
      <c r="P490" s="24" t="s">
        <v>2053</v>
      </c>
      <c r="Q490" s="24" t="s">
        <v>2014</v>
      </c>
      <c r="R490" s="1" t="s">
        <v>2013</v>
      </c>
      <c r="S490" s="15" t="s">
        <v>2082</v>
      </c>
      <c r="T490" s="15" t="s">
        <v>2442</v>
      </c>
      <c r="U490" s="25" t="s">
        <v>2089</v>
      </c>
      <c r="V490" s="25" t="s">
        <v>2436</v>
      </c>
      <c r="W490" s="80">
        <v>44970</v>
      </c>
      <c r="X490" s="21" t="s">
        <v>2817</v>
      </c>
    </row>
    <row r="491" spans="1:24" x14ac:dyDescent="0.2">
      <c r="A491" s="1">
        <v>488</v>
      </c>
      <c r="B491" s="1" t="s">
        <v>201</v>
      </c>
      <c r="C491" s="1" t="s">
        <v>2782</v>
      </c>
      <c r="D491" s="1" t="s">
        <v>2574</v>
      </c>
      <c r="E491" s="15" t="s">
        <v>863</v>
      </c>
      <c r="F491" s="66" t="s">
        <v>882</v>
      </c>
      <c r="G491" s="24" t="s">
        <v>2809</v>
      </c>
      <c r="H491" s="15" t="s">
        <v>2788</v>
      </c>
      <c r="I491" s="16">
        <v>40</v>
      </c>
      <c r="J491" s="16" t="str">
        <f t="shared" si="23"/>
        <v>Middle Age</v>
      </c>
      <c r="K491" s="25">
        <v>4</v>
      </c>
      <c r="L491" s="42">
        <f>3*70</f>
        <v>210</v>
      </c>
      <c r="M491" s="15">
        <v>100</v>
      </c>
      <c r="N491" s="39">
        <f t="shared" si="21"/>
        <v>840</v>
      </c>
      <c r="O491" s="39">
        <f t="shared" si="22"/>
        <v>440</v>
      </c>
      <c r="P491" s="24" t="s">
        <v>2039</v>
      </c>
      <c r="Q491" s="24" t="s">
        <v>2014</v>
      </c>
      <c r="R491" s="1" t="s">
        <v>2013</v>
      </c>
      <c r="S491" s="15" t="s">
        <v>2082</v>
      </c>
      <c r="T491" s="15" t="s">
        <v>2442</v>
      </c>
      <c r="U491" s="25" t="s">
        <v>2086</v>
      </c>
      <c r="V491" s="25" t="s">
        <v>2434</v>
      </c>
      <c r="W491" s="80">
        <v>45058</v>
      </c>
      <c r="X491" s="21" t="s">
        <v>2786</v>
      </c>
    </row>
    <row r="492" spans="1:24" x14ac:dyDescent="0.2">
      <c r="A492" s="1">
        <v>489</v>
      </c>
      <c r="B492" s="1" t="s">
        <v>202</v>
      </c>
      <c r="C492" s="1" t="s">
        <v>2782</v>
      </c>
      <c r="D492" s="1" t="s">
        <v>2575</v>
      </c>
      <c r="E492" s="35" t="s">
        <v>864</v>
      </c>
      <c r="F492" s="66" t="s">
        <v>881</v>
      </c>
      <c r="G492" s="24" t="s">
        <v>2794</v>
      </c>
      <c r="H492" s="15" t="s">
        <v>2789</v>
      </c>
      <c r="I492" s="16">
        <v>21</v>
      </c>
      <c r="J492" s="16" t="str">
        <f t="shared" si="23"/>
        <v>Young</v>
      </c>
      <c r="K492" s="25">
        <v>1</v>
      </c>
      <c r="L492" s="42">
        <v>5050</v>
      </c>
      <c r="M492" s="15">
        <v>2050</v>
      </c>
      <c r="N492" s="39">
        <f t="shared" si="21"/>
        <v>5050</v>
      </c>
      <c r="O492" s="39">
        <f t="shared" si="22"/>
        <v>3000</v>
      </c>
      <c r="P492" s="24" t="s">
        <v>2058</v>
      </c>
      <c r="Q492" s="24" t="s">
        <v>2020</v>
      </c>
      <c r="R492" s="1" t="s">
        <v>2013</v>
      </c>
      <c r="S492" s="15" t="s">
        <v>2082</v>
      </c>
      <c r="T492" s="15" t="s">
        <v>2442</v>
      </c>
      <c r="U492" s="25" t="s">
        <v>2088</v>
      </c>
      <c r="V492" s="25" t="s">
        <v>2437</v>
      </c>
      <c r="W492" s="80">
        <v>45052</v>
      </c>
      <c r="X492" s="21" t="s">
        <v>2786</v>
      </c>
    </row>
    <row r="493" spans="1:24" x14ac:dyDescent="0.2">
      <c r="A493" s="1">
        <v>490</v>
      </c>
      <c r="B493" s="1" t="s">
        <v>203</v>
      </c>
      <c r="C493" s="1" t="s">
        <v>2782</v>
      </c>
      <c r="D493" s="1" t="s">
        <v>2576</v>
      </c>
      <c r="E493" s="35" t="s">
        <v>823</v>
      </c>
      <c r="F493" s="66" t="s">
        <v>883</v>
      </c>
      <c r="G493" s="24" t="s">
        <v>2792</v>
      </c>
      <c r="H493" s="15" t="s">
        <v>2788</v>
      </c>
      <c r="I493" s="16">
        <v>60</v>
      </c>
      <c r="J493" s="16" t="str">
        <f t="shared" si="23"/>
        <v>Old</v>
      </c>
      <c r="K493" s="25">
        <v>5</v>
      </c>
      <c r="L493" s="42">
        <v>1560</v>
      </c>
      <c r="M493" s="15">
        <v>900</v>
      </c>
      <c r="N493" s="39">
        <f t="shared" si="21"/>
        <v>7800</v>
      </c>
      <c r="O493" s="39">
        <f t="shared" si="22"/>
        <v>3300</v>
      </c>
      <c r="P493" s="24" t="s">
        <v>2036</v>
      </c>
      <c r="Q493" s="24" t="s">
        <v>2014</v>
      </c>
      <c r="R493" s="1" t="s">
        <v>2013</v>
      </c>
      <c r="S493" s="15" t="s">
        <v>2082</v>
      </c>
      <c r="T493" s="15" t="s">
        <v>2442</v>
      </c>
      <c r="U493" s="25" t="s">
        <v>2088</v>
      </c>
      <c r="V493" s="25" t="s">
        <v>2435</v>
      </c>
      <c r="W493" s="80">
        <v>44966</v>
      </c>
      <c r="X493" s="21" t="s">
        <v>2817</v>
      </c>
    </row>
    <row r="494" spans="1:24" x14ac:dyDescent="0.2">
      <c r="A494" s="1">
        <v>491</v>
      </c>
      <c r="B494" s="1" t="s">
        <v>68</v>
      </c>
      <c r="C494" s="1" t="s">
        <v>2782</v>
      </c>
      <c r="D494" s="1" t="s">
        <v>204</v>
      </c>
      <c r="E494" s="35" t="s">
        <v>823</v>
      </c>
      <c r="F494" s="66" t="s">
        <v>884</v>
      </c>
      <c r="G494" s="24" t="s">
        <v>2796</v>
      </c>
      <c r="H494" s="15" t="s">
        <v>2788</v>
      </c>
      <c r="I494" s="16">
        <v>33</v>
      </c>
      <c r="J494" s="16" t="str">
        <f t="shared" si="23"/>
        <v>Young</v>
      </c>
      <c r="K494" s="25">
        <v>3</v>
      </c>
      <c r="L494" s="42">
        <f>2780+180</f>
        <v>2960</v>
      </c>
      <c r="M494" s="15">
        <f>1140+80</f>
        <v>1220</v>
      </c>
      <c r="N494" s="39">
        <f t="shared" si="21"/>
        <v>8880</v>
      </c>
      <c r="O494" s="39">
        <f t="shared" si="22"/>
        <v>5220</v>
      </c>
      <c r="P494" s="24" t="s">
        <v>2039</v>
      </c>
      <c r="Q494" s="24" t="s">
        <v>2014</v>
      </c>
      <c r="R494" s="1" t="s">
        <v>2013</v>
      </c>
      <c r="S494" s="15" t="s">
        <v>2082</v>
      </c>
      <c r="T494" s="15" t="s">
        <v>2442</v>
      </c>
      <c r="U494" s="25" t="s">
        <v>2087</v>
      </c>
      <c r="V494" s="25" t="s">
        <v>2434</v>
      </c>
      <c r="W494" s="80">
        <v>44933</v>
      </c>
      <c r="X494" s="21" t="s">
        <v>2818</v>
      </c>
    </row>
    <row r="495" spans="1:24" x14ac:dyDescent="0.2">
      <c r="A495" s="1">
        <v>492</v>
      </c>
      <c r="B495" s="1" t="s">
        <v>186</v>
      </c>
      <c r="C495" s="1" t="s">
        <v>2782</v>
      </c>
      <c r="D495" s="1" t="s">
        <v>205</v>
      </c>
      <c r="E495" s="15" t="s">
        <v>822</v>
      </c>
      <c r="F495" s="67" t="s">
        <v>931</v>
      </c>
      <c r="G495" s="24" t="s">
        <v>2798</v>
      </c>
      <c r="H495" s="15" t="s">
        <v>2788</v>
      </c>
      <c r="I495" s="16">
        <v>22</v>
      </c>
      <c r="J495" s="16" t="str">
        <f t="shared" si="23"/>
        <v>Young</v>
      </c>
      <c r="K495" s="25">
        <v>2</v>
      </c>
      <c r="L495" s="42">
        <v>2000</v>
      </c>
      <c r="M495" s="15">
        <v>1100</v>
      </c>
      <c r="N495" s="39">
        <f t="shared" si="21"/>
        <v>4000</v>
      </c>
      <c r="O495" s="39">
        <f t="shared" si="22"/>
        <v>1800</v>
      </c>
      <c r="P495" s="24" t="s">
        <v>2037</v>
      </c>
      <c r="Q495" s="24" t="s">
        <v>2014</v>
      </c>
      <c r="R495" s="1" t="s">
        <v>2013</v>
      </c>
      <c r="S495" s="15" t="s">
        <v>2082</v>
      </c>
      <c r="T495" s="15" t="s">
        <v>2442</v>
      </c>
      <c r="U495" s="25" t="s">
        <v>2086</v>
      </c>
      <c r="V495" s="25" t="s">
        <v>2436</v>
      </c>
      <c r="W495" s="80">
        <v>45173</v>
      </c>
      <c r="X495" s="21" t="s">
        <v>2820</v>
      </c>
    </row>
    <row r="496" spans="1:24" x14ac:dyDescent="0.2">
      <c r="A496" s="1">
        <v>493</v>
      </c>
      <c r="B496" s="1" t="s">
        <v>206</v>
      </c>
      <c r="C496" s="1" t="s">
        <v>2782</v>
      </c>
      <c r="D496" s="1" t="s">
        <v>2556</v>
      </c>
      <c r="E496" s="15" t="s">
        <v>822</v>
      </c>
      <c r="F496" s="66" t="s">
        <v>929</v>
      </c>
      <c r="G496" s="24" t="s">
        <v>2800</v>
      </c>
      <c r="H496" s="15" t="s">
        <v>2789</v>
      </c>
      <c r="I496" s="16">
        <v>47</v>
      </c>
      <c r="J496" s="16" t="str">
        <f t="shared" si="23"/>
        <v>Middle Age</v>
      </c>
      <c r="K496" s="25">
        <v>4</v>
      </c>
      <c r="L496" s="42">
        <v>1040</v>
      </c>
      <c r="M496" s="15">
        <v>520</v>
      </c>
      <c r="N496" s="39">
        <f t="shared" si="21"/>
        <v>4160</v>
      </c>
      <c r="O496" s="39">
        <f t="shared" si="22"/>
        <v>2080</v>
      </c>
      <c r="P496" s="24" t="s">
        <v>2060</v>
      </c>
      <c r="Q496" s="24" t="s">
        <v>2024</v>
      </c>
      <c r="R496" s="1" t="s">
        <v>2013</v>
      </c>
      <c r="S496" s="15" t="s">
        <v>2082</v>
      </c>
      <c r="T496" s="15" t="s">
        <v>2442</v>
      </c>
      <c r="U496" s="25" t="s">
        <v>2087</v>
      </c>
      <c r="V496" s="25" t="s">
        <v>2437</v>
      </c>
      <c r="W496" s="80">
        <v>45210</v>
      </c>
      <c r="X496" s="21" t="s">
        <v>2821</v>
      </c>
    </row>
    <row r="497" spans="1:24" x14ac:dyDescent="0.2">
      <c r="A497" s="1">
        <v>494</v>
      </c>
      <c r="B497" s="1" t="s">
        <v>208</v>
      </c>
      <c r="C497" s="1" t="s">
        <v>2782</v>
      </c>
      <c r="D497" s="1" t="s">
        <v>207</v>
      </c>
      <c r="E497" s="15" t="s">
        <v>823</v>
      </c>
      <c r="F497" s="66" t="s">
        <v>882</v>
      </c>
      <c r="G497" s="24" t="s">
        <v>2802</v>
      </c>
      <c r="H497" s="15" t="s">
        <v>2788</v>
      </c>
      <c r="I497" s="16">
        <v>49</v>
      </c>
      <c r="J497" s="16" t="str">
        <f t="shared" si="23"/>
        <v>Middle Age</v>
      </c>
      <c r="K497" s="25">
        <v>1</v>
      </c>
      <c r="L497" s="42">
        <v>3000</v>
      </c>
      <c r="M497" s="15">
        <v>1580</v>
      </c>
      <c r="N497" s="39">
        <f t="shared" si="21"/>
        <v>3000</v>
      </c>
      <c r="O497" s="39">
        <f t="shared" si="22"/>
        <v>1420</v>
      </c>
      <c r="P497" s="24" t="s">
        <v>2045</v>
      </c>
      <c r="Q497" s="24" t="s">
        <v>2014</v>
      </c>
      <c r="R497" s="1" t="s">
        <v>2013</v>
      </c>
      <c r="S497" s="15" t="s">
        <v>2082</v>
      </c>
      <c r="T497" s="15" t="s">
        <v>2442</v>
      </c>
      <c r="U497" s="25" t="s">
        <v>2090</v>
      </c>
      <c r="V497" s="25" t="s">
        <v>2435</v>
      </c>
      <c r="W497" s="80">
        <v>45110</v>
      </c>
      <c r="X497" s="21" t="s">
        <v>2813</v>
      </c>
    </row>
    <row r="498" spans="1:24" x14ac:dyDescent="0.2">
      <c r="A498" s="1">
        <v>495</v>
      </c>
      <c r="B498" s="1" t="s">
        <v>210</v>
      </c>
      <c r="C498" s="1" t="s">
        <v>2782</v>
      </c>
      <c r="D498" s="1" t="s">
        <v>209</v>
      </c>
      <c r="E498" s="15" t="s">
        <v>828</v>
      </c>
      <c r="F498" s="66" t="s">
        <v>930</v>
      </c>
      <c r="G498" s="24" t="s">
        <v>2804</v>
      </c>
      <c r="H498" s="15" t="s">
        <v>2788</v>
      </c>
      <c r="I498" s="16">
        <v>36</v>
      </c>
      <c r="J498" s="16" t="str">
        <f t="shared" si="23"/>
        <v>Middle Age</v>
      </c>
      <c r="K498" s="25">
        <v>5</v>
      </c>
      <c r="L498" s="42">
        <v>2144</v>
      </c>
      <c r="M498" s="15">
        <v>1070</v>
      </c>
      <c r="N498" s="39">
        <f t="shared" si="21"/>
        <v>10720</v>
      </c>
      <c r="O498" s="39">
        <f t="shared" si="22"/>
        <v>5370</v>
      </c>
      <c r="P498" s="24" t="s">
        <v>2035</v>
      </c>
      <c r="Q498" s="24" t="s">
        <v>2020</v>
      </c>
      <c r="R498" s="1" t="s">
        <v>2013</v>
      </c>
      <c r="S498" s="15" t="s">
        <v>2082</v>
      </c>
      <c r="T498" s="15" t="s">
        <v>2442</v>
      </c>
      <c r="U498" s="25" t="s">
        <v>2086</v>
      </c>
      <c r="V498" s="25" t="s">
        <v>2436</v>
      </c>
      <c r="W498" s="80">
        <v>45263</v>
      </c>
      <c r="X498" s="21" t="s">
        <v>2822</v>
      </c>
    </row>
    <row r="499" spans="1:24" x14ac:dyDescent="0.2">
      <c r="A499" s="1">
        <v>496</v>
      </c>
      <c r="B499" s="1" t="s">
        <v>211</v>
      </c>
      <c r="C499" s="1" t="s">
        <v>2782</v>
      </c>
      <c r="D499" s="1" t="s">
        <v>2577</v>
      </c>
      <c r="E499" s="15" t="s">
        <v>822</v>
      </c>
      <c r="F499" s="67" t="s">
        <v>885</v>
      </c>
      <c r="G499" s="24" t="s">
        <v>2806</v>
      </c>
      <c r="H499" s="15" t="s">
        <v>2789</v>
      </c>
      <c r="I499" s="16">
        <v>28</v>
      </c>
      <c r="J499" s="16" t="str">
        <f t="shared" si="23"/>
        <v>Young</v>
      </c>
      <c r="K499" s="25">
        <v>2</v>
      </c>
      <c r="L499" s="42">
        <v>2150</v>
      </c>
      <c r="M499" s="15">
        <v>750</v>
      </c>
      <c r="N499" s="39">
        <f t="shared" si="21"/>
        <v>4300</v>
      </c>
      <c r="O499" s="39">
        <f t="shared" si="22"/>
        <v>2800</v>
      </c>
      <c r="P499" s="24" t="s">
        <v>2060</v>
      </c>
      <c r="Q499" s="24" t="s">
        <v>2024</v>
      </c>
      <c r="R499" s="1" t="s">
        <v>2013</v>
      </c>
      <c r="S499" s="15" t="s">
        <v>2082</v>
      </c>
      <c r="T499" s="15" t="s">
        <v>2442</v>
      </c>
      <c r="U499" s="25" t="s">
        <v>2087</v>
      </c>
      <c r="V499" s="25" t="s">
        <v>2434</v>
      </c>
      <c r="W499" s="80">
        <v>45254</v>
      </c>
      <c r="X499" s="21" t="s">
        <v>2823</v>
      </c>
    </row>
    <row r="500" spans="1:24" x14ac:dyDescent="0.2">
      <c r="A500" s="1">
        <v>497</v>
      </c>
      <c r="B500" s="1" t="s">
        <v>212</v>
      </c>
      <c r="C500" s="1" t="s">
        <v>2782</v>
      </c>
      <c r="D500" s="1" t="s">
        <v>2578</v>
      </c>
      <c r="E500" s="15" t="s">
        <v>822</v>
      </c>
      <c r="F500" s="67" t="s">
        <v>893</v>
      </c>
      <c r="G500" s="24" t="s">
        <v>2808</v>
      </c>
      <c r="H500" s="15" t="s">
        <v>2789</v>
      </c>
      <c r="I500" s="16">
        <v>50</v>
      </c>
      <c r="J500" s="16" t="str">
        <f t="shared" si="23"/>
        <v>Old</v>
      </c>
      <c r="K500" s="25">
        <v>3</v>
      </c>
      <c r="L500" s="42">
        <v>7280</v>
      </c>
      <c r="M500" s="15">
        <v>4780</v>
      </c>
      <c r="N500" s="39">
        <f t="shared" si="21"/>
        <v>21840</v>
      </c>
      <c r="O500" s="39">
        <f t="shared" si="22"/>
        <v>7500</v>
      </c>
      <c r="P500" s="24" t="s">
        <v>2044</v>
      </c>
      <c r="Q500" s="24" t="s">
        <v>2020</v>
      </c>
      <c r="R500" s="1" t="s">
        <v>2013</v>
      </c>
      <c r="S500" s="15" t="s">
        <v>2082</v>
      </c>
      <c r="T500" s="15" t="s">
        <v>2442</v>
      </c>
      <c r="U500" s="25" t="s">
        <v>2083</v>
      </c>
      <c r="V500" s="25" t="s">
        <v>2437</v>
      </c>
      <c r="W500" s="80">
        <v>45184</v>
      </c>
      <c r="X500" s="21" t="s">
        <v>2820</v>
      </c>
    </row>
    <row r="501" spans="1:24" x14ac:dyDescent="0.2">
      <c r="A501" s="1">
        <v>498</v>
      </c>
      <c r="B501" s="1" t="s">
        <v>214</v>
      </c>
      <c r="C501" s="1" t="s">
        <v>2782</v>
      </c>
      <c r="D501" s="1" t="s">
        <v>213</v>
      </c>
      <c r="E501" s="15" t="s">
        <v>863</v>
      </c>
      <c r="F501" s="67" t="s">
        <v>894</v>
      </c>
      <c r="G501" s="24" t="s">
        <v>2810</v>
      </c>
      <c r="H501" s="15" t="s">
        <v>2789</v>
      </c>
      <c r="I501" s="16">
        <v>39</v>
      </c>
      <c r="J501" s="16" t="str">
        <f t="shared" si="23"/>
        <v>Middle Age</v>
      </c>
      <c r="K501" s="25">
        <v>4</v>
      </c>
      <c r="L501" s="49">
        <v>2075</v>
      </c>
      <c r="M501" s="37">
        <v>970</v>
      </c>
      <c r="N501" s="39">
        <f t="shared" si="21"/>
        <v>8300</v>
      </c>
      <c r="O501" s="39">
        <f t="shared" si="22"/>
        <v>4420</v>
      </c>
      <c r="P501" s="24" t="s">
        <v>2055</v>
      </c>
      <c r="Q501" s="24" t="s">
        <v>2014</v>
      </c>
      <c r="R501" s="1" t="s">
        <v>2013</v>
      </c>
      <c r="S501" s="15" t="s">
        <v>2082</v>
      </c>
      <c r="T501" s="15" t="s">
        <v>2442</v>
      </c>
      <c r="U501" s="25" t="s">
        <v>2090</v>
      </c>
      <c r="V501" s="25" t="s">
        <v>2435</v>
      </c>
      <c r="W501" s="80">
        <v>45161</v>
      </c>
      <c r="X501" s="21" t="s">
        <v>2819</v>
      </c>
    </row>
    <row r="502" spans="1:24" x14ac:dyDescent="0.2">
      <c r="A502" s="1">
        <v>499</v>
      </c>
      <c r="B502" s="1" t="s">
        <v>214</v>
      </c>
      <c r="C502" s="1" t="s">
        <v>2782</v>
      </c>
      <c r="D502" s="1" t="s">
        <v>215</v>
      </c>
      <c r="E502" s="35" t="s">
        <v>864</v>
      </c>
      <c r="F502" s="66" t="s">
        <v>25</v>
      </c>
      <c r="G502" s="24" t="s">
        <v>2793</v>
      </c>
      <c r="H502" s="15" t="s">
        <v>2789</v>
      </c>
      <c r="I502" s="16">
        <v>31</v>
      </c>
      <c r="J502" s="16" t="str">
        <f t="shared" si="23"/>
        <v>Young</v>
      </c>
      <c r="K502" s="25">
        <v>3</v>
      </c>
      <c r="L502" s="49">
        <v>1470</v>
      </c>
      <c r="M502" s="37">
        <v>790</v>
      </c>
      <c r="N502" s="39">
        <f t="shared" si="21"/>
        <v>4410</v>
      </c>
      <c r="O502" s="39">
        <f t="shared" si="22"/>
        <v>2040</v>
      </c>
      <c r="P502" s="24" t="s">
        <v>2032</v>
      </c>
      <c r="Q502" s="15" t="s">
        <v>2016</v>
      </c>
      <c r="R502" s="1" t="s">
        <v>2013</v>
      </c>
      <c r="S502" s="15" t="s">
        <v>2082</v>
      </c>
      <c r="T502" s="15" t="s">
        <v>2442</v>
      </c>
      <c r="U502" s="25" t="s">
        <v>2088</v>
      </c>
      <c r="V502" s="25" t="s">
        <v>2434</v>
      </c>
      <c r="W502" s="80">
        <v>45056</v>
      </c>
      <c r="X502" s="21" t="s">
        <v>2786</v>
      </c>
    </row>
    <row r="503" spans="1:24" x14ac:dyDescent="0.2">
      <c r="A503" s="1">
        <v>500</v>
      </c>
      <c r="B503" s="1" t="s">
        <v>214</v>
      </c>
      <c r="C503" s="1" t="s">
        <v>2782</v>
      </c>
      <c r="D503" s="1" t="s">
        <v>216</v>
      </c>
      <c r="E503" s="35" t="s">
        <v>823</v>
      </c>
      <c r="F503" s="67" t="s">
        <v>915</v>
      </c>
      <c r="G503" s="24" t="s">
        <v>2791</v>
      </c>
      <c r="H503" s="15" t="s">
        <v>2788</v>
      </c>
      <c r="I503" s="16">
        <v>44</v>
      </c>
      <c r="J503" s="16" t="str">
        <f t="shared" si="23"/>
        <v>Middle Age</v>
      </c>
      <c r="K503" s="25">
        <v>1</v>
      </c>
      <c r="L503" s="49">
        <v>1300</v>
      </c>
      <c r="M503" s="37">
        <v>790</v>
      </c>
      <c r="N503" s="39">
        <f t="shared" si="21"/>
        <v>1300</v>
      </c>
      <c r="O503" s="39">
        <f t="shared" si="22"/>
        <v>510</v>
      </c>
      <c r="P503" s="24" t="s">
        <v>2058</v>
      </c>
      <c r="Q503" s="24" t="s">
        <v>2020</v>
      </c>
      <c r="R503" s="1" t="s">
        <v>2013</v>
      </c>
      <c r="S503" s="15" t="s">
        <v>2082</v>
      </c>
      <c r="T503" s="15" t="s">
        <v>2442</v>
      </c>
      <c r="U503" s="25" t="s">
        <v>2088</v>
      </c>
      <c r="V503" s="25" t="s">
        <v>2436</v>
      </c>
      <c r="W503" s="80">
        <v>45141</v>
      </c>
      <c r="X503" s="21" t="s">
        <v>2819</v>
      </c>
    </row>
    <row r="504" spans="1:24" x14ac:dyDescent="0.2">
      <c r="A504" s="1">
        <v>501</v>
      </c>
      <c r="B504" s="1" t="s">
        <v>218</v>
      </c>
      <c r="C504" s="1" t="s">
        <v>2782</v>
      </c>
      <c r="D504" s="1" t="s">
        <v>217</v>
      </c>
      <c r="E504" s="35" t="s">
        <v>823</v>
      </c>
      <c r="F504" s="66" t="s">
        <v>920</v>
      </c>
      <c r="G504" s="24" t="s">
        <v>2795</v>
      </c>
      <c r="H504" s="15" t="s">
        <v>2789</v>
      </c>
      <c r="I504" s="16">
        <v>26</v>
      </c>
      <c r="J504" s="16" t="str">
        <f t="shared" si="23"/>
        <v>Young</v>
      </c>
      <c r="K504" s="25">
        <v>4</v>
      </c>
      <c r="L504" s="42">
        <v>4644</v>
      </c>
      <c r="M504" s="15">
        <v>2550</v>
      </c>
      <c r="N504" s="39">
        <f t="shared" si="21"/>
        <v>18576</v>
      </c>
      <c r="O504" s="39">
        <f t="shared" si="22"/>
        <v>8376</v>
      </c>
      <c r="P504" s="24" t="s">
        <v>2060</v>
      </c>
      <c r="Q504" s="24" t="s">
        <v>2024</v>
      </c>
      <c r="R504" s="1" t="s">
        <v>2013</v>
      </c>
      <c r="S504" s="15" t="s">
        <v>2082</v>
      </c>
      <c r="T504" s="15" t="s">
        <v>2442</v>
      </c>
      <c r="U504" s="25" t="s">
        <v>2084</v>
      </c>
      <c r="V504" s="25" t="s">
        <v>2437</v>
      </c>
      <c r="W504" s="80">
        <v>45065</v>
      </c>
      <c r="X504" s="21" t="s">
        <v>2786</v>
      </c>
    </row>
    <row r="505" spans="1:24" x14ac:dyDescent="0.2">
      <c r="A505" s="1">
        <v>502</v>
      </c>
      <c r="B505" s="1" t="s">
        <v>219</v>
      </c>
      <c r="C505" s="1" t="s">
        <v>2782</v>
      </c>
      <c r="D505" s="1" t="s">
        <v>2579</v>
      </c>
      <c r="E505" s="35" t="s">
        <v>863</v>
      </c>
      <c r="F505" s="67" t="s">
        <v>921</v>
      </c>
      <c r="G505" s="24" t="s">
        <v>2797</v>
      </c>
      <c r="H505" s="15" t="s">
        <v>2789</v>
      </c>
      <c r="I505" s="16">
        <v>48</v>
      </c>
      <c r="J505" s="16" t="str">
        <f t="shared" si="23"/>
        <v>Middle Age</v>
      </c>
      <c r="K505" s="25">
        <v>5</v>
      </c>
      <c r="L505" s="42">
        <v>2889</v>
      </c>
      <c r="M505" s="15">
        <v>1320</v>
      </c>
      <c r="N505" s="39">
        <f t="shared" si="21"/>
        <v>14445</v>
      </c>
      <c r="O505" s="39">
        <f t="shared" si="22"/>
        <v>7845</v>
      </c>
      <c r="P505" s="24" t="s">
        <v>2028</v>
      </c>
      <c r="Q505" s="15" t="s">
        <v>2024</v>
      </c>
      <c r="R505" s="1" t="s">
        <v>2013</v>
      </c>
      <c r="S505" s="15" t="s">
        <v>2082</v>
      </c>
      <c r="T505" s="15" t="s">
        <v>2442</v>
      </c>
      <c r="U505" s="25" t="s">
        <v>2083</v>
      </c>
      <c r="V505" s="25" t="s">
        <v>2435</v>
      </c>
      <c r="W505" s="80">
        <v>44952</v>
      </c>
      <c r="X505" s="21" t="s">
        <v>2818</v>
      </c>
    </row>
    <row r="506" spans="1:24" x14ac:dyDescent="0.2">
      <c r="A506" s="1">
        <v>503</v>
      </c>
      <c r="B506" s="1" t="s">
        <v>1</v>
      </c>
      <c r="C506" s="1" t="s">
        <v>2782</v>
      </c>
      <c r="D506" s="1" t="s">
        <v>2580</v>
      </c>
      <c r="E506" s="35" t="s">
        <v>822</v>
      </c>
      <c r="F506" s="67" t="s">
        <v>922</v>
      </c>
      <c r="G506" s="24" t="s">
        <v>2799</v>
      </c>
      <c r="H506" s="15" t="s">
        <v>2788</v>
      </c>
      <c r="I506" s="16">
        <v>53</v>
      </c>
      <c r="J506" s="16" t="str">
        <f t="shared" si="23"/>
        <v>Old</v>
      </c>
      <c r="K506" s="25">
        <v>3</v>
      </c>
      <c r="L506" s="42">
        <v>840</v>
      </c>
      <c r="M506" s="15">
        <v>440</v>
      </c>
      <c r="N506" s="39">
        <f t="shared" si="21"/>
        <v>2520</v>
      </c>
      <c r="O506" s="39">
        <f t="shared" si="22"/>
        <v>1200</v>
      </c>
      <c r="P506" s="24" t="s">
        <v>2056</v>
      </c>
      <c r="Q506" s="24" t="s">
        <v>2024</v>
      </c>
      <c r="R506" s="1" t="s">
        <v>2013</v>
      </c>
      <c r="S506" s="15" t="s">
        <v>2082</v>
      </c>
      <c r="T506" s="15" t="s">
        <v>2442</v>
      </c>
      <c r="U506" s="25" t="s">
        <v>2088</v>
      </c>
      <c r="V506" s="25" t="s">
        <v>2436</v>
      </c>
      <c r="W506" s="80">
        <v>45069</v>
      </c>
      <c r="X506" s="21" t="s">
        <v>2786</v>
      </c>
    </row>
    <row r="507" spans="1:24" x14ac:dyDescent="0.2">
      <c r="A507" s="1">
        <v>504</v>
      </c>
      <c r="B507" s="1" t="s">
        <v>220</v>
      </c>
      <c r="C507" s="1" t="s">
        <v>2782</v>
      </c>
      <c r="D507" s="1" t="s">
        <v>2581</v>
      </c>
      <c r="E507" s="35" t="s">
        <v>817</v>
      </c>
      <c r="F507" s="67" t="s">
        <v>923</v>
      </c>
      <c r="G507" s="24" t="s">
        <v>2801</v>
      </c>
      <c r="H507" s="15" t="s">
        <v>2788</v>
      </c>
      <c r="I507" s="16">
        <v>30</v>
      </c>
      <c r="J507" s="16" t="str">
        <f t="shared" si="23"/>
        <v>Young</v>
      </c>
      <c r="K507" s="25">
        <v>2</v>
      </c>
      <c r="L507" s="42">
        <v>2720</v>
      </c>
      <c r="M507" s="15">
        <v>1720</v>
      </c>
      <c r="N507" s="39">
        <f t="shared" si="21"/>
        <v>5440</v>
      </c>
      <c r="O507" s="39">
        <f t="shared" si="22"/>
        <v>2000</v>
      </c>
      <c r="P507" s="24" t="s">
        <v>2028</v>
      </c>
      <c r="Q507" s="15" t="s">
        <v>2024</v>
      </c>
      <c r="R507" s="1" t="s">
        <v>2013</v>
      </c>
      <c r="S507" s="15" t="s">
        <v>2082</v>
      </c>
      <c r="T507" s="15" t="s">
        <v>2442</v>
      </c>
      <c r="U507" s="25" t="s">
        <v>2089</v>
      </c>
      <c r="V507" s="25" t="s">
        <v>2434</v>
      </c>
      <c r="W507" s="80">
        <v>45257</v>
      </c>
      <c r="X507" s="21" t="s">
        <v>2823</v>
      </c>
    </row>
    <row r="508" spans="1:24" x14ac:dyDescent="0.2">
      <c r="A508" s="1">
        <v>505</v>
      </c>
      <c r="B508" s="1" t="s">
        <v>222</v>
      </c>
      <c r="C508" s="1" t="s">
        <v>2782</v>
      </c>
      <c r="D508" s="1" t="s">
        <v>221</v>
      </c>
      <c r="E508" s="15" t="s">
        <v>863</v>
      </c>
      <c r="F508" s="67" t="s">
        <v>924</v>
      </c>
      <c r="G508" s="24" t="s">
        <v>2803</v>
      </c>
      <c r="H508" s="15" t="s">
        <v>2789</v>
      </c>
      <c r="I508" s="16">
        <v>37</v>
      </c>
      <c r="J508" s="16" t="str">
        <f t="shared" si="23"/>
        <v>Middle Age</v>
      </c>
      <c r="K508" s="25">
        <v>4</v>
      </c>
      <c r="L508" s="42">
        <v>4845</v>
      </c>
      <c r="M508" s="15">
        <v>2550</v>
      </c>
      <c r="N508" s="39">
        <f t="shared" si="21"/>
        <v>19380</v>
      </c>
      <c r="O508" s="39">
        <f t="shared" si="22"/>
        <v>9180</v>
      </c>
      <c r="P508" s="24" t="s">
        <v>2037</v>
      </c>
      <c r="Q508" s="24" t="s">
        <v>2014</v>
      </c>
      <c r="R508" s="1" t="s">
        <v>2013</v>
      </c>
      <c r="S508" s="15" t="s">
        <v>2082</v>
      </c>
      <c r="T508" s="15" t="s">
        <v>2442</v>
      </c>
      <c r="U508" s="25" t="s">
        <v>2090</v>
      </c>
      <c r="V508" s="25" t="s">
        <v>2437</v>
      </c>
      <c r="W508" s="80">
        <v>45250</v>
      </c>
      <c r="X508" s="21" t="s">
        <v>2823</v>
      </c>
    </row>
    <row r="509" spans="1:24" x14ac:dyDescent="0.2">
      <c r="A509" s="1">
        <v>506</v>
      </c>
      <c r="B509" s="1" t="s">
        <v>224</v>
      </c>
      <c r="C509" s="1" t="s">
        <v>2782</v>
      </c>
      <c r="D509" s="1" t="s">
        <v>223</v>
      </c>
      <c r="E509" s="15" t="s">
        <v>864</v>
      </c>
      <c r="F509" s="67" t="s">
        <v>925</v>
      </c>
      <c r="G509" s="24" t="s">
        <v>2805</v>
      </c>
      <c r="H509" s="15" t="s">
        <v>2788</v>
      </c>
      <c r="I509" s="16">
        <v>42</v>
      </c>
      <c r="J509" s="16" t="str">
        <f t="shared" si="23"/>
        <v>Middle Age</v>
      </c>
      <c r="K509" s="25">
        <v>1</v>
      </c>
      <c r="L509" s="42">
        <v>1800</v>
      </c>
      <c r="M509" s="15">
        <v>730</v>
      </c>
      <c r="N509" s="39">
        <f t="shared" si="21"/>
        <v>1800</v>
      </c>
      <c r="O509" s="39">
        <f t="shared" si="22"/>
        <v>1070</v>
      </c>
      <c r="P509" s="24" t="s">
        <v>2044</v>
      </c>
      <c r="Q509" s="24" t="s">
        <v>2020</v>
      </c>
      <c r="R509" s="1" t="s">
        <v>2013</v>
      </c>
      <c r="S509" s="15" t="s">
        <v>2082</v>
      </c>
      <c r="T509" s="15" t="s">
        <v>2442</v>
      </c>
      <c r="U509" s="25" t="s">
        <v>2089</v>
      </c>
      <c r="V509" s="25" t="s">
        <v>2435</v>
      </c>
      <c r="W509" s="80">
        <v>44937</v>
      </c>
      <c r="X509" s="21" t="s">
        <v>2818</v>
      </c>
    </row>
    <row r="510" spans="1:24" x14ac:dyDescent="0.2">
      <c r="A510" s="1">
        <v>507</v>
      </c>
      <c r="B510" s="1" t="s">
        <v>226</v>
      </c>
      <c r="C510" s="1" t="s">
        <v>2782</v>
      </c>
      <c r="D510" s="1" t="s">
        <v>225</v>
      </c>
      <c r="E510" s="15" t="s">
        <v>822</v>
      </c>
      <c r="F510" s="69" t="s">
        <v>904</v>
      </c>
      <c r="G510" s="24" t="s">
        <v>2807</v>
      </c>
      <c r="H510" s="15" t="s">
        <v>2788</v>
      </c>
      <c r="I510" s="16">
        <v>24</v>
      </c>
      <c r="J510" s="16" t="str">
        <f t="shared" si="23"/>
        <v>Young</v>
      </c>
      <c r="K510" s="25">
        <v>5</v>
      </c>
      <c r="L510" s="42">
        <v>2480</v>
      </c>
      <c r="M510" s="15">
        <v>1200</v>
      </c>
      <c r="N510" s="39">
        <f t="shared" si="21"/>
        <v>12400</v>
      </c>
      <c r="O510" s="39">
        <f t="shared" si="22"/>
        <v>6400</v>
      </c>
      <c r="P510" s="24" t="s">
        <v>2052</v>
      </c>
      <c r="Q510" s="15" t="s">
        <v>2016</v>
      </c>
      <c r="R510" s="1" t="s">
        <v>2013</v>
      </c>
      <c r="S510" s="15" t="s">
        <v>2082</v>
      </c>
      <c r="T510" s="15" t="s">
        <v>2442</v>
      </c>
      <c r="U510" s="25" t="s">
        <v>2089</v>
      </c>
      <c r="V510" s="25" t="s">
        <v>2434</v>
      </c>
      <c r="W510" s="80">
        <v>44967</v>
      </c>
      <c r="X510" s="21" t="s">
        <v>2817</v>
      </c>
    </row>
    <row r="511" spans="1:24" x14ac:dyDescent="0.2">
      <c r="A511" s="1">
        <v>508</v>
      </c>
      <c r="B511" s="1" t="s">
        <v>227</v>
      </c>
      <c r="C511" s="1" t="s">
        <v>2782</v>
      </c>
      <c r="D511" s="1" t="s">
        <v>2582</v>
      </c>
      <c r="E511" s="15" t="s">
        <v>823</v>
      </c>
      <c r="F511" s="67" t="s">
        <v>925</v>
      </c>
      <c r="G511" s="24" t="s">
        <v>2809</v>
      </c>
      <c r="H511" s="15" t="s">
        <v>2788</v>
      </c>
      <c r="I511" s="16">
        <v>28</v>
      </c>
      <c r="J511" s="16" t="str">
        <f t="shared" si="23"/>
        <v>Young</v>
      </c>
      <c r="K511" s="25">
        <v>2</v>
      </c>
      <c r="L511" s="42">
        <v>3135</v>
      </c>
      <c r="M511" s="15">
        <v>2135</v>
      </c>
      <c r="N511" s="39">
        <f t="shared" si="21"/>
        <v>6270</v>
      </c>
      <c r="O511" s="39">
        <f t="shared" si="22"/>
        <v>2000</v>
      </c>
      <c r="P511" s="24" t="s">
        <v>2022</v>
      </c>
      <c r="Q511" s="24" t="s">
        <v>2016</v>
      </c>
      <c r="R511" s="1" t="s">
        <v>2013</v>
      </c>
      <c r="S511" s="15" t="s">
        <v>2082</v>
      </c>
      <c r="T511" s="15" t="s">
        <v>2442</v>
      </c>
      <c r="U511" s="25" t="s">
        <v>2090</v>
      </c>
      <c r="V511" s="25" t="s">
        <v>2436</v>
      </c>
      <c r="W511" s="80">
        <v>44987</v>
      </c>
      <c r="X511" s="21" t="s">
        <v>2816</v>
      </c>
    </row>
    <row r="512" spans="1:24" x14ac:dyDescent="0.2">
      <c r="A512" s="1">
        <v>509</v>
      </c>
      <c r="B512" s="1" t="s">
        <v>229</v>
      </c>
      <c r="C512" s="1" t="s">
        <v>2782</v>
      </c>
      <c r="D512" s="1" t="s">
        <v>228</v>
      </c>
      <c r="E512" s="15" t="s">
        <v>828</v>
      </c>
      <c r="F512" s="69" t="s">
        <v>904</v>
      </c>
      <c r="G512" s="24" t="s">
        <v>2794</v>
      </c>
      <c r="H512" s="15" t="s">
        <v>2788</v>
      </c>
      <c r="I512" s="16">
        <v>50</v>
      </c>
      <c r="J512" s="16" t="str">
        <f t="shared" si="23"/>
        <v>Old</v>
      </c>
      <c r="K512" s="25">
        <v>3</v>
      </c>
      <c r="L512" s="42">
        <v>4500</v>
      </c>
      <c r="M512" s="15">
        <v>2750</v>
      </c>
      <c r="N512" s="39">
        <f t="shared" si="21"/>
        <v>13500</v>
      </c>
      <c r="O512" s="39">
        <f t="shared" si="22"/>
        <v>5250</v>
      </c>
      <c r="P512" s="24" t="s">
        <v>2026</v>
      </c>
      <c r="Q512" s="15" t="s">
        <v>2014</v>
      </c>
      <c r="R512" s="1" t="s">
        <v>2013</v>
      </c>
      <c r="S512" s="15" t="s">
        <v>2082</v>
      </c>
      <c r="T512" s="15" t="s">
        <v>2442</v>
      </c>
      <c r="U512" s="25" t="s">
        <v>2084</v>
      </c>
      <c r="V512" s="25" t="s">
        <v>2437</v>
      </c>
      <c r="W512" s="80">
        <v>45227</v>
      </c>
      <c r="X512" s="21" t="s">
        <v>2821</v>
      </c>
    </row>
    <row r="513" spans="1:24" x14ac:dyDescent="0.2">
      <c r="A513" s="1">
        <v>510</v>
      </c>
      <c r="B513" s="1" t="s">
        <v>231</v>
      </c>
      <c r="C513" s="1" t="s">
        <v>2782</v>
      </c>
      <c r="D513" s="1" t="s">
        <v>230</v>
      </c>
      <c r="E513" s="15" t="s">
        <v>822</v>
      </c>
      <c r="F513" s="66" t="s">
        <v>926</v>
      </c>
      <c r="G513" s="24" t="s">
        <v>2792</v>
      </c>
      <c r="H513" s="15" t="s">
        <v>2788</v>
      </c>
      <c r="I513" s="16">
        <v>39</v>
      </c>
      <c r="J513" s="16" t="str">
        <f t="shared" si="23"/>
        <v>Middle Age</v>
      </c>
      <c r="K513" s="25">
        <v>4</v>
      </c>
      <c r="L513" s="42">
        <v>2960</v>
      </c>
      <c r="M513" s="15">
        <v>1400</v>
      </c>
      <c r="N513" s="39">
        <f t="shared" si="21"/>
        <v>11840</v>
      </c>
      <c r="O513" s="39">
        <f t="shared" si="22"/>
        <v>6240</v>
      </c>
      <c r="P513" s="24" t="s">
        <v>2021</v>
      </c>
      <c r="Q513" s="24" t="s">
        <v>2020</v>
      </c>
      <c r="R513" s="1" t="s">
        <v>2013</v>
      </c>
      <c r="S513" s="15" t="s">
        <v>2082</v>
      </c>
      <c r="T513" s="15" t="s">
        <v>2442</v>
      </c>
      <c r="U513" s="25" t="s">
        <v>2090</v>
      </c>
      <c r="V513" s="25" t="s">
        <v>2435</v>
      </c>
      <c r="W513" s="80">
        <v>45192</v>
      </c>
      <c r="X513" s="21" t="s">
        <v>2820</v>
      </c>
    </row>
    <row r="514" spans="1:24" x14ac:dyDescent="0.2">
      <c r="A514" s="1">
        <v>511</v>
      </c>
      <c r="B514" s="1" t="s">
        <v>231</v>
      </c>
      <c r="C514" s="1" t="s">
        <v>2782</v>
      </c>
      <c r="D514" s="1" t="s">
        <v>230</v>
      </c>
      <c r="E514" s="15" t="s">
        <v>864</v>
      </c>
      <c r="F514" s="66" t="s">
        <v>927</v>
      </c>
      <c r="G514" s="24" t="s">
        <v>2796</v>
      </c>
      <c r="H514" s="15" t="s">
        <v>2789</v>
      </c>
      <c r="I514" s="16">
        <v>31</v>
      </c>
      <c r="J514" s="16" t="str">
        <f t="shared" si="23"/>
        <v>Young</v>
      </c>
      <c r="K514" s="25">
        <v>1</v>
      </c>
      <c r="L514" s="42">
        <v>2960</v>
      </c>
      <c r="M514" s="15">
        <v>1400</v>
      </c>
      <c r="N514" s="39">
        <f t="shared" ref="N514:N577" si="24">L514*K514</f>
        <v>2960</v>
      </c>
      <c r="O514" s="39">
        <f t="shared" ref="O514:O577" si="25">N514-(M514*K514)</f>
        <v>1560</v>
      </c>
      <c r="P514" s="24" t="s">
        <v>2037</v>
      </c>
      <c r="Q514" s="24" t="s">
        <v>2014</v>
      </c>
      <c r="R514" s="1" t="s">
        <v>2013</v>
      </c>
      <c r="S514" s="15" t="s">
        <v>2082</v>
      </c>
      <c r="T514" s="15" t="s">
        <v>2442</v>
      </c>
      <c r="U514" s="25" t="s">
        <v>2088</v>
      </c>
      <c r="V514" s="25" t="s">
        <v>2436</v>
      </c>
      <c r="W514" s="80">
        <v>45129</v>
      </c>
      <c r="X514" s="21" t="s">
        <v>2813</v>
      </c>
    </row>
    <row r="515" spans="1:24" x14ac:dyDescent="0.2">
      <c r="A515" s="1">
        <v>512</v>
      </c>
      <c r="B515" s="1" t="s">
        <v>52</v>
      </c>
      <c r="C515" s="1" t="s">
        <v>2782</v>
      </c>
      <c r="D515" s="1" t="s">
        <v>232</v>
      </c>
      <c r="E515" s="15" t="s">
        <v>823</v>
      </c>
      <c r="F515" s="66" t="s">
        <v>877</v>
      </c>
      <c r="G515" s="24" t="s">
        <v>2798</v>
      </c>
      <c r="H515" s="15" t="s">
        <v>2789</v>
      </c>
      <c r="I515" s="16">
        <v>24</v>
      </c>
      <c r="J515" s="16" t="str">
        <f t="shared" ref="J515:J578" si="26">IF(I515&lt;=35,"Young",IF(I515&lt;=49,"Middle Age",IF(I515&gt;=50,"Old")))</f>
        <v>Young</v>
      </c>
      <c r="K515" s="25">
        <v>5</v>
      </c>
      <c r="L515" s="42">
        <v>7200</v>
      </c>
      <c r="M515" s="15">
        <v>3700</v>
      </c>
      <c r="N515" s="39">
        <f t="shared" si="24"/>
        <v>36000</v>
      </c>
      <c r="O515" s="39">
        <f t="shared" si="25"/>
        <v>17500</v>
      </c>
      <c r="P515" s="24" t="s">
        <v>2058</v>
      </c>
      <c r="Q515" s="24" t="s">
        <v>2020</v>
      </c>
      <c r="R515" s="1" t="s">
        <v>2013</v>
      </c>
      <c r="S515" s="15" t="s">
        <v>2082</v>
      </c>
      <c r="T515" s="15" t="s">
        <v>2442</v>
      </c>
      <c r="U515" s="25" t="s">
        <v>2088</v>
      </c>
      <c r="V515" s="25" t="s">
        <v>2434</v>
      </c>
      <c r="W515" s="80">
        <v>45210</v>
      </c>
      <c r="X515" s="21" t="s">
        <v>2821</v>
      </c>
    </row>
    <row r="516" spans="1:24" x14ac:dyDescent="0.2">
      <c r="A516" s="1">
        <v>513</v>
      </c>
      <c r="B516" s="1" t="s">
        <v>40</v>
      </c>
      <c r="C516" s="1" t="s">
        <v>2782</v>
      </c>
      <c r="D516" s="1" t="s">
        <v>233</v>
      </c>
      <c r="E516" s="15" t="s">
        <v>828</v>
      </c>
      <c r="F516" s="66" t="s">
        <v>878</v>
      </c>
      <c r="G516" s="24" t="s">
        <v>2800</v>
      </c>
      <c r="H516" s="15" t="s">
        <v>2789</v>
      </c>
      <c r="I516" s="16">
        <v>57</v>
      </c>
      <c r="J516" s="16" t="str">
        <f t="shared" si="26"/>
        <v>Old</v>
      </c>
      <c r="K516" s="25">
        <v>3</v>
      </c>
      <c r="L516" s="42">
        <f>3845+180</f>
        <v>4025</v>
      </c>
      <c r="M516" s="15">
        <f>1550+80</f>
        <v>1630</v>
      </c>
      <c r="N516" s="39">
        <f t="shared" si="24"/>
        <v>12075</v>
      </c>
      <c r="O516" s="39">
        <f t="shared" si="25"/>
        <v>7185</v>
      </c>
      <c r="P516" s="24" t="s">
        <v>2030</v>
      </c>
      <c r="Q516" s="24" t="s">
        <v>2024</v>
      </c>
      <c r="R516" s="1" t="s">
        <v>2013</v>
      </c>
      <c r="S516" s="15" t="s">
        <v>2082</v>
      </c>
      <c r="T516" s="15" t="s">
        <v>2442</v>
      </c>
      <c r="U516" s="25" t="s">
        <v>2090</v>
      </c>
      <c r="V516" s="25" t="s">
        <v>2437</v>
      </c>
      <c r="W516" s="80">
        <v>45138</v>
      </c>
      <c r="X516" s="21" t="s">
        <v>2813</v>
      </c>
    </row>
    <row r="517" spans="1:24" x14ac:dyDescent="0.2">
      <c r="A517" s="1">
        <v>514</v>
      </c>
      <c r="B517" s="1" t="s">
        <v>234</v>
      </c>
      <c r="C517" s="1" t="s">
        <v>2782</v>
      </c>
      <c r="D517" s="1" t="s">
        <v>869</v>
      </c>
      <c r="E517" s="15" t="s">
        <v>822</v>
      </c>
      <c r="F517" s="66" t="s">
        <v>879</v>
      </c>
      <c r="G517" s="24" t="s">
        <v>2802</v>
      </c>
      <c r="H517" s="15" t="s">
        <v>2788</v>
      </c>
      <c r="I517" s="16">
        <v>35</v>
      </c>
      <c r="J517" s="16" t="str">
        <f t="shared" si="26"/>
        <v>Young</v>
      </c>
      <c r="K517" s="25">
        <v>2</v>
      </c>
      <c r="L517" s="42">
        <f>790+150</f>
        <v>940</v>
      </c>
      <c r="M517" s="15">
        <f>450+100</f>
        <v>550</v>
      </c>
      <c r="N517" s="39">
        <f t="shared" si="24"/>
        <v>1880</v>
      </c>
      <c r="O517" s="39">
        <f t="shared" si="25"/>
        <v>780</v>
      </c>
      <c r="P517" s="24" t="s">
        <v>2021</v>
      </c>
      <c r="Q517" s="24" t="s">
        <v>2020</v>
      </c>
      <c r="R517" s="1" t="s">
        <v>2013</v>
      </c>
      <c r="S517" s="15" t="s">
        <v>2082</v>
      </c>
      <c r="T517" s="15" t="s">
        <v>2442</v>
      </c>
      <c r="U517" s="25" t="s">
        <v>2083</v>
      </c>
      <c r="V517" s="25" t="s">
        <v>2435</v>
      </c>
      <c r="W517" s="80">
        <v>45121</v>
      </c>
      <c r="X517" s="21" t="s">
        <v>2813</v>
      </c>
    </row>
    <row r="518" spans="1:24" x14ac:dyDescent="0.2">
      <c r="A518" s="1">
        <v>515</v>
      </c>
      <c r="B518" s="1" t="s">
        <v>236</v>
      </c>
      <c r="C518" s="1" t="s">
        <v>2782</v>
      </c>
      <c r="D518" s="1" t="s">
        <v>235</v>
      </c>
      <c r="E518" s="15" t="s">
        <v>822</v>
      </c>
      <c r="F518" s="66" t="s">
        <v>880</v>
      </c>
      <c r="G518" s="24" t="s">
        <v>2804</v>
      </c>
      <c r="H518" s="15" t="s">
        <v>2789</v>
      </c>
      <c r="I518" s="16">
        <v>40</v>
      </c>
      <c r="J518" s="16" t="str">
        <f t="shared" si="26"/>
        <v>Middle Age</v>
      </c>
      <c r="K518" s="25">
        <v>4</v>
      </c>
      <c r="L518" s="42">
        <f>2740+180+30</f>
        <v>2950</v>
      </c>
      <c r="M518" s="15">
        <f>1480+80+30</f>
        <v>1590</v>
      </c>
      <c r="N518" s="39">
        <f t="shared" si="24"/>
        <v>11800</v>
      </c>
      <c r="O518" s="39">
        <f t="shared" si="25"/>
        <v>5440</v>
      </c>
      <c r="P518" s="24" t="s">
        <v>2021</v>
      </c>
      <c r="Q518" s="24" t="s">
        <v>2020</v>
      </c>
      <c r="R518" s="1" t="s">
        <v>2013</v>
      </c>
      <c r="S518" s="15" t="s">
        <v>2082</v>
      </c>
      <c r="T518" s="15" t="s">
        <v>2442</v>
      </c>
      <c r="U518" s="25" t="s">
        <v>2084</v>
      </c>
      <c r="V518" s="25" t="s">
        <v>2434</v>
      </c>
      <c r="W518" s="80">
        <v>45020</v>
      </c>
      <c r="X518" s="21" t="s">
        <v>2815</v>
      </c>
    </row>
    <row r="519" spans="1:24" x14ac:dyDescent="0.2">
      <c r="A519" s="1">
        <v>516</v>
      </c>
      <c r="B519" s="1" t="s">
        <v>238</v>
      </c>
      <c r="C519" s="1" t="s">
        <v>2782</v>
      </c>
      <c r="D519" s="1" t="s">
        <v>237</v>
      </c>
      <c r="E519" s="15" t="s">
        <v>863</v>
      </c>
      <c r="F519" s="66" t="s">
        <v>878</v>
      </c>
      <c r="G519" s="24" t="s">
        <v>2806</v>
      </c>
      <c r="H519" s="15" t="s">
        <v>2789</v>
      </c>
      <c r="I519" s="16">
        <v>21</v>
      </c>
      <c r="J519" s="16" t="str">
        <f t="shared" si="26"/>
        <v>Young</v>
      </c>
      <c r="K519" s="25">
        <v>1</v>
      </c>
      <c r="L519" s="42">
        <v>1980</v>
      </c>
      <c r="M519" s="15">
        <v>986</v>
      </c>
      <c r="N519" s="39">
        <f t="shared" si="24"/>
        <v>1980</v>
      </c>
      <c r="O519" s="39">
        <f t="shared" si="25"/>
        <v>994</v>
      </c>
      <c r="P519" s="24" t="s">
        <v>2053</v>
      </c>
      <c r="Q519" s="24" t="s">
        <v>2014</v>
      </c>
      <c r="R519" s="1" t="s">
        <v>2013</v>
      </c>
      <c r="S519" s="15" t="s">
        <v>2082</v>
      </c>
      <c r="T519" s="15" t="s">
        <v>2442</v>
      </c>
      <c r="U519" s="25" t="s">
        <v>2084</v>
      </c>
      <c r="V519" s="25" t="s">
        <v>2436</v>
      </c>
      <c r="W519" s="80">
        <v>45034</v>
      </c>
      <c r="X519" s="21" t="s">
        <v>2815</v>
      </c>
    </row>
    <row r="520" spans="1:24" x14ac:dyDescent="0.2">
      <c r="A520" s="1">
        <v>517</v>
      </c>
      <c r="B520" s="1" t="s">
        <v>239</v>
      </c>
      <c r="C520" s="1" t="s">
        <v>2782</v>
      </c>
      <c r="D520" s="1" t="s">
        <v>2583</v>
      </c>
      <c r="E520" s="35" t="s">
        <v>864</v>
      </c>
      <c r="F520" s="66" t="s">
        <v>879</v>
      </c>
      <c r="G520" s="24" t="s">
        <v>2808</v>
      </c>
      <c r="H520" s="15" t="s">
        <v>2788</v>
      </c>
      <c r="I520" s="16">
        <v>36</v>
      </c>
      <c r="J520" s="16" t="str">
        <f t="shared" si="26"/>
        <v>Middle Age</v>
      </c>
      <c r="K520" s="25">
        <v>5</v>
      </c>
      <c r="L520" s="42">
        <v>2525</v>
      </c>
      <c r="M520" s="15">
        <v>1420</v>
      </c>
      <c r="N520" s="39">
        <f t="shared" si="24"/>
        <v>12625</v>
      </c>
      <c r="O520" s="39">
        <f t="shared" si="25"/>
        <v>5525</v>
      </c>
      <c r="P520" s="24" t="s">
        <v>2030</v>
      </c>
      <c r="Q520" s="24" t="s">
        <v>2024</v>
      </c>
      <c r="R520" s="1" t="s">
        <v>2013</v>
      </c>
      <c r="S520" s="15" t="s">
        <v>2082</v>
      </c>
      <c r="T520" s="15" t="s">
        <v>2442</v>
      </c>
      <c r="U520" s="25" t="s">
        <v>2085</v>
      </c>
      <c r="V520" s="25" t="s">
        <v>2437</v>
      </c>
      <c r="W520" s="80">
        <v>44995</v>
      </c>
      <c r="X520" s="21" t="s">
        <v>2816</v>
      </c>
    </row>
    <row r="521" spans="1:24" x14ac:dyDescent="0.2">
      <c r="A521" s="1">
        <v>518</v>
      </c>
      <c r="B521" s="1" t="s">
        <v>241</v>
      </c>
      <c r="C521" s="1" t="s">
        <v>2782</v>
      </c>
      <c r="D521" s="1" t="s">
        <v>240</v>
      </c>
      <c r="E521" s="35" t="s">
        <v>823</v>
      </c>
      <c r="F521" s="66" t="s">
        <v>880</v>
      </c>
      <c r="G521" s="24" t="s">
        <v>2810</v>
      </c>
      <c r="H521" s="15" t="s">
        <v>2789</v>
      </c>
      <c r="I521" s="16">
        <v>28</v>
      </c>
      <c r="J521" s="16" t="str">
        <f t="shared" si="26"/>
        <v>Young</v>
      </c>
      <c r="K521" s="25">
        <v>2</v>
      </c>
      <c r="L521" s="42">
        <v>2360</v>
      </c>
      <c r="M521" s="15">
        <v>1100</v>
      </c>
      <c r="N521" s="39">
        <f t="shared" si="24"/>
        <v>4720</v>
      </c>
      <c r="O521" s="39">
        <f t="shared" si="25"/>
        <v>2520</v>
      </c>
      <c r="P521" s="24" t="s">
        <v>2034</v>
      </c>
      <c r="Q521" s="24" t="s">
        <v>2016</v>
      </c>
      <c r="R521" s="1" t="s">
        <v>2013</v>
      </c>
      <c r="S521" s="15" t="s">
        <v>2082</v>
      </c>
      <c r="T521" s="15" t="s">
        <v>2442</v>
      </c>
      <c r="U521" s="25" t="s">
        <v>2084</v>
      </c>
      <c r="V521" s="25" t="s">
        <v>2435</v>
      </c>
      <c r="W521" s="80">
        <v>45002</v>
      </c>
      <c r="X521" s="21" t="s">
        <v>2816</v>
      </c>
    </row>
    <row r="522" spans="1:24" x14ac:dyDescent="0.2">
      <c r="A522" s="1">
        <v>519</v>
      </c>
      <c r="B522" s="1" t="s">
        <v>176</v>
      </c>
      <c r="C522" s="1" t="s">
        <v>2782</v>
      </c>
      <c r="D522" s="1" t="s">
        <v>242</v>
      </c>
      <c r="E522" s="35" t="s">
        <v>823</v>
      </c>
      <c r="F522" s="67" t="s">
        <v>915</v>
      </c>
      <c r="G522" s="24" t="s">
        <v>2793</v>
      </c>
      <c r="H522" s="15" t="s">
        <v>2788</v>
      </c>
      <c r="I522" s="16">
        <v>50</v>
      </c>
      <c r="J522" s="16" t="str">
        <f t="shared" si="26"/>
        <v>Old</v>
      </c>
      <c r="K522" s="25">
        <v>3</v>
      </c>
      <c r="L522" s="42">
        <v>4848</v>
      </c>
      <c r="M522" s="15">
        <v>2820</v>
      </c>
      <c r="N522" s="39">
        <f t="shared" si="24"/>
        <v>14544</v>
      </c>
      <c r="O522" s="39">
        <f t="shared" si="25"/>
        <v>6084</v>
      </c>
      <c r="P522" s="24" t="s">
        <v>2015</v>
      </c>
      <c r="Q522" s="24" t="s">
        <v>2014</v>
      </c>
      <c r="R522" s="1" t="s">
        <v>2013</v>
      </c>
      <c r="S522" s="15" t="s">
        <v>2082</v>
      </c>
      <c r="T522" s="15" t="s">
        <v>2442</v>
      </c>
      <c r="U522" s="25" t="s">
        <v>2086</v>
      </c>
      <c r="V522" s="25" t="s">
        <v>2436</v>
      </c>
      <c r="W522" s="80">
        <v>44965</v>
      </c>
      <c r="X522" s="21" t="s">
        <v>2817</v>
      </c>
    </row>
    <row r="523" spans="1:24" x14ac:dyDescent="0.2">
      <c r="A523" s="1">
        <v>520</v>
      </c>
      <c r="B523" s="1" t="s">
        <v>150</v>
      </c>
      <c r="C523" s="1" t="s">
        <v>2782</v>
      </c>
      <c r="D523" s="1" t="s">
        <v>243</v>
      </c>
      <c r="E523" s="35" t="s">
        <v>863</v>
      </c>
      <c r="F523" s="66" t="s">
        <v>920</v>
      </c>
      <c r="G523" s="24" t="s">
        <v>2791</v>
      </c>
      <c r="H523" s="15" t="s">
        <v>2789</v>
      </c>
      <c r="I523" s="16">
        <v>39</v>
      </c>
      <c r="J523" s="16" t="str">
        <f t="shared" si="26"/>
        <v>Middle Age</v>
      </c>
      <c r="K523" s="25">
        <v>4</v>
      </c>
      <c r="L523" s="42">
        <v>2870</v>
      </c>
      <c r="M523" s="15">
        <v>1680</v>
      </c>
      <c r="N523" s="39">
        <f t="shared" si="24"/>
        <v>11480</v>
      </c>
      <c r="O523" s="39">
        <f t="shared" si="25"/>
        <v>4760</v>
      </c>
      <c r="P523" s="24" t="s">
        <v>2034</v>
      </c>
      <c r="Q523" s="24" t="s">
        <v>2016</v>
      </c>
      <c r="R523" s="1" t="s">
        <v>2013</v>
      </c>
      <c r="S523" s="15" t="s">
        <v>2082</v>
      </c>
      <c r="T523" s="15" t="s">
        <v>2442</v>
      </c>
      <c r="U523" s="25" t="s">
        <v>2087</v>
      </c>
      <c r="V523" s="25" t="s">
        <v>2434</v>
      </c>
      <c r="W523" s="80">
        <v>45038</v>
      </c>
      <c r="X523" s="21" t="s">
        <v>2815</v>
      </c>
    </row>
    <row r="524" spans="1:24" x14ac:dyDescent="0.2">
      <c r="A524" s="1">
        <v>521</v>
      </c>
      <c r="B524" s="1" t="s">
        <v>244</v>
      </c>
      <c r="C524" s="1" t="s">
        <v>2782</v>
      </c>
      <c r="D524" s="1" t="s">
        <v>2584</v>
      </c>
      <c r="E524" s="35" t="s">
        <v>822</v>
      </c>
      <c r="F524" s="67" t="s">
        <v>921</v>
      </c>
      <c r="G524" s="24" t="s">
        <v>2795</v>
      </c>
      <c r="H524" s="15" t="s">
        <v>2789</v>
      </c>
      <c r="I524" s="16">
        <v>31</v>
      </c>
      <c r="J524" s="16" t="str">
        <f t="shared" si="26"/>
        <v>Young</v>
      </c>
      <c r="K524" s="25">
        <v>1</v>
      </c>
      <c r="L524" s="42">
        <v>4050</v>
      </c>
      <c r="M524" s="15">
        <v>1920</v>
      </c>
      <c r="N524" s="39">
        <f t="shared" si="24"/>
        <v>4050</v>
      </c>
      <c r="O524" s="39">
        <f t="shared" si="25"/>
        <v>2130</v>
      </c>
      <c r="P524" s="24" t="s">
        <v>2017</v>
      </c>
      <c r="Q524" s="24" t="s">
        <v>2016</v>
      </c>
      <c r="R524" s="1" t="s">
        <v>2013</v>
      </c>
      <c r="S524" s="15" t="s">
        <v>2082</v>
      </c>
      <c r="T524" s="15" t="s">
        <v>2442</v>
      </c>
      <c r="U524" s="25" t="s">
        <v>2090</v>
      </c>
      <c r="V524" s="25" t="s">
        <v>2437</v>
      </c>
      <c r="W524" s="80">
        <v>44929</v>
      </c>
      <c r="X524" s="21" t="s">
        <v>2818</v>
      </c>
    </row>
    <row r="525" spans="1:24" x14ac:dyDescent="0.2">
      <c r="A525" s="1">
        <v>522</v>
      </c>
      <c r="B525" s="1" t="s">
        <v>246</v>
      </c>
      <c r="C525" s="1" t="s">
        <v>2782</v>
      </c>
      <c r="D525" s="1" t="s">
        <v>245</v>
      </c>
      <c r="E525" s="35" t="s">
        <v>863</v>
      </c>
      <c r="F525" s="67" t="s">
        <v>922</v>
      </c>
      <c r="G525" s="24" t="s">
        <v>2797</v>
      </c>
      <c r="H525" s="15" t="s">
        <v>2788</v>
      </c>
      <c r="I525" s="16">
        <v>44</v>
      </c>
      <c r="J525" s="16" t="str">
        <f t="shared" si="26"/>
        <v>Middle Age</v>
      </c>
      <c r="K525" s="25">
        <v>5</v>
      </c>
      <c r="L525" s="42">
        <v>1690</v>
      </c>
      <c r="M525" s="15">
        <v>900</v>
      </c>
      <c r="N525" s="39">
        <f t="shared" si="24"/>
        <v>8450</v>
      </c>
      <c r="O525" s="39">
        <f t="shared" si="25"/>
        <v>3950</v>
      </c>
      <c r="P525" s="24" t="s">
        <v>2052</v>
      </c>
      <c r="Q525" s="15" t="s">
        <v>2016</v>
      </c>
      <c r="R525" s="1" t="s">
        <v>2013</v>
      </c>
      <c r="S525" s="15" t="s">
        <v>2082</v>
      </c>
      <c r="T525" s="15" t="s">
        <v>2442</v>
      </c>
      <c r="U525" s="25" t="s">
        <v>2084</v>
      </c>
      <c r="V525" s="25" t="s">
        <v>2435</v>
      </c>
      <c r="W525" s="80">
        <v>45288</v>
      </c>
      <c r="X525" s="21" t="s">
        <v>2822</v>
      </c>
    </row>
    <row r="526" spans="1:24" x14ac:dyDescent="0.2">
      <c r="A526" s="1">
        <v>522</v>
      </c>
      <c r="B526" s="1" t="s">
        <v>248</v>
      </c>
      <c r="C526" s="1" t="s">
        <v>2782</v>
      </c>
      <c r="D526" s="1" t="s">
        <v>247</v>
      </c>
      <c r="E526" s="35" t="s">
        <v>822</v>
      </c>
      <c r="F526" s="67" t="s">
        <v>923</v>
      </c>
      <c r="G526" s="24" t="s">
        <v>2799</v>
      </c>
      <c r="H526" s="15" t="s">
        <v>2788</v>
      </c>
      <c r="I526" s="16">
        <v>26</v>
      </c>
      <c r="J526" s="16" t="str">
        <f t="shared" si="26"/>
        <v>Young</v>
      </c>
      <c r="K526" s="25">
        <v>3</v>
      </c>
      <c r="L526" s="42">
        <v>1300</v>
      </c>
      <c r="M526" s="15">
        <v>710</v>
      </c>
      <c r="N526" s="39">
        <f t="shared" si="24"/>
        <v>3900</v>
      </c>
      <c r="O526" s="39">
        <f t="shared" si="25"/>
        <v>1770</v>
      </c>
      <c r="P526" s="24" t="s">
        <v>2052</v>
      </c>
      <c r="Q526" s="15" t="s">
        <v>2016</v>
      </c>
      <c r="R526" s="1" t="s">
        <v>2013</v>
      </c>
      <c r="S526" s="15" t="s">
        <v>2082</v>
      </c>
      <c r="T526" s="15" t="s">
        <v>2442</v>
      </c>
      <c r="U526" s="25" t="s">
        <v>2088</v>
      </c>
      <c r="V526" s="25" t="s">
        <v>2434</v>
      </c>
      <c r="W526" s="80">
        <v>44953</v>
      </c>
      <c r="X526" s="21" t="s">
        <v>2818</v>
      </c>
    </row>
    <row r="527" spans="1:24" x14ac:dyDescent="0.2">
      <c r="A527" s="1">
        <v>523</v>
      </c>
      <c r="B527" s="1" t="s">
        <v>195</v>
      </c>
      <c r="C527" s="1" t="s">
        <v>2782</v>
      </c>
      <c r="D527" s="1" t="s">
        <v>2585</v>
      </c>
      <c r="E527" s="35" t="s">
        <v>864</v>
      </c>
      <c r="F527" s="67" t="s">
        <v>924</v>
      </c>
      <c r="G527" s="24" t="s">
        <v>2801</v>
      </c>
      <c r="H527" s="15" t="s">
        <v>2789</v>
      </c>
      <c r="I527" s="16">
        <v>48</v>
      </c>
      <c r="J527" s="16" t="str">
        <f t="shared" si="26"/>
        <v>Middle Age</v>
      </c>
      <c r="K527" s="25">
        <v>2</v>
      </c>
      <c r="L527" s="42">
        <f>2300+180</f>
        <v>2480</v>
      </c>
      <c r="M527" s="15">
        <f>1380+80</f>
        <v>1460</v>
      </c>
      <c r="N527" s="39">
        <f t="shared" si="24"/>
        <v>4960</v>
      </c>
      <c r="O527" s="39">
        <f t="shared" si="25"/>
        <v>2040</v>
      </c>
      <c r="P527" s="24" t="s">
        <v>2036</v>
      </c>
      <c r="Q527" s="24" t="s">
        <v>2014</v>
      </c>
      <c r="R527" s="1" t="s">
        <v>2013</v>
      </c>
      <c r="S527" s="15" t="s">
        <v>2082</v>
      </c>
      <c r="T527" s="15" t="s">
        <v>2442</v>
      </c>
      <c r="U527" s="25" t="s">
        <v>2089</v>
      </c>
      <c r="V527" s="25" t="s">
        <v>2436</v>
      </c>
      <c r="W527" s="80">
        <v>45286</v>
      </c>
      <c r="X527" s="21" t="s">
        <v>2822</v>
      </c>
    </row>
    <row r="528" spans="1:24" x14ac:dyDescent="0.2">
      <c r="A528" s="1">
        <v>524</v>
      </c>
      <c r="B528" s="1" t="s">
        <v>250</v>
      </c>
      <c r="C528" s="1" t="s">
        <v>2782</v>
      </c>
      <c r="D528" s="1" t="s">
        <v>249</v>
      </c>
      <c r="E528" s="15" t="s">
        <v>863</v>
      </c>
      <c r="F528" s="67" t="s">
        <v>925</v>
      </c>
      <c r="G528" s="24" t="s">
        <v>2803</v>
      </c>
      <c r="H528" s="15" t="s">
        <v>2788</v>
      </c>
      <c r="I528" s="16">
        <v>53</v>
      </c>
      <c r="J528" s="16" t="str">
        <f t="shared" si="26"/>
        <v>Old</v>
      </c>
      <c r="K528" s="25">
        <v>4</v>
      </c>
      <c r="L528" s="42">
        <v>3660</v>
      </c>
      <c r="M528" s="15">
        <v>1700</v>
      </c>
      <c r="N528" s="39">
        <f t="shared" si="24"/>
        <v>14640</v>
      </c>
      <c r="O528" s="39">
        <f t="shared" si="25"/>
        <v>7840</v>
      </c>
      <c r="P528" s="24" t="s">
        <v>2018</v>
      </c>
      <c r="Q528" s="15" t="s">
        <v>2828</v>
      </c>
      <c r="R528" s="1" t="s">
        <v>2013</v>
      </c>
      <c r="S528" s="15" t="s">
        <v>2082</v>
      </c>
      <c r="T528" s="15" t="s">
        <v>2442</v>
      </c>
      <c r="U528" s="25" t="s">
        <v>2089</v>
      </c>
      <c r="V528" s="25" t="s">
        <v>2437</v>
      </c>
      <c r="W528" s="80">
        <v>45180</v>
      </c>
      <c r="X528" s="21" t="s">
        <v>2820</v>
      </c>
    </row>
    <row r="529" spans="1:24" x14ac:dyDescent="0.2">
      <c r="A529" s="1">
        <v>525</v>
      </c>
      <c r="B529" s="1" t="s">
        <v>252</v>
      </c>
      <c r="C529" s="1" t="s">
        <v>2782</v>
      </c>
      <c r="D529" s="1" t="s">
        <v>251</v>
      </c>
      <c r="E529" s="15" t="s">
        <v>864</v>
      </c>
      <c r="F529" s="69" t="s">
        <v>904</v>
      </c>
      <c r="G529" s="24" t="s">
        <v>2805</v>
      </c>
      <c r="H529" s="15" t="s">
        <v>2788</v>
      </c>
      <c r="I529" s="16">
        <v>30</v>
      </c>
      <c r="J529" s="16" t="str">
        <f t="shared" si="26"/>
        <v>Young</v>
      </c>
      <c r="K529" s="25">
        <v>1</v>
      </c>
      <c r="L529" s="42">
        <v>4360</v>
      </c>
      <c r="M529" s="15">
        <v>2280</v>
      </c>
      <c r="N529" s="39">
        <f t="shared" si="24"/>
        <v>4360</v>
      </c>
      <c r="O529" s="39">
        <f t="shared" si="25"/>
        <v>2080</v>
      </c>
      <c r="P529" s="24" t="s">
        <v>2031</v>
      </c>
      <c r="Q529" s="24" t="s">
        <v>2016</v>
      </c>
      <c r="R529" s="1" t="s">
        <v>2013</v>
      </c>
      <c r="S529" s="15" t="s">
        <v>2082</v>
      </c>
      <c r="T529" s="15" t="s">
        <v>2442</v>
      </c>
      <c r="U529" s="25" t="s">
        <v>2090</v>
      </c>
      <c r="V529" s="25" t="s">
        <v>2435</v>
      </c>
      <c r="W529" s="80">
        <v>44993</v>
      </c>
      <c r="X529" s="21" t="s">
        <v>2816</v>
      </c>
    </row>
    <row r="530" spans="1:24" x14ac:dyDescent="0.2">
      <c r="A530" s="1">
        <v>523</v>
      </c>
      <c r="B530" s="1" t="s">
        <v>254</v>
      </c>
      <c r="C530" s="1" t="s">
        <v>2782</v>
      </c>
      <c r="D530" s="1" t="s">
        <v>253</v>
      </c>
      <c r="E530" s="15" t="s">
        <v>822</v>
      </c>
      <c r="F530" s="67" t="s">
        <v>925</v>
      </c>
      <c r="G530" s="24" t="s">
        <v>2807</v>
      </c>
      <c r="H530" s="15" t="s">
        <v>2788</v>
      </c>
      <c r="I530" s="16">
        <v>37</v>
      </c>
      <c r="J530" s="16" t="str">
        <f t="shared" si="26"/>
        <v>Middle Age</v>
      </c>
      <c r="K530" s="25">
        <v>5</v>
      </c>
      <c r="L530" s="42">
        <v>3000</v>
      </c>
      <c r="M530" s="15">
        <v>1900</v>
      </c>
      <c r="N530" s="39">
        <f t="shared" si="24"/>
        <v>15000</v>
      </c>
      <c r="O530" s="39">
        <f t="shared" si="25"/>
        <v>5500</v>
      </c>
      <c r="P530" s="24" t="s">
        <v>2015</v>
      </c>
      <c r="Q530" s="24" t="s">
        <v>2014</v>
      </c>
      <c r="R530" s="1" t="s">
        <v>2013</v>
      </c>
      <c r="S530" s="15" t="s">
        <v>2082</v>
      </c>
      <c r="T530" s="15" t="s">
        <v>2442</v>
      </c>
      <c r="U530" s="25" t="s">
        <v>2089</v>
      </c>
      <c r="V530" s="25" t="s">
        <v>2436</v>
      </c>
      <c r="W530" s="80">
        <v>44971</v>
      </c>
      <c r="X530" s="21" t="s">
        <v>2817</v>
      </c>
    </row>
    <row r="531" spans="1:24" x14ac:dyDescent="0.2">
      <c r="A531" s="1">
        <v>524</v>
      </c>
      <c r="B531" s="1" t="s">
        <v>255</v>
      </c>
      <c r="C531" s="1" t="s">
        <v>2782</v>
      </c>
      <c r="D531" s="1" t="s">
        <v>2013</v>
      </c>
      <c r="E531" s="15" t="s">
        <v>823</v>
      </c>
      <c r="F531" s="69" t="s">
        <v>904</v>
      </c>
      <c r="G531" s="24" t="s">
        <v>2809</v>
      </c>
      <c r="H531" s="15" t="s">
        <v>2788</v>
      </c>
      <c r="I531" s="16">
        <v>42</v>
      </c>
      <c r="J531" s="16" t="str">
        <f t="shared" si="26"/>
        <v>Middle Age</v>
      </c>
      <c r="K531" s="25">
        <v>2</v>
      </c>
      <c r="L531" s="42">
        <v>3130</v>
      </c>
      <c r="M531" s="15">
        <v>1350</v>
      </c>
      <c r="N531" s="39">
        <f t="shared" si="24"/>
        <v>6260</v>
      </c>
      <c r="O531" s="39">
        <f t="shared" si="25"/>
        <v>3560</v>
      </c>
      <c r="P531" s="24" t="s">
        <v>2060</v>
      </c>
      <c r="Q531" s="24" t="s">
        <v>2024</v>
      </c>
      <c r="R531" s="1" t="s">
        <v>2013</v>
      </c>
      <c r="S531" s="15" t="s">
        <v>2082</v>
      </c>
      <c r="T531" s="15" t="s">
        <v>2442</v>
      </c>
      <c r="U531" s="25" t="s">
        <v>2088</v>
      </c>
      <c r="V531" s="25" t="s">
        <v>2434</v>
      </c>
      <c r="W531" s="80">
        <v>45039</v>
      </c>
      <c r="X531" s="21" t="s">
        <v>2815</v>
      </c>
    </row>
    <row r="532" spans="1:24" x14ac:dyDescent="0.2">
      <c r="A532" s="1">
        <v>525</v>
      </c>
      <c r="B532" s="1" t="s">
        <v>91</v>
      </c>
      <c r="C532" s="1" t="s">
        <v>2782</v>
      </c>
      <c r="D532" s="1" t="s">
        <v>256</v>
      </c>
      <c r="E532" s="35" t="s">
        <v>822</v>
      </c>
      <c r="F532" s="66" t="s">
        <v>926</v>
      </c>
      <c r="G532" s="24" t="s">
        <v>2794</v>
      </c>
      <c r="H532" s="15" t="s">
        <v>2788</v>
      </c>
      <c r="I532" s="16">
        <v>24</v>
      </c>
      <c r="J532" s="16" t="str">
        <f t="shared" si="26"/>
        <v>Young</v>
      </c>
      <c r="K532" s="25">
        <v>3</v>
      </c>
      <c r="L532" s="42">
        <v>2590</v>
      </c>
      <c r="M532" s="15">
        <v>1500</v>
      </c>
      <c r="N532" s="39">
        <f t="shared" si="24"/>
        <v>7770</v>
      </c>
      <c r="O532" s="39">
        <f t="shared" si="25"/>
        <v>3270</v>
      </c>
      <c r="P532" s="24" t="s">
        <v>2055</v>
      </c>
      <c r="Q532" s="24" t="s">
        <v>2014</v>
      </c>
      <c r="R532" s="1" t="s">
        <v>2013</v>
      </c>
      <c r="S532" s="15" t="s">
        <v>2082</v>
      </c>
      <c r="T532" s="15" t="s">
        <v>2442</v>
      </c>
      <c r="U532" s="25" t="s">
        <v>2085</v>
      </c>
      <c r="V532" s="25" t="s">
        <v>2437</v>
      </c>
      <c r="W532" s="80">
        <v>45017</v>
      </c>
      <c r="X532" s="21" t="s">
        <v>2815</v>
      </c>
    </row>
    <row r="533" spans="1:24" x14ac:dyDescent="0.2">
      <c r="A533" s="1">
        <v>526</v>
      </c>
      <c r="B533" s="1" t="s">
        <v>127</v>
      </c>
      <c r="C533" s="1" t="s">
        <v>2782</v>
      </c>
      <c r="D533" s="1" t="s">
        <v>257</v>
      </c>
      <c r="E533" s="35" t="s">
        <v>863</v>
      </c>
      <c r="F533" s="66" t="s">
        <v>927</v>
      </c>
      <c r="G533" s="24" t="s">
        <v>2792</v>
      </c>
      <c r="H533" s="15" t="s">
        <v>2789</v>
      </c>
      <c r="I533" s="16">
        <v>57</v>
      </c>
      <c r="J533" s="16" t="str">
        <f t="shared" si="26"/>
        <v>Old</v>
      </c>
      <c r="K533" s="25">
        <v>4</v>
      </c>
      <c r="L533" s="42">
        <v>3360</v>
      </c>
      <c r="M533" s="15">
        <v>1390</v>
      </c>
      <c r="N533" s="39">
        <f t="shared" si="24"/>
        <v>13440</v>
      </c>
      <c r="O533" s="39">
        <f t="shared" si="25"/>
        <v>7880</v>
      </c>
      <c r="P533" s="24" t="s">
        <v>2044</v>
      </c>
      <c r="Q533" s="24" t="s">
        <v>2020</v>
      </c>
      <c r="R533" s="1" t="s">
        <v>2013</v>
      </c>
      <c r="S533" s="15" t="s">
        <v>2082</v>
      </c>
      <c r="T533" s="15" t="s">
        <v>2442</v>
      </c>
      <c r="U533" s="25" t="s">
        <v>2086</v>
      </c>
      <c r="V533" s="25" t="s">
        <v>2435</v>
      </c>
      <c r="W533" s="80">
        <v>44966</v>
      </c>
      <c r="X533" s="21" t="s">
        <v>2817</v>
      </c>
    </row>
    <row r="534" spans="1:24" x14ac:dyDescent="0.2">
      <c r="A534" s="1">
        <v>527</v>
      </c>
      <c r="B534" s="1" t="s">
        <v>13</v>
      </c>
      <c r="C534" s="1" t="s">
        <v>2781</v>
      </c>
      <c r="D534" s="1" t="s">
        <v>869</v>
      </c>
      <c r="E534" s="15" t="s">
        <v>863</v>
      </c>
      <c r="F534" s="66" t="s">
        <v>877</v>
      </c>
      <c r="G534" s="24" t="s">
        <v>2796</v>
      </c>
      <c r="H534" s="15" t="s">
        <v>2789</v>
      </c>
      <c r="I534" s="16">
        <v>35</v>
      </c>
      <c r="J534" s="16" t="str">
        <f t="shared" si="26"/>
        <v>Young</v>
      </c>
      <c r="K534" s="25">
        <v>5</v>
      </c>
      <c r="L534" s="42">
        <v>990</v>
      </c>
      <c r="M534" s="15">
        <v>500</v>
      </c>
      <c r="N534" s="39">
        <f t="shared" si="24"/>
        <v>4950</v>
      </c>
      <c r="O534" s="39">
        <f t="shared" si="25"/>
        <v>2450</v>
      </c>
      <c r="P534" s="24" t="s">
        <v>2055</v>
      </c>
      <c r="Q534" s="24" t="s">
        <v>2014</v>
      </c>
      <c r="R534" s="1" t="s">
        <v>2013</v>
      </c>
      <c r="S534" s="15" t="s">
        <v>2082</v>
      </c>
      <c r="T534" s="15" t="s">
        <v>2442</v>
      </c>
      <c r="U534" s="25" t="s">
        <v>2086</v>
      </c>
      <c r="V534" s="25" t="s">
        <v>2434</v>
      </c>
      <c r="W534" s="80">
        <v>44983</v>
      </c>
      <c r="X534" s="21" t="s">
        <v>2817</v>
      </c>
    </row>
    <row r="535" spans="1:24" x14ac:dyDescent="0.2">
      <c r="A535" s="12">
        <v>528</v>
      </c>
      <c r="B535" s="1" t="s">
        <v>79</v>
      </c>
      <c r="C535" s="1" t="s">
        <v>2782</v>
      </c>
      <c r="D535" s="1" t="s">
        <v>259</v>
      </c>
      <c r="E535" s="15" t="s">
        <v>864</v>
      </c>
      <c r="F535" s="66" t="s">
        <v>878</v>
      </c>
      <c r="G535" s="24" t="s">
        <v>2798</v>
      </c>
      <c r="H535" s="15" t="s">
        <v>2789</v>
      </c>
      <c r="I535" s="16">
        <v>40</v>
      </c>
      <c r="J535" s="16" t="str">
        <f t="shared" si="26"/>
        <v>Middle Age</v>
      </c>
      <c r="K535" s="25">
        <v>2</v>
      </c>
      <c r="L535" s="42">
        <v>3820</v>
      </c>
      <c r="M535" s="15">
        <v>1480</v>
      </c>
      <c r="N535" s="39">
        <f t="shared" si="24"/>
        <v>7640</v>
      </c>
      <c r="O535" s="39">
        <f t="shared" si="25"/>
        <v>4680</v>
      </c>
      <c r="P535" s="24" t="s">
        <v>2047</v>
      </c>
      <c r="Q535" s="24" t="s">
        <v>2024</v>
      </c>
      <c r="R535" s="1" t="s">
        <v>2013</v>
      </c>
      <c r="S535" s="15" t="s">
        <v>2082</v>
      </c>
      <c r="T535" s="15" t="s">
        <v>2442</v>
      </c>
      <c r="U535" s="25" t="s">
        <v>2090</v>
      </c>
      <c r="V535" s="25" t="s">
        <v>2436</v>
      </c>
      <c r="W535" s="80">
        <v>45128</v>
      </c>
      <c r="X535" s="21" t="s">
        <v>2813</v>
      </c>
    </row>
    <row r="536" spans="1:24" x14ac:dyDescent="0.2">
      <c r="A536" s="1">
        <v>529</v>
      </c>
      <c r="B536" s="1" t="s">
        <v>52</v>
      </c>
      <c r="C536" s="1" t="s">
        <v>2782</v>
      </c>
      <c r="D536" s="1" t="s">
        <v>235</v>
      </c>
      <c r="E536" s="15" t="s">
        <v>822</v>
      </c>
      <c r="F536" s="66" t="s">
        <v>879</v>
      </c>
      <c r="G536" s="24" t="s">
        <v>2800</v>
      </c>
      <c r="H536" s="15" t="s">
        <v>2788</v>
      </c>
      <c r="I536" s="16">
        <v>21</v>
      </c>
      <c r="J536" s="16" t="str">
        <f t="shared" si="26"/>
        <v>Young</v>
      </c>
      <c r="K536" s="25">
        <v>3</v>
      </c>
      <c r="L536" s="42">
        <v>9790</v>
      </c>
      <c r="M536" s="15">
        <v>5490</v>
      </c>
      <c r="N536" s="39">
        <f t="shared" si="24"/>
        <v>29370</v>
      </c>
      <c r="O536" s="39">
        <f t="shared" si="25"/>
        <v>12900</v>
      </c>
      <c r="P536" s="24" t="s">
        <v>2029</v>
      </c>
      <c r="Q536" s="24" t="s">
        <v>2016</v>
      </c>
      <c r="R536" s="1" t="s">
        <v>2013</v>
      </c>
      <c r="S536" s="15" t="s">
        <v>2082</v>
      </c>
      <c r="T536" s="15" t="s">
        <v>2442</v>
      </c>
      <c r="U536" s="25" t="s">
        <v>2088</v>
      </c>
      <c r="V536" s="25" t="s">
        <v>2437</v>
      </c>
      <c r="W536" s="80">
        <v>45232</v>
      </c>
      <c r="X536" s="21" t="s">
        <v>2823</v>
      </c>
    </row>
    <row r="537" spans="1:24" x14ac:dyDescent="0.2">
      <c r="A537" s="1">
        <v>530</v>
      </c>
      <c r="B537" s="1" t="s">
        <v>260</v>
      </c>
      <c r="C537" s="1" t="s">
        <v>2782</v>
      </c>
      <c r="D537" s="1" t="s">
        <v>2586</v>
      </c>
      <c r="E537" s="15" t="s">
        <v>823</v>
      </c>
      <c r="F537" s="66" t="s">
        <v>880</v>
      </c>
      <c r="G537" s="24" t="s">
        <v>2802</v>
      </c>
      <c r="H537" s="15" t="s">
        <v>2789</v>
      </c>
      <c r="I537" s="16">
        <v>59</v>
      </c>
      <c r="J537" s="16" t="str">
        <f t="shared" si="26"/>
        <v>Old</v>
      </c>
      <c r="K537" s="25">
        <v>4</v>
      </c>
      <c r="L537" s="42">
        <v>7125</v>
      </c>
      <c r="M537" s="15">
        <v>2450</v>
      </c>
      <c r="N537" s="39">
        <f t="shared" si="24"/>
        <v>28500</v>
      </c>
      <c r="O537" s="39">
        <f t="shared" si="25"/>
        <v>18700</v>
      </c>
      <c r="P537" s="24" t="s">
        <v>2062</v>
      </c>
      <c r="Q537" s="15" t="s">
        <v>2828</v>
      </c>
      <c r="R537" s="1" t="s">
        <v>2013</v>
      </c>
      <c r="S537" s="15" t="s">
        <v>2082</v>
      </c>
      <c r="T537" s="15" t="s">
        <v>2442</v>
      </c>
      <c r="U537" s="25" t="s">
        <v>2090</v>
      </c>
      <c r="V537" s="25" t="s">
        <v>2435</v>
      </c>
      <c r="W537" s="80">
        <v>45154</v>
      </c>
      <c r="X537" s="21" t="s">
        <v>2819</v>
      </c>
    </row>
    <row r="538" spans="1:24" x14ac:dyDescent="0.2">
      <c r="A538" s="1">
        <v>531</v>
      </c>
      <c r="B538" s="1" t="s">
        <v>262</v>
      </c>
      <c r="C538" s="1" t="s">
        <v>2782</v>
      </c>
      <c r="D538" s="1" t="s">
        <v>261</v>
      </c>
      <c r="E538" s="15" t="s">
        <v>828</v>
      </c>
      <c r="F538" s="66" t="s">
        <v>878</v>
      </c>
      <c r="G538" s="24" t="s">
        <v>2804</v>
      </c>
      <c r="H538" s="15" t="s">
        <v>2789</v>
      </c>
      <c r="I538" s="16">
        <v>34</v>
      </c>
      <c r="J538" s="16" t="str">
        <f t="shared" si="26"/>
        <v>Young</v>
      </c>
      <c r="K538" s="25">
        <v>3</v>
      </c>
      <c r="L538" s="42">
        <v>4150</v>
      </c>
      <c r="M538" s="15">
        <v>2100</v>
      </c>
      <c r="N538" s="39">
        <f t="shared" si="24"/>
        <v>12450</v>
      </c>
      <c r="O538" s="39">
        <f t="shared" si="25"/>
        <v>6150</v>
      </c>
      <c r="P538" s="24" t="s">
        <v>2049</v>
      </c>
      <c r="Q538" s="24" t="s">
        <v>2016</v>
      </c>
      <c r="R538" s="1" t="s">
        <v>2013</v>
      </c>
      <c r="S538" s="15" t="s">
        <v>2082</v>
      </c>
      <c r="T538" s="15" t="s">
        <v>2442</v>
      </c>
      <c r="U538" s="25" t="s">
        <v>2084</v>
      </c>
      <c r="V538" s="25" t="s">
        <v>2436</v>
      </c>
      <c r="W538" s="80">
        <v>45225</v>
      </c>
      <c r="X538" s="21" t="s">
        <v>2821</v>
      </c>
    </row>
    <row r="539" spans="1:24" x14ac:dyDescent="0.2">
      <c r="A539" s="1">
        <v>532</v>
      </c>
      <c r="B539" s="1" t="s">
        <v>53</v>
      </c>
      <c r="C539" s="1" t="s">
        <v>2782</v>
      </c>
      <c r="D539" s="1" t="s">
        <v>2587</v>
      </c>
      <c r="E539" s="15" t="s">
        <v>822</v>
      </c>
      <c r="F539" s="66" t="s">
        <v>879</v>
      </c>
      <c r="G539" s="24" t="s">
        <v>2806</v>
      </c>
      <c r="H539" s="15" t="s">
        <v>2788</v>
      </c>
      <c r="I539" s="16">
        <v>27</v>
      </c>
      <c r="J539" s="16" t="str">
        <f t="shared" si="26"/>
        <v>Young</v>
      </c>
      <c r="K539" s="25">
        <v>1</v>
      </c>
      <c r="L539" s="42">
        <v>3355</v>
      </c>
      <c r="M539" s="15">
        <v>1650</v>
      </c>
      <c r="N539" s="39">
        <f t="shared" si="24"/>
        <v>3355</v>
      </c>
      <c r="O539" s="39">
        <f t="shared" si="25"/>
        <v>1705</v>
      </c>
      <c r="P539" s="24" t="s">
        <v>2062</v>
      </c>
      <c r="Q539" s="15" t="s">
        <v>2828</v>
      </c>
      <c r="R539" s="1" t="s">
        <v>2013</v>
      </c>
      <c r="S539" s="15" t="s">
        <v>2082</v>
      </c>
      <c r="T539" s="15" t="s">
        <v>2442</v>
      </c>
      <c r="U539" s="25" t="s">
        <v>2085</v>
      </c>
      <c r="V539" s="25" t="s">
        <v>2434</v>
      </c>
      <c r="W539" s="80">
        <v>44986</v>
      </c>
      <c r="X539" s="21" t="s">
        <v>2816</v>
      </c>
    </row>
    <row r="540" spans="1:24" x14ac:dyDescent="0.2">
      <c r="A540" s="1">
        <v>533</v>
      </c>
      <c r="B540" s="1" t="s">
        <v>263</v>
      </c>
      <c r="C540" s="1" t="s">
        <v>2782</v>
      </c>
      <c r="D540" s="1" t="s">
        <v>2588</v>
      </c>
      <c r="E540" s="15" t="s">
        <v>864</v>
      </c>
      <c r="F540" s="66" t="s">
        <v>959</v>
      </c>
      <c r="G540" s="24" t="s">
        <v>2808</v>
      </c>
      <c r="H540" s="15" t="s">
        <v>2789</v>
      </c>
      <c r="I540" s="16">
        <v>45</v>
      </c>
      <c r="J540" s="16" t="str">
        <f t="shared" si="26"/>
        <v>Middle Age</v>
      </c>
      <c r="K540" s="25">
        <v>4</v>
      </c>
      <c r="L540" s="42">
        <v>4800</v>
      </c>
      <c r="M540" s="15">
        <f>3300+300</f>
        <v>3600</v>
      </c>
      <c r="N540" s="39">
        <f t="shared" si="24"/>
        <v>19200</v>
      </c>
      <c r="O540" s="39">
        <f t="shared" si="25"/>
        <v>4800</v>
      </c>
      <c r="P540" s="24" t="s">
        <v>2018</v>
      </c>
      <c r="Q540" s="15" t="s">
        <v>2828</v>
      </c>
      <c r="R540" s="1" t="s">
        <v>2013</v>
      </c>
      <c r="S540" s="15" t="s">
        <v>2082</v>
      </c>
      <c r="T540" s="15" t="s">
        <v>2442</v>
      </c>
      <c r="U540" s="25" t="s">
        <v>2088</v>
      </c>
      <c r="V540" s="25" t="s">
        <v>2437</v>
      </c>
      <c r="W540" s="80">
        <v>44958</v>
      </c>
      <c r="X540" s="21" t="s">
        <v>2817</v>
      </c>
    </row>
    <row r="541" spans="1:24" x14ac:dyDescent="0.2">
      <c r="A541" s="1">
        <v>534</v>
      </c>
      <c r="B541" s="1" t="s">
        <v>12</v>
      </c>
      <c r="C541" s="1" t="s">
        <v>2781</v>
      </c>
      <c r="D541" s="1" t="s">
        <v>4</v>
      </c>
      <c r="E541" s="15" t="s">
        <v>823</v>
      </c>
      <c r="F541" s="66" t="s">
        <v>870</v>
      </c>
      <c r="G541" s="24" t="s">
        <v>2810</v>
      </c>
      <c r="H541" s="15" t="s">
        <v>2788</v>
      </c>
      <c r="I541" s="16">
        <v>52</v>
      </c>
      <c r="J541" s="16" t="str">
        <f t="shared" si="26"/>
        <v>Old</v>
      </c>
      <c r="K541" s="25">
        <v>5</v>
      </c>
      <c r="L541" s="42">
        <v>1090</v>
      </c>
      <c r="M541" s="15">
        <v>700</v>
      </c>
      <c r="N541" s="39">
        <f t="shared" si="24"/>
        <v>5450</v>
      </c>
      <c r="O541" s="39">
        <f t="shared" si="25"/>
        <v>1950</v>
      </c>
      <c r="P541" s="24" t="s">
        <v>2027</v>
      </c>
      <c r="Q541" s="24" t="s">
        <v>2014</v>
      </c>
      <c r="R541" s="1" t="s">
        <v>2013</v>
      </c>
      <c r="S541" s="15" t="s">
        <v>2082</v>
      </c>
      <c r="T541" s="15" t="s">
        <v>2442</v>
      </c>
      <c r="U541" s="25" t="s">
        <v>2085</v>
      </c>
      <c r="V541" s="25" t="s">
        <v>2435</v>
      </c>
      <c r="W541" s="80">
        <v>44999</v>
      </c>
      <c r="X541" s="21" t="s">
        <v>2816</v>
      </c>
    </row>
    <row r="542" spans="1:24" x14ac:dyDescent="0.2">
      <c r="A542" s="1">
        <v>535</v>
      </c>
      <c r="B542" s="1" t="s">
        <v>264</v>
      </c>
      <c r="C542" s="1" t="s">
        <v>2782</v>
      </c>
      <c r="D542" s="1" t="s">
        <v>251</v>
      </c>
      <c r="E542" s="15" t="s">
        <v>823</v>
      </c>
      <c r="F542" s="66" t="s">
        <v>871</v>
      </c>
      <c r="G542" s="24" t="s">
        <v>2793</v>
      </c>
      <c r="H542" s="15" t="s">
        <v>2788</v>
      </c>
      <c r="I542" s="16">
        <v>23</v>
      </c>
      <c r="J542" s="16" t="str">
        <f t="shared" si="26"/>
        <v>Young</v>
      </c>
      <c r="K542" s="25">
        <v>3</v>
      </c>
      <c r="L542" s="42">
        <v>5000</v>
      </c>
      <c r="M542" s="15">
        <v>2900</v>
      </c>
      <c r="N542" s="39">
        <f t="shared" si="24"/>
        <v>15000</v>
      </c>
      <c r="O542" s="39">
        <f t="shared" si="25"/>
        <v>6300</v>
      </c>
      <c r="P542" s="24" t="s">
        <v>2015</v>
      </c>
      <c r="Q542" s="24" t="s">
        <v>2014</v>
      </c>
      <c r="R542" s="1" t="s">
        <v>2013</v>
      </c>
      <c r="S542" s="15" t="s">
        <v>2082</v>
      </c>
      <c r="T542" s="15" t="s">
        <v>2442</v>
      </c>
      <c r="U542" s="25" t="s">
        <v>2089</v>
      </c>
      <c r="V542" s="25" t="s">
        <v>2434</v>
      </c>
      <c r="W542" s="80">
        <v>45060</v>
      </c>
      <c r="X542" s="21" t="s">
        <v>2786</v>
      </c>
    </row>
    <row r="543" spans="1:24" x14ac:dyDescent="0.2">
      <c r="A543" s="1">
        <v>534</v>
      </c>
      <c r="B543" s="1" t="s">
        <v>266</v>
      </c>
      <c r="C543" s="1" t="s">
        <v>2782</v>
      </c>
      <c r="D543" s="1" t="s">
        <v>265</v>
      </c>
      <c r="E543" s="15" t="s">
        <v>828</v>
      </c>
      <c r="F543" s="66" t="s">
        <v>872</v>
      </c>
      <c r="G543" s="24" t="s">
        <v>2791</v>
      </c>
      <c r="H543" s="15" t="s">
        <v>2789</v>
      </c>
      <c r="I543" s="16">
        <v>38</v>
      </c>
      <c r="J543" s="16" t="str">
        <f t="shared" si="26"/>
        <v>Middle Age</v>
      </c>
      <c r="K543" s="25">
        <v>2</v>
      </c>
      <c r="L543" s="42">
        <v>2700</v>
      </c>
      <c r="M543" s="15">
        <v>1500</v>
      </c>
      <c r="N543" s="39">
        <f t="shared" si="24"/>
        <v>5400</v>
      </c>
      <c r="O543" s="39">
        <f t="shared" si="25"/>
        <v>2400</v>
      </c>
      <c r="P543" s="24" t="s">
        <v>2015</v>
      </c>
      <c r="Q543" s="24" t="s">
        <v>2014</v>
      </c>
      <c r="R543" s="1" t="s">
        <v>2013</v>
      </c>
      <c r="S543" s="15" t="s">
        <v>2082</v>
      </c>
      <c r="T543" s="15" t="s">
        <v>2442</v>
      </c>
      <c r="U543" s="25" t="s">
        <v>2086</v>
      </c>
      <c r="V543" s="25" t="s">
        <v>2436</v>
      </c>
      <c r="W543" s="80">
        <v>45029</v>
      </c>
      <c r="X543" s="21" t="s">
        <v>2815</v>
      </c>
    </row>
    <row r="544" spans="1:24" x14ac:dyDescent="0.2">
      <c r="A544" s="1">
        <v>535</v>
      </c>
      <c r="B544" s="1" t="s">
        <v>268</v>
      </c>
      <c r="C544" s="1" t="s">
        <v>2782</v>
      </c>
      <c r="D544" s="1" t="s">
        <v>267</v>
      </c>
      <c r="E544" s="15" t="s">
        <v>822</v>
      </c>
      <c r="F544" s="66" t="s">
        <v>873</v>
      </c>
      <c r="G544" s="24" t="s">
        <v>2795</v>
      </c>
      <c r="H544" s="15" t="s">
        <v>2788</v>
      </c>
      <c r="I544" s="16">
        <v>41</v>
      </c>
      <c r="J544" s="16" t="str">
        <f t="shared" si="26"/>
        <v>Middle Age</v>
      </c>
      <c r="K544" s="25">
        <v>4</v>
      </c>
      <c r="L544" s="42">
        <v>5190</v>
      </c>
      <c r="M544" s="15">
        <v>2750</v>
      </c>
      <c r="N544" s="39">
        <f t="shared" si="24"/>
        <v>20760</v>
      </c>
      <c r="O544" s="39">
        <f t="shared" si="25"/>
        <v>9760</v>
      </c>
      <c r="P544" s="24" t="s">
        <v>2059</v>
      </c>
      <c r="Q544" s="24" t="s">
        <v>2016</v>
      </c>
      <c r="R544" s="1" t="s">
        <v>2013</v>
      </c>
      <c r="S544" s="15" t="s">
        <v>2082</v>
      </c>
      <c r="T544" s="15" t="s">
        <v>2442</v>
      </c>
      <c r="U544" s="25" t="s">
        <v>2086</v>
      </c>
      <c r="V544" s="25" t="s">
        <v>2437</v>
      </c>
      <c r="W544" s="80">
        <v>45153</v>
      </c>
      <c r="X544" s="21" t="s">
        <v>2819</v>
      </c>
    </row>
    <row r="545" spans="1:24" x14ac:dyDescent="0.2">
      <c r="A545" s="1">
        <v>536</v>
      </c>
      <c r="B545" s="1" t="s">
        <v>270</v>
      </c>
      <c r="C545" s="1" t="s">
        <v>2782</v>
      </c>
      <c r="D545" s="1" t="s">
        <v>269</v>
      </c>
      <c r="E545" s="15" t="s">
        <v>822</v>
      </c>
      <c r="F545" s="66" t="s">
        <v>874</v>
      </c>
      <c r="G545" s="24" t="s">
        <v>2797</v>
      </c>
      <c r="H545" s="15" t="s">
        <v>2788</v>
      </c>
      <c r="I545" s="16">
        <v>29</v>
      </c>
      <c r="J545" s="16" t="str">
        <f t="shared" si="26"/>
        <v>Young</v>
      </c>
      <c r="K545" s="25">
        <v>1</v>
      </c>
      <c r="L545" s="42">
        <v>2500</v>
      </c>
      <c r="M545" s="15">
        <v>1500</v>
      </c>
      <c r="N545" s="39">
        <f t="shared" si="24"/>
        <v>2500</v>
      </c>
      <c r="O545" s="39">
        <f t="shared" si="25"/>
        <v>1000</v>
      </c>
      <c r="P545" s="24" t="s">
        <v>2034</v>
      </c>
      <c r="Q545" s="24" t="s">
        <v>2016</v>
      </c>
      <c r="R545" s="1" t="s">
        <v>2013</v>
      </c>
      <c r="S545" s="15" t="s">
        <v>2082</v>
      </c>
      <c r="T545" s="15" t="s">
        <v>2442</v>
      </c>
      <c r="U545" s="25" t="s">
        <v>2089</v>
      </c>
      <c r="V545" s="25" t="s">
        <v>2435</v>
      </c>
      <c r="W545" s="80">
        <v>45020</v>
      </c>
      <c r="X545" s="21" t="s">
        <v>2815</v>
      </c>
    </row>
    <row r="546" spans="1:24" x14ac:dyDescent="0.2">
      <c r="A546" s="1">
        <v>537</v>
      </c>
      <c r="B546" s="1" t="s">
        <v>272</v>
      </c>
      <c r="C546" s="1" t="s">
        <v>2782</v>
      </c>
      <c r="D546" s="1" t="s">
        <v>271</v>
      </c>
      <c r="E546" s="15" t="s">
        <v>863</v>
      </c>
      <c r="F546" s="67" t="s">
        <v>875</v>
      </c>
      <c r="G546" s="24" t="s">
        <v>2799</v>
      </c>
      <c r="H546" s="15" t="s">
        <v>2788</v>
      </c>
      <c r="I546" s="16">
        <v>60</v>
      </c>
      <c r="J546" s="16" t="str">
        <f t="shared" si="26"/>
        <v>Old</v>
      </c>
      <c r="K546" s="25">
        <v>5</v>
      </c>
      <c r="L546" s="42">
        <v>2970</v>
      </c>
      <c r="M546" s="15">
        <v>1600</v>
      </c>
      <c r="N546" s="39">
        <f t="shared" si="24"/>
        <v>14850</v>
      </c>
      <c r="O546" s="39">
        <f t="shared" si="25"/>
        <v>6850</v>
      </c>
      <c r="P546" s="24" t="s">
        <v>2036</v>
      </c>
      <c r="Q546" s="24" t="s">
        <v>2014</v>
      </c>
      <c r="R546" s="1" t="s">
        <v>2013</v>
      </c>
      <c r="S546" s="15" t="s">
        <v>2082</v>
      </c>
      <c r="T546" s="15" t="s">
        <v>2442</v>
      </c>
      <c r="U546" s="25" t="s">
        <v>2087</v>
      </c>
      <c r="V546" s="25" t="s">
        <v>2436</v>
      </c>
      <c r="W546" s="80">
        <v>44989</v>
      </c>
      <c r="X546" s="21" t="s">
        <v>2816</v>
      </c>
    </row>
    <row r="547" spans="1:24" x14ac:dyDescent="0.2">
      <c r="A547" s="1">
        <v>538</v>
      </c>
      <c r="B547" s="1" t="s">
        <v>270</v>
      </c>
      <c r="C547" s="1" t="s">
        <v>2782</v>
      </c>
      <c r="D547" s="1" t="s">
        <v>269</v>
      </c>
      <c r="E547" s="35" t="s">
        <v>864</v>
      </c>
      <c r="F547" s="66" t="s">
        <v>876</v>
      </c>
      <c r="G547" s="24" t="s">
        <v>2801</v>
      </c>
      <c r="H547" s="15" t="s">
        <v>2788</v>
      </c>
      <c r="I547" s="16">
        <v>33</v>
      </c>
      <c r="J547" s="16" t="str">
        <f t="shared" si="26"/>
        <v>Young</v>
      </c>
      <c r="K547" s="25">
        <v>2</v>
      </c>
      <c r="L547" s="42">
        <v>2500</v>
      </c>
      <c r="M547" s="15">
        <v>1500</v>
      </c>
      <c r="N547" s="39">
        <f t="shared" si="24"/>
        <v>5000</v>
      </c>
      <c r="O547" s="39">
        <f t="shared" si="25"/>
        <v>2000</v>
      </c>
      <c r="P547" s="24" t="s">
        <v>2060</v>
      </c>
      <c r="Q547" s="24" t="s">
        <v>2024</v>
      </c>
      <c r="R547" s="1" t="s">
        <v>2013</v>
      </c>
      <c r="S547" s="15" t="s">
        <v>2082</v>
      </c>
      <c r="T547" s="15" t="s">
        <v>2442</v>
      </c>
      <c r="U547" s="25" t="s">
        <v>2088</v>
      </c>
      <c r="V547" s="25" t="s">
        <v>2434</v>
      </c>
      <c r="W547" s="80">
        <v>45248</v>
      </c>
      <c r="X547" s="21" t="s">
        <v>2823</v>
      </c>
    </row>
    <row r="548" spans="1:24" x14ac:dyDescent="0.2">
      <c r="A548" s="1">
        <v>539</v>
      </c>
      <c r="B548" s="1" t="s">
        <v>285</v>
      </c>
      <c r="C548" s="1" t="s">
        <v>2782</v>
      </c>
      <c r="D548" s="1" t="s">
        <v>2589</v>
      </c>
      <c r="E548" s="35" t="s">
        <v>823</v>
      </c>
      <c r="F548" s="66" t="s">
        <v>877</v>
      </c>
      <c r="G548" s="24" t="s">
        <v>2803</v>
      </c>
      <c r="H548" s="15" t="s">
        <v>2789</v>
      </c>
      <c r="I548" s="16">
        <v>22</v>
      </c>
      <c r="J548" s="16" t="str">
        <f t="shared" si="26"/>
        <v>Young</v>
      </c>
      <c r="K548" s="25">
        <v>3</v>
      </c>
      <c r="L548" s="49">
        <v>3020</v>
      </c>
      <c r="M548" s="37">
        <v>1850</v>
      </c>
      <c r="N548" s="39">
        <f t="shared" si="24"/>
        <v>9060</v>
      </c>
      <c r="O548" s="39">
        <f t="shared" si="25"/>
        <v>3510</v>
      </c>
      <c r="P548" s="24" t="s">
        <v>2031</v>
      </c>
      <c r="Q548" s="24" t="s">
        <v>2016</v>
      </c>
      <c r="R548" s="1" t="s">
        <v>2013</v>
      </c>
      <c r="S548" s="15" t="s">
        <v>2082</v>
      </c>
      <c r="T548" s="15" t="s">
        <v>2442</v>
      </c>
      <c r="U548" s="25" t="s">
        <v>2083</v>
      </c>
      <c r="V548" s="25" t="s">
        <v>2437</v>
      </c>
      <c r="W548" s="80">
        <v>45002</v>
      </c>
      <c r="X548" s="21" t="s">
        <v>2816</v>
      </c>
    </row>
    <row r="549" spans="1:24" x14ac:dyDescent="0.2">
      <c r="A549" s="1">
        <v>540</v>
      </c>
      <c r="B549" s="1" t="s">
        <v>848</v>
      </c>
      <c r="C549" s="1" t="s">
        <v>2782</v>
      </c>
      <c r="D549" s="1" t="s">
        <v>273</v>
      </c>
      <c r="E549" s="35" t="s">
        <v>823</v>
      </c>
      <c r="F549" s="66" t="s">
        <v>878</v>
      </c>
      <c r="G549" s="24" t="s">
        <v>2805</v>
      </c>
      <c r="H549" s="15" t="s">
        <v>2789</v>
      </c>
      <c r="I549" s="16">
        <v>47</v>
      </c>
      <c r="J549" s="16" t="str">
        <f t="shared" si="26"/>
        <v>Middle Age</v>
      </c>
      <c r="K549" s="25">
        <v>4</v>
      </c>
      <c r="L549" s="49">
        <v>2360</v>
      </c>
      <c r="M549" s="37">
        <v>1100</v>
      </c>
      <c r="N549" s="39">
        <f t="shared" si="24"/>
        <v>9440</v>
      </c>
      <c r="O549" s="39">
        <f t="shared" si="25"/>
        <v>5040</v>
      </c>
      <c r="P549" s="24" t="s">
        <v>2055</v>
      </c>
      <c r="Q549" s="24" t="s">
        <v>2014</v>
      </c>
      <c r="R549" s="1" t="s">
        <v>2013</v>
      </c>
      <c r="S549" s="15" t="s">
        <v>2082</v>
      </c>
      <c r="T549" s="15" t="s">
        <v>2442</v>
      </c>
      <c r="U549" s="25" t="s">
        <v>2089</v>
      </c>
      <c r="V549" s="25" t="s">
        <v>2435</v>
      </c>
      <c r="W549" s="80">
        <v>45154</v>
      </c>
      <c r="X549" s="21" t="s">
        <v>2819</v>
      </c>
    </row>
    <row r="550" spans="1:24" x14ac:dyDescent="0.2">
      <c r="A550" s="1">
        <v>541</v>
      </c>
      <c r="B550" s="1" t="s">
        <v>264</v>
      </c>
      <c r="C550" s="1" t="s">
        <v>2782</v>
      </c>
      <c r="D550" s="1" t="s">
        <v>274</v>
      </c>
      <c r="E550" s="35" t="s">
        <v>863</v>
      </c>
      <c r="F550" s="66" t="s">
        <v>879</v>
      </c>
      <c r="G550" s="24" t="s">
        <v>2807</v>
      </c>
      <c r="H550" s="15" t="s">
        <v>2788</v>
      </c>
      <c r="I550" s="16">
        <v>55</v>
      </c>
      <c r="J550" s="16" t="str">
        <f t="shared" si="26"/>
        <v>Old</v>
      </c>
      <c r="K550" s="25">
        <v>1</v>
      </c>
      <c r="L550" s="42">
        <v>5000</v>
      </c>
      <c r="M550" s="15">
        <v>2900</v>
      </c>
      <c r="N550" s="39">
        <f t="shared" si="24"/>
        <v>5000</v>
      </c>
      <c r="O550" s="39">
        <f t="shared" si="25"/>
        <v>2100</v>
      </c>
      <c r="P550" s="24" t="s">
        <v>2017</v>
      </c>
      <c r="Q550" s="24" t="s">
        <v>2016</v>
      </c>
      <c r="R550" s="1" t="s">
        <v>2013</v>
      </c>
      <c r="S550" s="15" t="s">
        <v>2082</v>
      </c>
      <c r="T550" s="15" t="s">
        <v>2442</v>
      </c>
      <c r="U550" s="25" t="s">
        <v>2083</v>
      </c>
      <c r="V550" s="25" t="s">
        <v>2434</v>
      </c>
      <c r="W550" s="80">
        <v>45036</v>
      </c>
      <c r="X550" s="21" t="s">
        <v>2815</v>
      </c>
    </row>
    <row r="551" spans="1:24" x14ac:dyDescent="0.2">
      <c r="A551" s="1">
        <v>542</v>
      </c>
      <c r="B551" s="1" t="s">
        <v>276</v>
      </c>
      <c r="C551" s="1" t="s">
        <v>2782</v>
      </c>
      <c r="D551" s="1" t="s">
        <v>275</v>
      </c>
      <c r="E551" s="35" t="s">
        <v>822</v>
      </c>
      <c r="F551" s="66" t="s">
        <v>880</v>
      </c>
      <c r="G551" s="24" t="s">
        <v>2809</v>
      </c>
      <c r="H551" s="15" t="s">
        <v>2789</v>
      </c>
      <c r="I551" s="16">
        <v>36</v>
      </c>
      <c r="J551" s="16" t="str">
        <f t="shared" si="26"/>
        <v>Middle Age</v>
      </c>
      <c r="K551" s="25">
        <v>5</v>
      </c>
      <c r="L551" s="42">
        <v>4750</v>
      </c>
      <c r="M551" s="15">
        <v>2850</v>
      </c>
      <c r="N551" s="39">
        <f t="shared" si="24"/>
        <v>23750</v>
      </c>
      <c r="O551" s="39">
        <f t="shared" si="25"/>
        <v>9500</v>
      </c>
      <c r="P551" s="24" t="s">
        <v>2039</v>
      </c>
      <c r="Q551" s="24" t="s">
        <v>2014</v>
      </c>
      <c r="R551" s="1" t="s">
        <v>2013</v>
      </c>
      <c r="S551" s="15" t="s">
        <v>2082</v>
      </c>
      <c r="T551" s="15" t="s">
        <v>2442</v>
      </c>
      <c r="U551" s="25" t="s">
        <v>2085</v>
      </c>
      <c r="V551" s="25" t="s">
        <v>2436</v>
      </c>
      <c r="W551" s="80">
        <v>45009</v>
      </c>
      <c r="X551" s="21" t="s">
        <v>2816</v>
      </c>
    </row>
    <row r="552" spans="1:24" x14ac:dyDescent="0.2">
      <c r="A552" s="1">
        <v>543</v>
      </c>
      <c r="B552" s="1" t="s">
        <v>85</v>
      </c>
      <c r="C552" s="1" t="s">
        <v>2782</v>
      </c>
      <c r="D552" s="1" t="s">
        <v>277</v>
      </c>
      <c r="E552" s="35" t="s">
        <v>817</v>
      </c>
      <c r="F552" s="66" t="s">
        <v>881</v>
      </c>
      <c r="G552" s="24" t="s">
        <v>2794</v>
      </c>
      <c r="H552" s="15" t="s">
        <v>2789</v>
      </c>
      <c r="I552" s="16">
        <v>28</v>
      </c>
      <c r="J552" s="16" t="str">
        <f t="shared" si="26"/>
        <v>Young</v>
      </c>
      <c r="K552" s="25">
        <v>3</v>
      </c>
      <c r="L552" s="42">
        <v>2140</v>
      </c>
      <c r="M552" s="15">
        <f>1050+75</f>
        <v>1125</v>
      </c>
      <c r="N552" s="39">
        <f t="shared" si="24"/>
        <v>6420</v>
      </c>
      <c r="O552" s="39">
        <f t="shared" si="25"/>
        <v>3045</v>
      </c>
      <c r="P552" s="24" t="s">
        <v>2031</v>
      </c>
      <c r="Q552" s="24" t="s">
        <v>2016</v>
      </c>
      <c r="R552" s="1" t="s">
        <v>2013</v>
      </c>
      <c r="S552" s="15" t="s">
        <v>2082</v>
      </c>
      <c r="T552" s="15" t="s">
        <v>2442</v>
      </c>
      <c r="U552" s="25" t="s">
        <v>2090</v>
      </c>
      <c r="V552" s="25" t="s">
        <v>2437</v>
      </c>
      <c r="W552" s="80">
        <v>45002</v>
      </c>
      <c r="X552" s="21" t="s">
        <v>2816</v>
      </c>
    </row>
    <row r="553" spans="1:24" x14ac:dyDescent="0.2">
      <c r="A553" s="1">
        <v>544</v>
      </c>
      <c r="B553" s="1" t="s">
        <v>279</v>
      </c>
      <c r="C553" s="1" t="s">
        <v>2782</v>
      </c>
      <c r="D553" s="1" t="s">
        <v>278</v>
      </c>
      <c r="E553" s="15" t="s">
        <v>863</v>
      </c>
      <c r="F553" s="66" t="s">
        <v>882</v>
      </c>
      <c r="G553" s="24" t="s">
        <v>2792</v>
      </c>
      <c r="H553" s="15" t="s">
        <v>2788</v>
      </c>
      <c r="I553" s="16">
        <v>50</v>
      </c>
      <c r="J553" s="16" t="str">
        <f t="shared" si="26"/>
        <v>Old</v>
      </c>
      <c r="K553" s="25">
        <v>2</v>
      </c>
      <c r="L553" s="42">
        <v>2370</v>
      </c>
      <c r="M553" s="15">
        <f>1050+75</f>
        <v>1125</v>
      </c>
      <c r="N553" s="39">
        <f t="shared" si="24"/>
        <v>4740</v>
      </c>
      <c r="O553" s="39">
        <f t="shared" si="25"/>
        <v>2490</v>
      </c>
      <c r="P553" s="24" t="s">
        <v>2043</v>
      </c>
      <c r="Q553" s="24" t="s">
        <v>2016</v>
      </c>
      <c r="R553" s="1" t="s">
        <v>2013</v>
      </c>
      <c r="S553" s="15" t="s">
        <v>2082</v>
      </c>
      <c r="T553" s="15" t="s">
        <v>2442</v>
      </c>
      <c r="U553" s="25" t="s">
        <v>2084</v>
      </c>
      <c r="V553" s="25" t="s">
        <v>2435</v>
      </c>
      <c r="W553" s="80">
        <v>45061</v>
      </c>
      <c r="X553" s="21" t="s">
        <v>2786</v>
      </c>
    </row>
    <row r="554" spans="1:24" x14ac:dyDescent="0.2">
      <c r="A554" s="1">
        <v>545</v>
      </c>
      <c r="B554" s="1" t="s">
        <v>281</v>
      </c>
      <c r="C554" s="1" t="s">
        <v>2782</v>
      </c>
      <c r="D554" s="1" t="s">
        <v>280</v>
      </c>
      <c r="E554" s="15" t="s">
        <v>864</v>
      </c>
      <c r="F554" s="66" t="s">
        <v>881</v>
      </c>
      <c r="G554" s="24" t="s">
        <v>2796</v>
      </c>
      <c r="H554" s="15" t="s">
        <v>2789</v>
      </c>
      <c r="I554" s="16">
        <v>39</v>
      </c>
      <c r="J554" s="16" t="str">
        <f t="shared" si="26"/>
        <v>Middle Age</v>
      </c>
      <c r="K554" s="25">
        <v>4</v>
      </c>
      <c r="L554" s="42">
        <v>5370</v>
      </c>
      <c r="M554" s="15">
        <v>6600</v>
      </c>
      <c r="N554" s="39">
        <f t="shared" si="24"/>
        <v>21480</v>
      </c>
      <c r="O554" s="39">
        <f t="shared" si="25"/>
        <v>-4920</v>
      </c>
      <c r="P554" s="24" t="s">
        <v>2050</v>
      </c>
      <c r="Q554" s="24" t="s">
        <v>2024</v>
      </c>
      <c r="R554" s="1" t="s">
        <v>2013</v>
      </c>
      <c r="S554" s="15" t="s">
        <v>2082</v>
      </c>
      <c r="T554" s="15" t="s">
        <v>2442</v>
      </c>
      <c r="U554" s="25" t="s">
        <v>2087</v>
      </c>
      <c r="V554" s="25" t="s">
        <v>2436</v>
      </c>
      <c r="W554" s="80">
        <v>45273</v>
      </c>
      <c r="X554" s="21" t="s">
        <v>2822</v>
      </c>
    </row>
    <row r="555" spans="1:24" x14ac:dyDescent="0.2">
      <c r="A555" s="1">
        <v>546</v>
      </c>
      <c r="B555" s="1" t="s">
        <v>282</v>
      </c>
      <c r="C555" s="1" t="s">
        <v>2782</v>
      </c>
      <c r="D555" s="1" t="s">
        <v>2587</v>
      </c>
      <c r="E555" s="15" t="s">
        <v>822</v>
      </c>
      <c r="F555" s="66" t="s">
        <v>883</v>
      </c>
      <c r="G555" s="24" t="s">
        <v>2798</v>
      </c>
      <c r="H555" s="15" t="s">
        <v>2788</v>
      </c>
      <c r="I555" s="16">
        <v>31</v>
      </c>
      <c r="J555" s="16" t="str">
        <f t="shared" si="26"/>
        <v>Young</v>
      </c>
      <c r="K555" s="25">
        <v>1</v>
      </c>
      <c r="L555" s="42">
        <v>3740</v>
      </c>
      <c r="M555" s="15">
        <v>2100</v>
      </c>
      <c r="N555" s="39">
        <f t="shared" si="24"/>
        <v>3740</v>
      </c>
      <c r="O555" s="39">
        <f t="shared" si="25"/>
        <v>1640</v>
      </c>
      <c r="P555" s="24" t="s">
        <v>2041</v>
      </c>
      <c r="Q555" s="24" t="s">
        <v>2016</v>
      </c>
      <c r="R555" s="1" t="s">
        <v>2013</v>
      </c>
      <c r="S555" s="15" t="s">
        <v>2082</v>
      </c>
      <c r="T555" s="15" t="s">
        <v>2442</v>
      </c>
      <c r="U555" s="25" t="s">
        <v>2083</v>
      </c>
      <c r="V555" s="25" t="s">
        <v>2434</v>
      </c>
      <c r="W555" s="80">
        <v>45016</v>
      </c>
      <c r="X555" s="21" t="s">
        <v>2816</v>
      </c>
    </row>
    <row r="556" spans="1:24" x14ac:dyDescent="0.2">
      <c r="A556" s="1">
        <v>547</v>
      </c>
      <c r="B556" s="1" t="s">
        <v>57</v>
      </c>
      <c r="C556" s="1" t="s">
        <v>2782</v>
      </c>
      <c r="D556" s="1" t="s">
        <v>2590</v>
      </c>
      <c r="E556" s="15" t="s">
        <v>823</v>
      </c>
      <c r="F556" s="66" t="s">
        <v>884</v>
      </c>
      <c r="G556" s="24" t="s">
        <v>2800</v>
      </c>
      <c r="H556" s="15" t="s">
        <v>2788</v>
      </c>
      <c r="I556" s="16">
        <v>44</v>
      </c>
      <c r="J556" s="16" t="str">
        <f t="shared" si="26"/>
        <v>Middle Age</v>
      </c>
      <c r="K556" s="25">
        <v>5</v>
      </c>
      <c r="L556" s="42">
        <v>1650</v>
      </c>
      <c r="M556" s="15">
        <v>830</v>
      </c>
      <c r="N556" s="39">
        <f t="shared" si="24"/>
        <v>8250</v>
      </c>
      <c r="O556" s="39">
        <f t="shared" si="25"/>
        <v>4100</v>
      </c>
      <c r="P556" s="24" t="s">
        <v>2036</v>
      </c>
      <c r="Q556" s="24" t="s">
        <v>2014</v>
      </c>
      <c r="R556" s="1" t="s">
        <v>2013</v>
      </c>
      <c r="S556" s="15" t="s">
        <v>2082</v>
      </c>
      <c r="T556" s="15" t="s">
        <v>2442</v>
      </c>
      <c r="U556" s="25" t="s">
        <v>2085</v>
      </c>
      <c r="V556" s="25" t="s">
        <v>2437</v>
      </c>
      <c r="W556" s="80">
        <v>45033</v>
      </c>
      <c r="X556" s="21" t="s">
        <v>2815</v>
      </c>
    </row>
    <row r="557" spans="1:24" x14ac:dyDescent="0.2">
      <c r="A557" s="1">
        <v>548</v>
      </c>
      <c r="B557" s="1" t="s">
        <v>12</v>
      </c>
      <c r="C557" s="1" t="s">
        <v>2782</v>
      </c>
      <c r="D557" s="1" t="s">
        <v>2591</v>
      </c>
      <c r="E557" s="15" t="s">
        <v>828</v>
      </c>
      <c r="F557" s="66" t="s">
        <v>885</v>
      </c>
      <c r="G557" s="24" t="s">
        <v>2802</v>
      </c>
      <c r="H557" s="15" t="s">
        <v>2789</v>
      </c>
      <c r="I557" s="16">
        <v>26</v>
      </c>
      <c r="J557" s="16" t="str">
        <f t="shared" si="26"/>
        <v>Young</v>
      </c>
      <c r="K557" s="25">
        <v>2</v>
      </c>
      <c r="L557" s="42">
        <v>1090</v>
      </c>
      <c r="M557" s="15">
        <v>500</v>
      </c>
      <c r="N557" s="39">
        <f t="shared" si="24"/>
        <v>2180</v>
      </c>
      <c r="O557" s="39">
        <f t="shared" si="25"/>
        <v>1180</v>
      </c>
      <c r="P557" s="24" t="s">
        <v>2060</v>
      </c>
      <c r="Q557" s="24" t="s">
        <v>2024</v>
      </c>
      <c r="R557" s="1" t="s">
        <v>2013</v>
      </c>
      <c r="S557" s="15" t="s">
        <v>2082</v>
      </c>
      <c r="T557" s="15" t="s">
        <v>2442</v>
      </c>
      <c r="U557" s="25" t="s">
        <v>2087</v>
      </c>
      <c r="V557" s="25" t="s">
        <v>2435</v>
      </c>
      <c r="W557" s="80">
        <v>45290</v>
      </c>
      <c r="X557" s="21" t="s">
        <v>2822</v>
      </c>
    </row>
    <row r="558" spans="1:24" x14ac:dyDescent="0.2">
      <c r="A558" s="1">
        <v>549</v>
      </c>
      <c r="B558" s="1" t="s">
        <v>283</v>
      </c>
      <c r="C558" s="1" t="s">
        <v>2782</v>
      </c>
      <c r="D558" s="1" t="s">
        <v>2592</v>
      </c>
      <c r="E558" s="15" t="s">
        <v>822</v>
      </c>
      <c r="F558" s="66" t="s">
        <v>886</v>
      </c>
      <c r="G558" s="24" t="s">
        <v>2804</v>
      </c>
      <c r="H558" s="15" t="s">
        <v>2788</v>
      </c>
      <c r="I558" s="16">
        <v>48</v>
      </c>
      <c r="J558" s="16" t="str">
        <f t="shared" si="26"/>
        <v>Middle Age</v>
      </c>
      <c r="K558" s="25">
        <v>3</v>
      </c>
      <c r="L558" s="42">
        <v>2400</v>
      </c>
      <c r="M558" s="15">
        <v>800</v>
      </c>
      <c r="N558" s="39">
        <f t="shared" si="24"/>
        <v>7200</v>
      </c>
      <c r="O558" s="39">
        <f t="shared" si="25"/>
        <v>4800</v>
      </c>
      <c r="P558" s="24" t="s">
        <v>2046</v>
      </c>
      <c r="Q558" s="24" t="s">
        <v>2016</v>
      </c>
      <c r="R558" s="1" t="s">
        <v>2013</v>
      </c>
      <c r="S558" s="15" t="s">
        <v>2082</v>
      </c>
      <c r="T558" s="15" t="s">
        <v>2442</v>
      </c>
      <c r="U558" s="25" t="s">
        <v>2088</v>
      </c>
      <c r="V558" s="25" t="s">
        <v>2434</v>
      </c>
      <c r="W558" s="80">
        <v>45049</v>
      </c>
      <c r="X558" s="21" t="s">
        <v>2786</v>
      </c>
    </row>
    <row r="559" spans="1:24" x14ac:dyDescent="0.2">
      <c r="A559" s="1">
        <v>550</v>
      </c>
      <c r="B559" s="1" t="s">
        <v>285</v>
      </c>
      <c r="C559" s="1" t="s">
        <v>2782</v>
      </c>
      <c r="D559" s="1" t="s">
        <v>284</v>
      </c>
      <c r="E559" s="15" t="s">
        <v>817</v>
      </c>
      <c r="F559" s="66" t="s">
        <v>878</v>
      </c>
      <c r="G559" s="24" t="s">
        <v>2806</v>
      </c>
      <c r="H559" s="15" t="s">
        <v>2789</v>
      </c>
      <c r="I559" s="16">
        <v>53</v>
      </c>
      <c r="J559" s="16" t="str">
        <f t="shared" si="26"/>
        <v>Old</v>
      </c>
      <c r="K559" s="25">
        <v>4</v>
      </c>
      <c r="L559" s="42">
        <v>2820</v>
      </c>
      <c r="M559" s="15">
        <v>1380</v>
      </c>
      <c r="N559" s="39">
        <f t="shared" si="24"/>
        <v>11280</v>
      </c>
      <c r="O559" s="39">
        <f t="shared" si="25"/>
        <v>5760</v>
      </c>
      <c r="P559" s="24" t="s">
        <v>2055</v>
      </c>
      <c r="Q559" s="24" t="s">
        <v>2014</v>
      </c>
      <c r="R559" s="1" t="s">
        <v>2013</v>
      </c>
      <c r="S559" s="15" t="s">
        <v>2082</v>
      </c>
      <c r="T559" s="15" t="s">
        <v>2442</v>
      </c>
      <c r="U559" s="25" t="s">
        <v>2088</v>
      </c>
      <c r="V559" s="25" t="s">
        <v>2436</v>
      </c>
      <c r="W559" s="80">
        <v>45070</v>
      </c>
      <c r="X559" s="21" t="s">
        <v>2786</v>
      </c>
    </row>
    <row r="560" spans="1:24" x14ac:dyDescent="0.2">
      <c r="A560" s="1">
        <v>551</v>
      </c>
      <c r="B560" s="1" t="s">
        <v>286</v>
      </c>
      <c r="C560" s="1" t="s">
        <v>2782</v>
      </c>
      <c r="D560" s="1" t="s">
        <v>284</v>
      </c>
      <c r="E560" s="15" t="s">
        <v>823</v>
      </c>
      <c r="F560" s="67" t="s">
        <v>887</v>
      </c>
      <c r="G560" s="24" t="s">
        <v>2808</v>
      </c>
      <c r="H560" s="15" t="s">
        <v>2788</v>
      </c>
      <c r="I560" s="16">
        <v>30</v>
      </c>
      <c r="J560" s="16" t="str">
        <f t="shared" si="26"/>
        <v>Young</v>
      </c>
      <c r="K560" s="25">
        <v>1</v>
      </c>
      <c r="L560" s="42">
        <v>3980</v>
      </c>
      <c r="M560" s="15">
        <v>2180</v>
      </c>
      <c r="N560" s="39">
        <f t="shared" si="24"/>
        <v>3980</v>
      </c>
      <c r="O560" s="39">
        <f t="shared" si="25"/>
        <v>1800</v>
      </c>
      <c r="P560" s="24" t="s">
        <v>2021</v>
      </c>
      <c r="Q560" s="24" t="s">
        <v>2020</v>
      </c>
      <c r="R560" s="1" t="s">
        <v>2013</v>
      </c>
      <c r="S560" s="15" t="s">
        <v>2082</v>
      </c>
      <c r="T560" s="15" t="s">
        <v>2442</v>
      </c>
      <c r="U560" s="25" t="s">
        <v>2083</v>
      </c>
      <c r="V560" s="25" t="s">
        <v>2437</v>
      </c>
      <c r="W560" s="80">
        <v>45283</v>
      </c>
      <c r="X560" s="21" t="s">
        <v>2822</v>
      </c>
    </row>
    <row r="561" spans="1:24" x14ac:dyDescent="0.2">
      <c r="A561" s="1">
        <v>552</v>
      </c>
      <c r="B561" s="1" t="s">
        <v>555</v>
      </c>
      <c r="C561" s="1" t="s">
        <v>2782</v>
      </c>
      <c r="D561" s="1" t="s">
        <v>2593</v>
      </c>
      <c r="E561" s="15" t="s">
        <v>828</v>
      </c>
      <c r="F561" s="66" t="s">
        <v>888</v>
      </c>
      <c r="G561" s="24" t="s">
        <v>2810</v>
      </c>
      <c r="H561" s="15" t="s">
        <v>2788</v>
      </c>
      <c r="I561" s="16">
        <v>37</v>
      </c>
      <c r="J561" s="16" t="str">
        <f t="shared" si="26"/>
        <v>Middle Age</v>
      </c>
      <c r="K561" s="25">
        <v>5</v>
      </c>
      <c r="L561" s="42">
        <v>1000</v>
      </c>
      <c r="M561" s="15">
        <v>470</v>
      </c>
      <c r="N561" s="39">
        <f t="shared" si="24"/>
        <v>5000</v>
      </c>
      <c r="O561" s="39">
        <f t="shared" si="25"/>
        <v>2650</v>
      </c>
      <c r="P561" s="24" t="s">
        <v>2042</v>
      </c>
      <c r="Q561" s="15" t="s">
        <v>2828</v>
      </c>
      <c r="R561" s="1" t="s">
        <v>2013</v>
      </c>
      <c r="S561" s="15" t="s">
        <v>2082</v>
      </c>
      <c r="T561" s="15" t="s">
        <v>2442</v>
      </c>
      <c r="U561" s="25" t="s">
        <v>2090</v>
      </c>
      <c r="V561" s="25" t="s">
        <v>2435</v>
      </c>
      <c r="W561" s="80">
        <v>45230</v>
      </c>
      <c r="X561" s="21" t="s">
        <v>2821</v>
      </c>
    </row>
    <row r="562" spans="1:24" x14ac:dyDescent="0.2">
      <c r="A562" s="1">
        <v>553</v>
      </c>
      <c r="B562" s="1" t="s">
        <v>288</v>
      </c>
      <c r="C562" s="1" t="s">
        <v>2782</v>
      </c>
      <c r="D562" s="1" t="s">
        <v>287</v>
      </c>
      <c r="E562" s="15" t="s">
        <v>822</v>
      </c>
      <c r="F562" s="67" t="s">
        <v>889</v>
      </c>
      <c r="G562" s="24" t="s">
        <v>2793</v>
      </c>
      <c r="H562" s="15" t="s">
        <v>2788</v>
      </c>
      <c r="I562" s="16">
        <v>42</v>
      </c>
      <c r="J562" s="16" t="str">
        <f t="shared" si="26"/>
        <v>Middle Age</v>
      </c>
      <c r="K562" s="25">
        <v>3</v>
      </c>
      <c r="L562" s="42">
        <f>5580+550</f>
        <v>6130</v>
      </c>
      <c r="M562" s="15">
        <f>3150+450</f>
        <v>3600</v>
      </c>
      <c r="N562" s="39">
        <f t="shared" si="24"/>
        <v>18390</v>
      </c>
      <c r="O562" s="39">
        <f t="shared" si="25"/>
        <v>7590</v>
      </c>
      <c r="P562" s="24" t="s">
        <v>2033</v>
      </c>
      <c r="Q562" s="24" t="s">
        <v>2016</v>
      </c>
      <c r="R562" s="1" t="s">
        <v>2013</v>
      </c>
      <c r="S562" s="15" t="s">
        <v>2082</v>
      </c>
      <c r="T562" s="15" t="s">
        <v>2442</v>
      </c>
      <c r="U562" s="25" t="s">
        <v>2088</v>
      </c>
      <c r="V562" s="25" t="s">
        <v>2436</v>
      </c>
      <c r="W562" s="80">
        <v>45280</v>
      </c>
      <c r="X562" s="21" t="s">
        <v>2822</v>
      </c>
    </row>
    <row r="563" spans="1:24" x14ac:dyDescent="0.2">
      <c r="A563" s="1">
        <v>554</v>
      </c>
      <c r="B563" s="1" t="s">
        <v>849</v>
      </c>
      <c r="C563" s="1" t="s">
        <v>2782</v>
      </c>
      <c r="D563" s="1" t="s">
        <v>2594</v>
      </c>
      <c r="E563" s="15" t="s">
        <v>822</v>
      </c>
      <c r="F563" s="67" t="s">
        <v>890</v>
      </c>
      <c r="G563" s="24" t="s">
        <v>2791</v>
      </c>
      <c r="H563" s="15" t="s">
        <v>2788</v>
      </c>
      <c r="I563" s="16">
        <v>24</v>
      </c>
      <c r="J563" s="16" t="str">
        <f t="shared" si="26"/>
        <v>Young</v>
      </c>
      <c r="K563" s="25">
        <v>5</v>
      </c>
      <c r="L563" s="42">
        <v>500</v>
      </c>
      <c r="M563" s="15">
        <v>230</v>
      </c>
      <c r="N563" s="39">
        <f t="shared" si="24"/>
        <v>2500</v>
      </c>
      <c r="O563" s="39">
        <f t="shared" si="25"/>
        <v>1350</v>
      </c>
      <c r="P563" s="24" t="s">
        <v>2039</v>
      </c>
      <c r="Q563" s="24" t="s">
        <v>2014</v>
      </c>
      <c r="R563" s="1" t="s">
        <v>2013</v>
      </c>
      <c r="S563" s="15" t="s">
        <v>2082</v>
      </c>
      <c r="T563" s="15" t="s">
        <v>2442</v>
      </c>
      <c r="U563" s="25" t="s">
        <v>2087</v>
      </c>
      <c r="V563" s="25" t="s">
        <v>2434</v>
      </c>
      <c r="W563" s="80">
        <v>45054</v>
      </c>
      <c r="X563" s="21" t="s">
        <v>2786</v>
      </c>
    </row>
    <row r="564" spans="1:24" x14ac:dyDescent="0.2">
      <c r="A564" s="1">
        <v>555</v>
      </c>
      <c r="B564" s="1" t="s">
        <v>290</v>
      </c>
      <c r="C564" s="1" t="s">
        <v>2782</v>
      </c>
      <c r="D564" s="1" t="s">
        <v>289</v>
      </c>
      <c r="E564" s="15" t="s">
        <v>863</v>
      </c>
      <c r="F564" s="66" t="s">
        <v>891</v>
      </c>
      <c r="G564" s="24" t="s">
        <v>2795</v>
      </c>
      <c r="H564" s="15" t="s">
        <v>2788</v>
      </c>
      <c r="I564" s="16">
        <v>57</v>
      </c>
      <c r="J564" s="16" t="str">
        <f t="shared" si="26"/>
        <v>Old</v>
      </c>
      <c r="K564" s="25">
        <v>2</v>
      </c>
      <c r="L564" s="42">
        <v>3400</v>
      </c>
      <c r="M564" s="15">
        <f>860+150+140+26+52+90+20</f>
        <v>1338</v>
      </c>
      <c r="N564" s="39">
        <f t="shared" si="24"/>
        <v>6800</v>
      </c>
      <c r="O564" s="39">
        <f t="shared" si="25"/>
        <v>4124</v>
      </c>
      <c r="P564" s="24" t="s">
        <v>2062</v>
      </c>
      <c r="Q564" s="15" t="s">
        <v>2828</v>
      </c>
      <c r="R564" s="1" t="s">
        <v>2013</v>
      </c>
      <c r="S564" s="15" t="s">
        <v>2082</v>
      </c>
      <c r="T564" s="15" t="s">
        <v>2442</v>
      </c>
      <c r="U564" s="25" t="s">
        <v>2089</v>
      </c>
      <c r="V564" s="25" t="s">
        <v>2437</v>
      </c>
      <c r="W564" s="80">
        <v>45013</v>
      </c>
      <c r="X564" s="21" t="s">
        <v>2816</v>
      </c>
    </row>
    <row r="565" spans="1:24" x14ac:dyDescent="0.2">
      <c r="A565" s="1">
        <v>556</v>
      </c>
      <c r="B565" s="1" t="s">
        <v>288</v>
      </c>
      <c r="C565" s="1" t="s">
        <v>2782</v>
      </c>
      <c r="D565" s="1" t="s">
        <v>287</v>
      </c>
      <c r="E565" s="35" t="s">
        <v>864</v>
      </c>
      <c r="F565" s="67" t="s">
        <v>892</v>
      </c>
      <c r="G565" s="24" t="s">
        <v>2797</v>
      </c>
      <c r="H565" s="15" t="s">
        <v>2789</v>
      </c>
      <c r="I565" s="16">
        <v>35</v>
      </c>
      <c r="J565" s="16" t="str">
        <f t="shared" si="26"/>
        <v>Young</v>
      </c>
      <c r="K565" s="25">
        <v>1</v>
      </c>
      <c r="L565" s="42">
        <f>5580+550</f>
        <v>6130</v>
      </c>
      <c r="M565" s="15">
        <f>3150+450-90</f>
        <v>3510</v>
      </c>
      <c r="N565" s="39">
        <f t="shared" si="24"/>
        <v>6130</v>
      </c>
      <c r="O565" s="39">
        <f t="shared" si="25"/>
        <v>2620</v>
      </c>
      <c r="P565" s="24" t="s">
        <v>2019</v>
      </c>
      <c r="Q565" s="24" t="s">
        <v>2014</v>
      </c>
      <c r="R565" s="1" t="s">
        <v>2013</v>
      </c>
      <c r="S565" s="15" t="s">
        <v>2082</v>
      </c>
      <c r="T565" s="15" t="s">
        <v>2442</v>
      </c>
      <c r="U565" s="25" t="s">
        <v>2088</v>
      </c>
      <c r="V565" s="25" t="s">
        <v>2435</v>
      </c>
      <c r="W565" s="80">
        <v>45281</v>
      </c>
      <c r="X565" s="21" t="s">
        <v>2822</v>
      </c>
    </row>
    <row r="566" spans="1:24" x14ac:dyDescent="0.2">
      <c r="A566" s="1">
        <v>557</v>
      </c>
      <c r="B566" s="1" t="s">
        <v>849</v>
      </c>
      <c r="C566" s="1" t="s">
        <v>2782</v>
      </c>
      <c r="D566" s="1" t="s">
        <v>2595</v>
      </c>
      <c r="E566" s="35" t="s">
        <v>823</v>
      </c>
      <c r="F566" s="67" t="s">
        <v>876</v>
      </c>
      <c r="G566" s="24" t="s">
        <v>2799</v>
      </c>
      <c r="H566" s="15" t="s">
        <v>2788</v>
      </c>
      <c r="I566" s="16">
        <v>40</v>
      </c>
      <c r="J566" s="16" t="str">
        <f t="shared" si="26"/>
        <v>Middle Age</v>
      </c>
      <c r="K566" s="25">
        <v>3</v>
      </c>
      <c r="L566" s="42">
        <v>500</v>
      </c>
      <c r="M566" s="15">
        <v>300</v>
      </c>
      <c r="N566" s="39">
        <f t="shared" si="24"/>
        <v>1500</v>
      </c>
      <c r="O566" s="39">
        <f t="shared" si="25"/>
        <v>600</v>
      </c>
      <c r="P566" s="24" t="s">
        <v>2017</v>
      </c>
      <c r="Q566" s="24" t="s">
        <v>2016</v>
      </c>
      <c r="R566" s="1" t="s">
        <v>2013</v>
      </c>
      <c r="S566" s="15" t="s">
        <v>2082</v>
      </c>
      <c r="T566" s="15" t="s">
        <v>2442</v>
      </c>
      <c r="U566" s="25" t="s">
        <v>2085</v>
      </c>
      <c r="V566" s="25" t="s">
        <v>2434</v>
      </c>
      <c r="W566" s="80">
        <v>45181</v>
      </c>
      <c r="X566" s="21" t="s">
        <v>2820</v>
      </c>
    </row>
    <row r="567" spans="1:24" x14ac:dyDescent="0.2">
      <c r="A567" s="1">
        <v>558</v>
      </c>
      <c r="B567" s="1" t="s">
        <v>291</v>
      </c>
      <c r="C567" s="1" t="s">
        <v>2782</v>
      </c>
      <c r="D567" s="1" t="s">
        <v>287</v>
      </c>
      <c r="E567" s="35" t="s">
        <v>823</v>
      </c>
      <c r="F567" s="67" t="s">
        <v>885</v>
      </c>
      <c r="G567" s="24" t="s">
        <v>2801</v>
      </c>
      <c r="H567" s="15" t="s">
        <v>2789</v>
      </c>
      <c r="I567" s="16">
        <v>21</v>
      </c>
      <c r="J567" s="16" t="str">
        <f t="shared" si="26"/>
        <v>Young</v>
      </c>
      <c r="K567" s="25">
        <v>4</v>
      </c>
      <c r="L567" s="42">
        <f>5230+550</f>
        <v>5780</v>
      </c>
      <c r="M567" s="15">
        <f>2800+450-90</f>
        <v>3160</v>
      </c>
      <c r="N567" s="39">
        <f t="shared" si="24"/>
        <v>23120</v>
      </c>
      <c r="O567" s="39">
        <f t="shared" si="25"/>
        <v>10480</v>
      </c>
      <c r="P567" s="24" t="s">
        <v>2050</v>
      </c>
      <c r="Q567" s="24" t="s">
        <v>2024</v>
      </c>
      <c r="R567" s="1" t="s">
        <v>2013</v>
      </c>
      <c r="S567" s="15" t="s">
        <v>2082</v>
      </c>
      <c r="T567" s="15" t="s">
        <v>2442</v>
      </c>
      <c r="U567" s="25" t="s">
        <v>2085</v>
      </c>
      <c r="V567" s="25" t="s">
        <v>2436</v>
      </c>
      <c r="W567" s="80">
        <v>44973</v>
      </c>
      <c r="X567" s="21" t="s">
        <v>2817</v>
      </c>
    </row>
    <row r="568" spans="1:24" x14ac:dyDescent="0.2">
      <c r="A568" s="1">
        <v>559</v>
      </c>
      <c r="B568" s="1" t="s">
        <v>849</v>
      </c>
      <c r="C568" s="1" t="s">
        <v>2782</v>
      </c>
      <c r="D568" s="1" t="s">
        <v>2596</v>
      </c>
      <c r="E568" s="35" t="s">
        <v>863</v>
      </c>
      <c r="F568" s="66" t="s">
        <v>960</v>
      </c>
      <c r="G568" s="24" t="s">
        <v>2803</v>
      </c>
      <c r="H568" s="15" t="s">
        <v>2788</v>
      </c>
      <c r="I568" s="16">
        <v>45</v>
      </c>
      <c r="J568" s="16" t="str">
        <f t="shared" si="26"/>
        <v>Middle Age</v>
      </c>
      <c r="K568" s="25">
        <v>5</v>
      </c>
      <c r="L568" s="42">
        <v>500</v>
      </c>
      <c r="M568" s="15">
        <v>250</v>
      </c>
      <c r="N568" s="39">
        <f t="shared" si="24"/>
        <v>2500</v>
      </c>
      <c r="O568" s="39">
        <f t="shared" si="25"/>
        <v>1250</v>
      </c>
      <c r="P568" s="24" t="s">
        <v>2018</v>
      </c>
      <c r="Q568" s="15" t="s">
        <v>2828</v>
      </c>
      <c r="R568" s="1" t="s">
        <v>2013</v>
      </c>
      <c r="S568" s="15" t="s">
        <v>2082</v>
      </c>
      <c r="T568" s="15" t="s">
        <v>2442</v>
      </c>
      <c r="U568" s="25" t="s">
        <v>2086</v>
      </c>
      <c r="V568" s="25" t="s">
        <v>2437</v>
      </c>
      <c r="W568" s="80">
        <v>44958</v>
      </c>
      <c r="X568" s="21" t="s">
        <v>2817</v>
      </c>
    </row>
    <row r="569" spans="1:24" x14ac:dyDescent="0.2">
      <c r="A569" s="1">
        <v>560</v>
      </c>
      <c r="B569" s="1" t="s">
        <v>292</v>
      </c>
      <c r="C569" s="1" t="s">
        <v>2782</v>
      </c>
      <c r="D569" s="1" t="s">
        <v>287</v>
      </c>
      <c r="E569" s="35" t="s">
        <v>822</v>
      </c>
      <c r="F569" s="67" t="s">
        <v>25</v>
      </c>
      <c r="G569" s="24" t="s">
        <v>2805</v>
      </c>
      <c r="H569" s="15" t="s">
        <v>2789</v>
      </c>
      <c r="I569" s="16">
        <v>52</v>
      </c>
      <c r="J569" s="16" t="str">
        <f t="shared" si="26"/>
        <v>Old</v>
      </c>
      <c r="K569" s="25">
        <v>2</v>
      </c>
      <c r="L569" s="42">
        <f>5880+550</f>
        <v>6430</v>
      </c>
      <c r="M569" s="15">
        <f>3450+450-90</f>
        <v>3810</v>
      </c>
      <c r="N569" s="39">
        <f t="shared" si="24"/>
        <v>12860</v>
      </c>
      <c r="O569" s="39">
        <f t="shared" si="25"/>
        <v>5240</v>
      </c>
      <c r="P569" s="24" t="s">
        <v>2027</v>
      </c>
      <c r="Q569" s="24" t="s">
        <v>2014</v>
      </c>
      <c r="R569" s="1" t="s">
        <v>2013</v>
      </c>
      <c r="S569" s="15" t="s">
        <v>2082</v>
      </c>
      <c r="T569" s="15" t="s">
        <v>2442</v>
      </c>
      <c r="U569" s="25" t="s">
        <v>2087</v>
      </c>
      <c r="V569" s="25" t="s">
        <v>2435</v>
      </c>
      <c r="W569" s="80">
        <v>45213</v>
      </c>
      <c r="X569" s="21" t="s">
        <v>2821</v>
      </c>
    </row>
    <row r="570" spans="1:24" x14ac:dyDescent="0.2">
      <c r="A570" s="1">
        <v>561</v>
      </c>
      <c r="B570" s="1" t="s">
        <v>849</v>
      </c>
      <c r="C570" s="1" t="s">
        <v>2782</v>
      </c>
      <c r="D570" s="1" t="s">
        <v>2597</v>
      </c>
      <c r="E570" s="35" t="s">
        <v>863</v>
      </c>
      <c r="F570" s="66" t="s">
        <v>961</v>
      </c>
      <c r="G570" s="24" t="s">
        <v>2807</v>
      </c>
      <c r="H570" s="15" t="s">
        <v>2788</v>
      </c>
      <c r="I570" s="16">
        <v>23</v>
      </c>
      <c r="J570" s="16" t="str">
        <f t="shared" si="26"/>
        <v>Young</v>
      </c>
      <c r="K570" s="25">
        <v>3</v>
      </c>
      <c r="L570" s="42">
        <v>500</v>
      </c>
      <c r="M570" s="15">
        <v>170</v>
      </c>
      <c r="N570" s="39">
        <f t="shared" si="24"/>
        <v>1500</v>
      </c>
      <c r="O570" s="39">
        <f t="shared" si="25"/>
        <v>990</v>
      </c>
      <c r="P570" s="24" t="s">
        <v>2055</v>
      </c>
      <c r="Q570" s="24" t="s">
        <v>2014</v>
      </c>
      <c r="R570" s="1" t="s">
        <v>2013</v>
      </c>
      <c r="S570" s="15" t="s">
        <v>2082</v>
      </c>
      <c r="T570" s="15" t="s">
        <v>2442</v>
      </c>
      <c r="U570" s="25" t="s">
        <v>2089</v>
      </c>
      <c r="V570" s="25" t="s">
        <v>2436</v>
      </c>
      <c r="W570" s="80">
        <v>45205</v>
      </c>
      <c r="X570" s="21" t="s">
        <v>2821</v>
      </c>
    </row>
    <row r="571" spans="1:24" x14ac:dyDescent="0.2">
      <c r="A571" s="1">
        <v>562</v>
      </c>
      <c r="B571" s="1" t="s">
        <v>293</v>
      </c>
      <c r="C571" s="1" t="s">
        <v>2782</v>
      </c>
      <c r="D571" s="1" t="s">
        <v>287</v>
      </c>
      <c r="E571" s="35" t="s">
        <v>822</v>
      </c>
      <c r="F571" s="67" t="s">
        <v>974</v>
      </c>
      <c r="G571" s="24" t="s">
        <v>2809</v>
      </c>
      <c r="H571" s="15" t="s">
        <v>2789</v>
      </c>
      <c r="I571" s="16">
        <v>38</v>
      </c>
      <c r="J571" s="16" t="str">
        <f t="shared" si="26"/>
        <v>Middle Age</v>
      </c>
      <c r="K571" s="25">
        <v>1</v>
      </c>
      <c r="L571" s="42">
        <f>4480+550</f>
        <v>5030</v>
      </c>
      <c r="M571" s="15">
        <f>2050+450-90</f>
        <v>2410</v>
      </c>
      <c r="N571" s="39">
        <f t="shared" si="24"/>
        <v>5030</v>
      </c>
      <c r="O571" s="39">
        <f t="shared" si="25"/>
        <v>2620</v>
      </c>
      <c r="P571" s="24" t="s">
        <v>2037</v>
      </c>
      <c r="Q571" s="24" t="s">
        <v>2014</v>
      </c>
      <c r="R571" s="1" t="s">
        <v>2013</v>
      </c>
      <c r="S571" s="15" t="s">
        <v>2082</v>
      </c>
      <c r="T571" s="15" t="s">
        <v>2442</v>
      </c>
      <c r="U571" s="25" t="s">
        <v>2090</v>
      </c>
      <c r="V571" s="25" t="s">
        <v>2434</v>
      </c>
      <c r="W571" s="80">
        <v>44962</v>
      </c>
      <c r="X571" s="21" t="s">
        <v>2817</v>
      </c>
    </row>
    <row r="572" spans="1:24" x14ac:dyDescent="0.2">
      <c r="A572" s="1">
        <v>563</v>
      </c>
      <c r="B572" s="1" t="s">
        <v>39</v>
      </c>
      <c r="C572" s="1" t="s">
        <v>2782</v>
      </c>
      <c r="D572" s="1" t="s">
        <v>2598</v>
      </c>
      <c r="E572" s="35" t="s">
        <v>828</v>
      </c>
      <c r="F572" s="66" t="s">
        <v>962</v>
      </c>
      <c r="G572" s="24" t="s">
        <v>2794</v>
      </c>
      <c r="H572" s="15" t="s">
        <v>2788</v>
      </c>
      <c r="I572" s="16">
        <v>41</v>
      </c>
      <c r="J572" s="16" t="str">
        <f t="shared" si="26"/>
        <v>Middle Age</v>
      </c>
      <c r="K572" s="25">
        <v>4</v>
      </c>
      <c r="L572" s="42">
        <v>1000</v>
      </c>
      <c r="M572" s="15">
        <v>410</v>
      </c>
      <c r="N572" s="39">
        <f t="shared" si="24"/>
        <v>4000</v>
      </c>
      <c r="O572" s="39">
        <f t="shared" si="25"/>
        <v>2360</v>
      </c>
      <c r="P572" s="24" t="s">
        <v>2045</v>
      </c>
      <c r="Q572" s="24" t="s">
        <v>2014</v>
      </c>
      <c r="R572" s="1" t="s">
        <v>2013</v>
      </c>
      <c r="S572" s="15" t="s">
        <v>2082</v>
      </c>
      <c r="T572" s="15" t="s">
        <v>2442</v>
      </c>
      <c r="U572" s="25" t="s">
        <v>2090</v>
      </c>
      <c r="V572" s="25" t="s">
        <v>2437</v>
      </c>
      <c r="W572" s="80">
        <v>45035</v>
      </c>
      <c r="X572" s="21" t="s">
        <v>2815</v>
      </c>
    </row>
    <row r="573" spans="1:24" x14ac:dyDescent="0.2">
      <c r="A573" s="1">
        <v>564</v>
      </c>
      <c r="B573" s="1" t="s">
        <v>295</v>
      </c>
      <c r="C573" s="1" t="s">
        <v>2782</v>
      </c>
      <c r="D573" s="1" t="s">
        <v>294</v>
      </c>
      <c r="E573" s="15" t="s">
        <v>863</v>
      </c>
      <c r="F573" s="67" t="s">
        <v>876</v>
      </c>
      <c r="G573" s="24" t="s">
        <v>2792</v>
      </c>
      <c r="H573" s="15" t="s">
        <v>2788</v>
      </c>
      <c r="I573" s="16">
        <v>29</v>
      </c>
      <c r="J573" s="16" t="str">
        <f t="shared" si="26"/>
        <v>Young</v>
      </c>
      <c r="K573" s="25">
        <v>5</v>
      </c>
      <c r="L573" s="42">
        <v>6273</v>
      </c>
      <c r="M573" s="15">
        <f>3130-90</f>
        <v>3040</v>
      </c>
      <c r="N573" s="39">
        <f t="shared" si="24"/>
        <v>31365</v>
      </c>
      <c r="O573" s="39">
        <f t="shared" si="25"/>
        <v>16165</v>
      </c>
      <c r="P573" s="24" t="s">
        <v>2048</v>
      </c>
      <c r="Q573" s="24" t="s">
        <v>2014</v>
      </c>
      <c r="R573" s="1" t="s">
        <v>2013</v>
      </c>
      <c r="S573" s="15" t="s">
        <v>2082</v>
      </c>
      <c r="T573" s="15" t="s">
        <v>2442</v>
      </c>
      <c r="U573" s="25" t="s">
        <v>2089</v>
      </c>
      <c r="V573" s="25" t="s">
        <v>2435</v>
      </c>
      <c r="W573" s="80">
        <v>45254</v>
      </c>
      <c r="X573" s="21" t="s">
        <v>2823</v>
      </c>
    </row>
    <row r="574" spans="1:24" x14ac:dyDescent="0.2">
      <c r="A574" s="1">
        <v>565</v>
      </c>
      <c r="B574" s="1" t="s">
        <v>296</v>
      </c>
      <c r="C574" s="1" t="s">
        <v>2782</v>
      </c>
      <c r="D574" s="1" t="s">
        <v>2599</v>
      </c>
      <c r="E574" s="15" t="s">
        <v>864</v>
      </c>
      <c r="F574" s="66" t="s">
        <v>963</v>
      </c>
      <c r="G574" s="24" t="s">
        <v>2796</v>
      </c>
      <c r="H574" s="15" t="s">
        <v>2788</v>
      </c>
      <c r="I574" s="16">
        <v>60</v>
      </c>
      <c r="J574" s="16" t="str">
        <f t="shared" si="26"/>
        <v>Old</v>
      </c>
      <c r="K574" s="25">
        <v>3</v>
      </c>
      <c r="L574" s="42">
        <v>6230</v>
      </c>
      <c r="M574" s="15">
        <f>3230-90</f>
        <v>3140</v>
      </c>
      <c r="N574" s="39">
        <f t="shared" si="24"/>
        <v>18690</v>
      </c>
      <c r="O574" s="39">
        <f t="shared" si="25"/>
        <v>9270</v>
      </c>
      <c r="P574" s="24" t="s">
        <v>2053</v>
      </c>
      <c r="Q574" s="24" t="s">
        <v>2014</v>
      </c>
      <c r="R574" s="1" t="s">
        <v>2013</v>
      </c>
      <c r="S574" s="15" t="s">
        <v>2082</v>
      </c>
      <c r="T574" s="15" t="s">
        <v>2442</v>
      </c>
      <c r="U574" s="25" t="s">
        <v>2085</v>
      </c>
      <c r="V574" s="25" t="s">
        <v>2434</v>
      </c>
      <c r="W574" s="80">
        <v>45286</v>
      </c>
      <c r="X574" s="21" t="s">
        <v>2822</v>
      </c>
    </row>
    <row r="575" spans="1:24" x14ac:dyDescent="0.2">
      <c r="A575" s="1">
        <v>566</v>
      </c>
      <c r="B575" s="1" t="s">
        <v>298</v>
      </c>
      <c r="C575" s="1" t="s">
        <v>2782</v>
      </c>
      <c r="D575" s="1" t="s">
        <v>297</v>
      </c>
      <c r="E575" s="15" t="s">
        <v>822</v>
      </c>
      <c r="F575" s="67" t="s">
        <v>887</v>
      </c>
      <c r="G575" s="24" t="s">
        <v>2798</v>
      </c>
      <c r="H575" s="15" t="s">
        <v>2788</v>
      </c>
      <c r="I575" s="16">
        <v>33</v>
      </c>
      <c r="J575" s="16" t="str">
        <f t="shared" si="26"/>
        <v>Young</v>
      </c>
      <c r="K575" s="25">
        <v>2</v>
      </c>
      <c r="L575" s="42">
        <v>4480</v>
      </c>
      <c r="M575" s="15">
        <f>2480-90</f>
        <v>2390</v>
      </c>
      <c r="N575" s="39">
        <f t="shared" si="24"/>
        <v>8960</v>
      </c>
      <c r="O575" s="39">
        <f t="shared" si="25"/>
        <v>4180</v>
      </c>
      <c r="P575" s="24" t="s">
        <v>2025</v>
      </c>
      <c r="Q575" s="24" t="s">
        <v>2024</v>
      </c>
      <c r="R575" s="1" t="s">
        <v>2013</v>
      </c>
      <c r="S575" s="15" t="s">
        <v>2082</v>
      </c>
      <c r="T575" s="15" t="s">
        <v>2442</v>
      </c>
      <c r="U575" s="25" t="s">
        <v>2084</v>
      </c>
      <c r="V575" s="25" t="s">
        <v>2436</v>
      </c>
      <c r="W575" s="80">
        <v>45008</v>
      </c>
      <c r="X575" s="21" t="s">
        <v>2816</v>
      </c>
    </row>
    <row r="576" spans="1:24" x14ac:dyDescent="0.2">
      <c r="A576" s="1">
        <v>567</v>
      </c>
      <c r="B576" s="1" t="s">
        <v>300</v>
      </c>
      <c r="C576" s="1" t="s">
        <v>2782</v>
      </c>
      <c r="D576" s="1" t="s">
        <v>299</v>
      </c>
      <c r="E576" s="15" t="s">
        <v>823</v>
      </c>
      <c r="F576" s="66" t="s">
        <v>964</v>
      </c>
      <c r="G576" s="24" t="s">
        <v>2800</v>
      </c>
      <c r="H576" s="15" t="s">
        <v>2788</v>
      </c>
      <c r="I576" s="16">
        <v>22</v>
      </c>
      <c r="J576" s="16" t="str">
        <f t="shared" si="26"/>
        <v>Young</v>
      </c>
      <c r="K576" s="25">
        <v>4</v>
      </c>
      <c r="L576" s="42">
        <v>4350</v>
      </c>
      <c r="M576" s="15">
        <f>2050-90</f>
        <v>1960</v>
      </c>
      <c r="N576" s="39">
        <f t="shared" si="24"/>
        <v>17400</v>
      </c>
      <c r="O576" s="39">
        <f t="shared" si="25"/>
        <v>9560</v>
      </c>
      <c r="P576" s="24" t="s">
        <v>2033</v>
      </c>
      <c r="Q576" s="24" t="s">
        <v>2016</v>
      </c>
      <c r="R576" s="1" t="s">
        <v>2013</v>
      </c>
      <c r="S576" s="15" t="s">
        <v>2082</v>
      </c>
      <c r="T576" s="15" t="s">
        <v>2442</v>
      </c>
      <c r="U576" s="25" t="s">
        <v>2089</v>
      </c>
      <c r="V576" s="25" t="s">
        <v>2437</v>
      </c>
      <c r="W576" s="80">
        <v>45291</v>
      </c>
      <c r="X576" s="21" t="s">
        <v>2822</v>
      </c>
    </row>
    <row r="577" spans="1:24" x14ac:dyDescent="0.2">
      <c r="A577" s="1">
        <v>568</v>
      </c>
      <c r="B577" s="1" t="s">
        <v>302</v>
      </c>
      <c r="C577" s="1" t="s">
        <v>2782</v>
      </c>
      <c r="D577" s="1" t="s">
        <v>301</v>
      </c>
      <c r="E577" s="35" t="s">
        <v>822</v>
      </c>
      <c r="F577" s="67" t="s">
        <v>975</v>
      </c>
      <c r="G577" s="24" t="s">
        <v>2802</v>
      </c>
      <c r="H577" s="15" t="s">
        <v>2789</v>
      </c>
      <c r="I577" s="16">
        <v>47</v>
      </c>
      <c r="J577" s="16" t="str">
        <f t="shared" si="26"/>
        <v>Middle Age</v>
      </c>
      <c r="K577" s="25">
        <v>1</v>
      </c>
      <c r="L577" s="42">
        <v>4070</v>
      </c>
      <c r="M577" s="15">
        <f>2070-90</f>
        <v>1980</v>
      </c>
      <c r="N577" s="39">
        <f t="shared" si="24"/>
        <v>4070</v>
      </c>
      <c r="O577" s="39">
        <f t="shared" si="25"/>
        <v>2090</v>
      </c>
      <c r="P577" s="24" t="s">
        <v>2058</v>
      </c>
      <c r="Q577" s="24" t="s">
        <v>2020</v>
      </c>
      <c r="R577" s="1" t="s">
        <v>2013</v>
      </c>
      <c r="S577" s="15" t="s">
        <v>2082</v>
      </c>
      <c r="T577" s="15" t="s">
        <v>2442</v>
      </c>
      <c r="U577" s="25" t="s">
        <v>2088</v>
      </c>
      <c r="V577" s="25" t="s">
        <v>2435</v>
      </c>
      <c r="W577" s="80">
        <v>45061</v>
      </c>
      <c r="X577" s="21" t="s">
        <v>2786</v>
      </c>
    </row>
    <row r="578" spans="1:24" x14ac:dyDescent="0.2">
      <c r="A578" s="1">
        <v>569</v>
      </c>
      <c r="B578" s="1" t="s">
        <v>304</v>
      </c>
      <c r="C578" s="1" t="s">
        <v>2782</v>
      </c>
      <c r="D578" s="1" t="s">
        <v>303</v>
      </c>
      <c r="E578" s="35" t="s">
        <v>864</v>
      </c>
      <c r="F578" s="66" t="s">
        <v>965</v>
      </c>
      <c r="G578" s="24" t="s">
        <v>2804</v>
      </c>
      <c r="H578" s="15" t="s">
        <v>2788</v>
      </c>
      <c r="I578" s="16">
        <v>55</v>
      </c>
      <c r="J578" s="16" t="str">
        <f t="shared" si="26"/>
        <v>Old</v>
      </c>
      <c r="K578" s="25">
        <v>5</v>
      </c>
      <c r="L578" s="42">
        <v>5200</v>
      </c>
      <c r="M578" s="15">
        <f>2200+200-90</f>
        <v>2310</v>
      </c>
      <c r="N578" s="39">
        <f t="shared" ref="N578:N641" si="27">L578*K578</f>
        <v>26000</v>
      </c>
      <c r="O578" s="39">
        <f t="shared" ref="O578:O641" si="28">N578-(M578*K578)</f>
        <v>14450</v>
      </c>
      <c r="P578" s="24" t="s">
        <v>2035</v>
      </c>
      <c r="Q578" s="24" t="s">
        <v>2020</v>
      </c>
      <c r="R578" s="1" t="s">
        <v>2013</v>
      </c>
      <c r="S578" s="15" t="s">
        <v>2082</v>
      </c>
      <c r="T578" s="15" t="s">
        <v>2442</v>
      </c>
      <c r="U578" s="25" t="s">
        <v>2086</v>
      </c>
      <c r="V578" s="25" t="s">
        <v>2436</v>
      </c>
      <c r="W578" s="80">
        <v>45209</v>
      </c>
      <c r="X578" s="21" t="s">
        <v>2821</v>
      </c>
    </row>
    <row r="579" spans="1:24" x14ac:dyDescent="0.2">
      <c r="A579" s="1">
        <v>570</v>
      </c>
      <c r="B579" s="1" t="s">
        <v>306</v>
      </c>
      <c r="C579" s="1" t="s">
        <v>2782</v>
      </c>
      <c r="D579" s="1" t="s">
        <v>305</v>
      </c>
      <c r="E579" s="15" t="s">
        <v>863</v>
      </c>
      <c r="F579" s="67" t="s">
        <v>976</v>
      </c>
      <c r="G579" s="24" t="s">
        <v>2806</v>
      </c>
      <c r="H579" s="15" t="s">
        <v>2789</v>
      </c>
      <c r="I579" s="16">
        <v>36</v>
      </c>
      <c r="J579" s="16" t="str">
        <f t="shared" ref="J579:J642" si="29">IF(I579&lt;=35,"Young",IF(I579&lt;=49,"Middle Age",IF(I579&gt;=50,"Old")))</f>
        <v>Middle Age</v>
      </c>
      <c r="K579" s="25">
        <v>2</v>
      </c>
      <c r="L579" s="42">
        <v>7870</v>
      </c>
      <c r="M579" s="15">
        <f>3250+200-90</f>
        <v>3360</v>
      </c>
      <c r="N579" s="39">
        <f t="shared" si="27"/>
        <v>15740</v>
      </c>
      <c r="O579" s="39">
        <f t="shared" si="28"/>
        <v>9020</v>
      </c>
      <c r="P579" s="24" t="s">
        <v>2035</v>
      </c>
      <c r="Q579" s="24" t="s">
        <v>2020</v>
      </c>
      <c r="R579" s="1" t="s">
        <v>2013</v>
      </c>
      <c r="S579" s="15" t="s">
        <v>2082</v>
      </c>
      <c r="T579" s="15" t="s">
        <v>2442</v>
      </c>
      <c r="U579" s="25" t="s">
        <v>2083</v>
      </c>
      <c r="V579" s="25" t="s">
        <v>2434</v>
      </c>
      <c r="W579" s="80">
        <v>45290</v>
      </c>
      <c r="X579" s="21" t="s">
        <v>2822</v>
      </c>
    </row>
    <row r="580" spans="1:24" x14ac:dyDescent="0.2">
      <c r="A580" s="1">
        <v>571</v>
      </c>
      <c r="B580" s="1" t="s">
        <v>81</v>
      </c>
      <c r="C580" s="1" t="s">
        <v>2782</v>
      </c>
      <c r="D580" s="1" t="s">
        <v>675</v>
      </c>
      <c r="E580" s="15" t="s">
        <v>864</v>
      </c>
      <c r="F580" s="66" t="s">
        <v>966</v>
      </c>
      <c r="G580" s="24" t="s">
        <v>2808</v>
      </c>
      <c r="H580" s="15" t="s">
        <v>2788</v>
      </c>
      <c r="I580" s="16">
        <v>28</v>
      </c>
      <c r="J580" s="16" t="str">
        <f t="shared" si="29"/>
        <v>Young</v>
      </c>
      <c r="K580" s="25">
        <v>3</v>
      </c>
      <c r="L580" s="42">
        <f>1310+300</f>
        <v>1610</v>
      </c>
      <c r="M580" s="15">
        <f>510+150-90</f>
        <v>570</v>
      </c>
      <c r="N580" s="39">
        <f t="shared" si="27"/>
        <v>4830</v>
      </c>
      <c r="O580" s="39">
        <f t="shared" si="28"/>
        <v>3120</v>
      </c>
      <c r="P580" s="24" t="s">
        <v>2037</v>
      </c>
      <c r="Q580" s="24" t="s">
        <v>2014</v>
      </c>
      <c r="R580" s="1" t="s">
        <v>2013</v>
      </c>
      <c r="S580" s="15" t="s">
        <v>2082</v>
      </c>
      <c r="T580" s="15" t="s">
        <v>2442</v>
      </c>
      <c r="U580" s="25" t="s">
        <v>2086</v>
      </c>
      <c r="V580" s="25" t="s">
        <v>2437</v>
      </c>
      <c r="W580" s="80">
        <v>44977</v>
      </c>
      <c r="X580" s="21" t="s">
        <v>2817</v>
      </c>
    </row>
    <row r="581" spans="1:24" x14ac:dyDescent="0.2">
      <c r="A581" s="1">
        <v>572</v>
      </c>
      <c r="B581" s="1" t="s">
        <v>211</v>
      </c>
      <c r="C581" s="1" t="s">
        <v>2782</v>
      </c>
      <c r="D581" s="1" t="s">
        <v>2600</v>
      </c>
      <c r="E581" s="15" t="s">
        <v>822</v>
      </c>
      <c r="F581" s="67" t="s">
        <v>977</v>
      </c>
      <c r="G581" s="24" t="s">
        <v>2810</v>
      </c>
      <c r="H581" s="15" t="s">
        <v>2789</v>
      </c>
      <c r="I581" s="16">
        <v>50</v>
      </c>
      <c r="J581" s="16" t="str">
        <f t="shared" si="29"/>
        <v>Old</v>
      </c>
      <c r="K581" s="25">
        <v>4</v>
      </c>
      <c r="L581" s="42">
        <v>2500</v>
      </c>
      <c r="M581" s="15">
        <v>1200</v>
      </c>
      <c r="N581" s="39">
        <f t="shared" si="27"/>
        <v>10000</v>
      </c>
      <c r="O581" s="39">
        <f t="shared" si="28"/>
        <v>5200</v>
      </c>
      <c r="P581" s="24" t="s">
        <v>2060</v>
      </c>
      <c r="Q581" s="24" t="s">
        <v>2024</v>
      </c>
      <c r="R581" s="1" t="s">
        <v>2013</v>
      </c>
      <c r="S581" s="15" t="s">
        <v>2082</v>
      </c>
      <c r="T581" s="15" t="s">
        <v>2442</v>
      </c>
      <c r="U581" s="25" t="s">
        <v>2087</v>
      </c>
      <c r="V581" s="25" t="s">
        <v>2435</v>
      </c>
      <c r="W581" s="80">
        <v>45142</v>
      </c>
      <c r="X581" s="21" t="s">
        <v>2819</v>
      </c>
    </row>
    <row r="582" spans="1:24" x14ac:dyDescent="0.2">
      <c r="A582" s="1">
        <v>573</v>
      </c>
      <c r="B582" s="1" t="s">
        <v>307</v>
      </c>
      <c r="C582" s="1" t="s">
        <v>2782</v>
      </c>
      <c r="D582" s="1" t="s">
        <v>287</v>
      </c>
      <c r="E582" s="15" t="s">
        <v>823</v>
      </c>
      <c r="F582" s="66" t="s">
        <v>937</v>
      </c>
      <c r="G582" s="24" t="s">
        <v>2793</v>
      </c>
      <c r="H582" s="15" t="s">
        <v>2788</v>
      </c>
      <c r="I582" s="16">
        <v>39</v>
      </c>
      <c r="J582" s="16" t="str">
        <f t="shared" si="29"/>
        <v>Middle Age</v>
      </c>
      <c r="K582" s="25">
        <v>1</v>
      </c>
      <c r="L582" s="42">
        <f>5530+550</f>
        <v>6080</v>
      </c>
      <c r="M582" s="15">
        <f>3100+450</f>
        <v>3550</v>
      </c>
      <c r="N582" s="39">
        <f t="shared" si="27"/>
        <v>6080</v>
      </c>
      <c r="O582" s="39">
        <f t="shared" si="28"/>
        <v>2530</v>
      </c>
      <c r="P582" s="24" t="s">
        <v>2017</v>
      </c>
      <c r="Q582" s="24" t="s">
        <v>2016</v>
      </c>
      <c r="R582" s="1" t="s">
        <v>2013</v>
      </c>
      <c r="S582" s="15" t="s">
        <v>2082</v>
      </c>
      <c r="T582" s="15" t="s">
        <v>2442</v>
      </c>
      <c r="U582" s="25" t="s">
        <v>2084</v>
      </c>
      <c r="V582" s="25" t="s">
        <v>2434</v>
      </c>
      <c r="W582" s="80">
        <v>45192</v>
      </c>
      <c r="X582" s="21" t="s">
        <v>2820</v>
      </c>
    </row>
    <row r="583" spans="1:24" x14ac:dyDescent="0.2">
      <c r="A583" s="1">
        <v>574</v>
      </c>
      <c r="B583" s="1" t="s">
        <v>39</v>
      </c>
      <c r="C583" s="1" t="s">
        <v>2782</v>
      </c>
      <c r="D583" s="1" t="s">
        <v>2601</v>
      </c>
      <c r="E583" s="15" t="s">
        <v>828</v>
      </c>
      <c r="F583" s="67" t="s">
        <v>978</v>
      </c>
      <c r="G583" s="24" t="s">
        <v>2791</v>
      </c>
      <c r="H583" s="15" t="s">
        <v>2789</v>
      </c>
      <c r="I583" s="16">
        <v>31</v>
      </c>
      <c r="J583" s="16" t="str">
        <f t="shared" si="29"/>
        <v>Young</v>
      </c>
      <c r="K583" s="25">
        <v>5</v>
      </c>
      <c r="L583" s="42">
        <v>500</v>
      </c>
      <c r="M583" s="15">
        <v>235</v>
      </c>
      <c r="N583" s="39">
        <f t="shared" si="27"/>
        <v>2500</v>
      </c>
      <c r="O583" s="39">
        <f t="shared" si="28"/>
        <v>1325</v>
      </c>
      <c r="P583" s="24" t="s">
        <v>2025</v>
      </c>
      <c r="Q583" s="24" t="s">
        <v>2024</v>
      </c>
      <c r="R583" s="1" t="s">
        <v>2013</v>
      </c>
      <c r="S583" s="15" t="s">
        <v>2082</v>
      </c>
      <c r="T583" s="15" t="s">
        <v>2442</v>
      </c>
      <c r="U583" s="25" t="s">
        <v>2089</v>
      </c>
      <c r="V583" s="25" t="s">
        <v>2436</v>
      </c>
      <c r="W583" s="80">
        <v>44994</v>
      </c>
      <c r="X583" s="21" t="s">
        <v>2816</v>
      </c>
    </row>
    <row r="584" spans="1:24" x14ac:dyDescent="0.2">
      <c r="A584" s="1">
        <v>575</v>
      </c>
      <c r="B584" s="1" t="s">
        <v>308</v>
      </c>
      <c r="C584" s="1" t="s">
        <v>2782</v>
      </c>
      <c r="D584" s="1" t="s">
        <v>2602</v>
      </c>
      <c r="E584" s="15" t="s">
        <v>822</v>
      </c>
      <c r="F584" s="66" t="s">
        <v>967</v>
      </c>
      <c r="G584" s="24" t="s">
        <v>2795</v>
      </c>
      <c r="H584" s="15" t="s">
        <v>2789</v>
      </c>
      <c r="I584" s="16">
        <v>44</v>
      </c>
      <c r="J584" s="16" t="str">
        <f t="shared" si="29"/>
        <v>Middle Age</v>
      </c>
      <c r="K584" s="25">
        <v>3</v>
      </c>
      <c r="L584" s="42">
        <v>2780</v>
      </c>
      <c r="M584" s="15">
        <v>1700</v>
      </c>
      <c r="N584" s="39">
        <f t="shared" si="27"/>
        <v>8340</v>
      </c>
      <c r="O584" s="39">
        <f t="shared" si="28"/>
        <v>3240</v>
      </c>
      <c r="P584" s="24" t="s">
        <v>2025</v>
      </c>
      <c r="Q584" s="24" t="s">
        <v>2024</v>
      </c>
      <c r="R584" s="1" t="s">
        <v>2013</v>
      </c>
      <c r="S584" s="15" t="s">
        <v>2082</v>
      </c>
      <c r="T584" s="15" t="s">
        <v>2442</v>
      </c>
      <c r="U584" s="25" t="s">
        <v>2086</v>
      </c>
      <c r="V584" s="25" t="s">
        <v>2437</v>
      </c>
      <c r="W584" s="80">
        <v>45071</v>
      </c>
      <c r="X584" s="21" t="s">
        <v>2786</v>
      </c>
    </row>
    <row r="585" spans="1:24" x14ac:dyDescent="0.2">
      <c r="A585" s="1">
        <v>576</v>
      </c>
      <c r="B585" s="1" t="s">
        <v>857</v>
      </c>
      <c r="C585" s="1" t="s">
        <v>2782</v>
      </c>
      <c r="D585" s="1" t="s">
        <v>2603</v>
      </c>
      <c r="E585" s="15" t="s">
        <v>828</v>
      </c>
      <c r="F585" s="67" t="s">
        <v>979</v>
      </c>
      <c r="G585" s="24" t="s">
        <v>2797</v>
      </c>
      <c r="H585" s="15" t="s">
        <v>2788</v>
      </c>
      <c r="I585" s="16">
        <v>26</v>
      </c>
      <c r="J585" s="16" t="str">
        <f t="shared" si="29"/>
        <v>Young</v>
      </c>
      <c r="K585" s="25">
        <v>2</v>
      </c>
      <c r="L585" s="42">
        <v>700</v>
      </c>
      <c r="M585" s="15">
        <v>330</v>
      </c>
      <c r="N585" s="39">
        <f t="shared" si="27"/>
        <v>1400</v>
      </c>
      <c r="O585" s="39">
        <f t="shared" si="28"/>
        <v>740</v>
      </c>
      <c r="P585" s="24" t="s">
        <v>2049</v>
      </c>
      <c r="Q585" s="24" t="s">
        <v>2016</v>
      </c>
      <c r="R585" s="1" t="s">
        <v>2013</v>
      </c>
      <c r="S585" s="15" t="s">
        <v>2082</v>
      </c>
      <c r="T585" s="15" t="s">
        <v>2442</v>
      </c>
      <c r="U585" s="25" t="s">
        <v>2087</v>
      </c>
      <c r="V585" s="25" t="s">
        <v>2435</v>
      </c>
      <c r="W585" s="80">
        <v>45209</v>
      </c>
      <c r="X585" s="21" t="s">
        <v>2821</v>
      </c>
    </row>
    <row r="586" spans="1:24" x14ac:dyDescent="0.2">
      <c r="A586" s="1">
        <v>577</v>
      </c>
      <c r="B586" s="1" t="s">
        <v>310</v>
      </c>
      <c r="C586" s="1" t="s">
        <v>2782</v>
      </c>
      <c r="D586" s="1" t="s">
        <v>309</v>
      </c>
      <c r="E586" s="15" t="s">
        <v>823</v>
      </c>
      <c r="F586" s="66" t="s">
        <v>968</v>
      </c>
      <c r="G586" s="24" t="s">
        <v>2799</v>
      </c>
      <c r="H586" s="15" t="s">
        <v>2788</v>
      </c>
      <c r="I586" s="16">
        <v>48</v>
      </c>
      <c r="J586" s="16" t="str">
        <f t="shared" si="29"/>
        <v>Middle Age</v>
      </c>
      <c r="K586" s="25">
        <v>4</v>
      </c>
      <c r="L586" s="42">
        <f>2320+200</f>
        <v>2520</v>
      </c>
      <c r="M586" s="15">
        <f>1080+100</f>
        <v>1180</v>
      </c>
      <c r="N586" s="39">
        <f t="shared" si="27"/>
        <v>10080</v>
      </c>
      <c r="O586" s="39">
        <f t="shared" si="28"/>
        <v>5360</v>
      </c>
      <c r="P586" s="24" t="s">
        <v>2019</v>
      </c>
      <c r="Q586" s="24" t="s">
        <v>2014</v>
      </c>
      <c r="R586" s="1" t="s">
        <v>2013</v>
      </c>
      <c r="S586" s="15" t="s">
        <v>2082</v>
      </c>
      <c r="T586" s="15" t="s">
        <v>2442</v>
      </c>
      <c r="U586" s="25" t="s">
        <v>2083</v>
      </c>
      <c r="V586" s="25" t="s">
        <v>2436</v>
      </c>
      <c r="W586" s="80">
        <v>45185</v>
      </c>
      <c r="X586" s="21" t="s">
        <v>2820</v>
      </c>
    </row>
    <row r="587" spans="1:24" x14ac:dyDescent="0.2">
      <c r="A587" s="1">
        <v>578</v>
      </c>
      <c r="B587" s="1" t="s">
        <v>8</v>
      </c>
      <c r="C587" s="1" t="s">
        <v>2782</v>
      </c>
      <c r="D587" s="1" t="s">
        <v>2604</v>
      </c>
      <c r="E587" s="15" t="s">
        <v>823</v>
      </c>
      <c r="F587" s="67" t="s">
        <v>980</v>
      </c>
      <c r="G587" s="24" t="s">
        <v>2801</v>
      </c>
      <c r="H587" s="15" t="s">
        <v>2788</v>
      </c>
      <c r="I587" s="16">
        <v>53</v>
      </c>
      <c r="J587" s="16" t="str">
        <f t="shared" si="29"/>
        <v>Old</v>
      </c>
      <c r="K587" s="25">
        <v>1</v>
      </c>
      <c r="L587" s="42">
        <f>150*7+M587</f>
        <v>1580</v>
      </c>
      <c r="M587" s="15">
        <f>3*130+30+20+90</f>
        <v>530</v>
      </c>
      <c r="N587" s="39">
        <f t="shared" si="27"/>
        <v>1580</v>
      </c>
      <c r="O587" s="39">
        <f t="shared" si="28"/>
        <v>1050</v>
      </c>
      <c r="P587" s="24" t="s">
        <v>2034</v>
      </c>
      <c r="Q587" s="24" t="s">
        <v>2016</v>
      </c>
      <c r="R587" s="1" t="s">
        <v>2013</v>
      </c>
      <c r="S587" s="15" t="s">
        <v>2082</v>
      </c>
      <c r="T587" s="15" t="s">
        <v>2442</v>
      </c>
      <c r="U587" s="25" t="s">
        <v>2088</v>
      </c>
      <c r="V587" s="25" t="s">
        <v>2434</v>
      </c>
      <c r="W587" s="80">
        <v>44966</v>
      </c>
      <c r="X587" s="21" t="s">
        <v>2817</v>
      </c>
    </row>
    <row r="588" spans="1:24" x14ac:dyDescent="0.2">
      <c r="A588" s="1">
        <v>579</v>
      </c>
      <c r="B588" s="1" t="s">
        <v>311</v>
      </c>
      <c r="C588" s="1" t="s">
        <v>2782</v>
      </c>
      <c r="D588" s="1" t="s">
        <v>2605</v>
      </c>
      <c r="E588" s="15" t="s">
        <v>828</v>
      </c>
      <c r="F588" s="66" t="s">
        <v>969</v>
      </c>
      <c r="G588" s="24" t="s">
        <v>2803</v>
      </c>
      <c r="H588" s="15" t="s">
        <v>2788</v>
      </c>
      <c r="I588" s="16">
        <v>30</v>
      </c>
      <c r="J588" s="16" t="str">
        <f t="shared" si="29"/>
        <v>Young</v>
      </c>
      <c r="K588" s="25">
        <v>5</v>
      </c>
      <c r="L588" s="42">
        <v>2800</v>
      </c>
      <c r="M588" s="15">
        <v>1600</v>
      </c>
      <c r="N588" s="39">
        <f t="shared" si="27"/>
        <v>14000</v>
      </c>
      <c r="O588" s="39">
        <f t="shared" si="28"/>
        <v>6000</v>
      </c>
      <c r="P588" s="24" t="s">
        <v>2043</v>
      </c>
      <c r="Q588" s="24" t="s">
        <v>2016</v>
      </c>
      <c r="R588" s="1" t="s">
        <v>2013</v>
      </c>
      <c r="S588" s="15" t="s">
        <v>2082</v>
      </c>
      <c r="T588" s="15" t="s">
        <v>2442</v>
      </c>
      <c r="U588" s="25" t="s">
        <v>2085</v>
      </c>
      <c r="V588" s="25" t="s">
        <v>2437</v>
      </c>
      <c r="W588" s="80">
        <v>45128</v>
      </c>
      <c r="X588" s="21" t="s">
        <v>2813</v>
      </c>
    </row>
    <row r="589" spans="1:24" x14ac:dyDescent="0.2">
      <c r="A589" s="1">
        <v>580</v>
      </c>
      <c r="B589" s="1" t="s">
        <v>312</v>
      </c>
      <c r="C589" s="1" t="s">
        <v>2782</v>
      </c>
      <c r="D589" s="1" t="s">
        <v>287</v>
      </c>
      <c r="E589" s="15" t="s">
        <v>822</v>
      </c>
      <c r="F589" s="67" t="s">
        <v>970</v>
      </c>
      <c r="G589" s="24" t="s">
        <v>2805</v>
      </c>
      <c r="H589" s="15" t="s">
        <v>2788</v>
      </c>
      <c r="I589" s="16">
        <v>37</v>
      </c>
      <c r="J589" s="16" t="str">
        <f t="shared" si="29"/>
        <v>Middle Age</v>
      </c>
      <c r="K589" s="25">
        <v>2</v>
      </c>
      <c r="L589" s="42">
        <f>6600+550</f>
        <v>7150</v>
      </c>
      <c r="M589" s="15">
        <f>3900+450</f>
        <v>4350</v>
      </c>
      <c r="N589" s="39">
        <f t="shared" si="27"/>
        <v>14300</v>
      </c>
      <c r="O589" s="39">
        <f t="shared" si="28"/>
        <v>5600</v>
      </c>
      <c r="P589" s="24" t="s">
        <v>2056</v>
      </c>
      <c r="Q589" s="24" t="s">
        <v>2024</v>
      </c>
      <c r="R589" s="1" t="s">
        <v>2013</v>
      </c>
      <c r="S589" s="15" t="s">
        <v>2082</v>
      </c>
      <c r="T589" s="15" t="s">
        <v>2442</v>
      </c>
      <c r="U589" s="25" t="s">
        <v>2090</v>
      </c>
      <c r="V589" s="25" t="s">
        <v>2435</v>
      </c>
      <c r="W589" s="80">
        <v>45067</v>
      </c>
      <c r="X589" s="21" t="s">
        <v>2786</v>
      </c>
    </row>
    <row r="590" spans="1:24" x14ac:dyDescent="0.2">
      <c r="A590" s="1">
        <v>581</v>
      </c>
      <c r="B590" s="1" t="s">
        <v>555</v>
      </c>
      <c r="C590" s="1" t="s">
        <v>2782</v>
      </c>
      <c r="D590" s="1" t="s">
        <v>2606</v>
      </c>
      <c r="E590" s="15" t="s">
        <v>817</v>
      </c>
      <c r="F590" s="66" t="s">
        <v>970</v>
      </c>
      <c r="G590" s="24" t="s">
        <v>2807</v>
      </c>
      <c r="H590" s="15" t="s">
        <v>2788</v>
      </c>
      <c r="I590" s="16">
        <v>42</v>
      </c>
      <c r="J590" s="16" t="str">
        <f t="shared" si="29"/>
        <v>Middle Age</v>
      </c>
      <c r="K590" s="25">
        <v>3</v>
      </c>
      <c r="L590" s="42">
        <v>500</v>
      </c>
      <c r="M590" s="15">
        <v>195</v>
      </c>
      <c r="N590" s="39">
        <f t="shared" si="27"/>
        <v>1500</v>
      </c>
      <c r="O590" s="39">
        <f t="shared" si="28"/>
        <v>915</v>
      </c>
      <c r="P590" s="24" t="s">
        <v>2056</v>
      </c>
      <c r="Q590" s="24" t="s">
        <v>2024</v>
      </c>
      <c r="R590" s="1" t="s">
        <v>2013</v>
      </c>
      <c r="S590" s="15" t="s">
        <v>2082</v>
      </c>
      <c r="T590" s="15" t="s">
        <v>2442</v>
      </c>
      <c r="U590" s="25" t="s">
        <v>2088</v>
      </c>
      <c r="V590" s="25" t="s">
        <v>2434</v>
      </c>
      <c r="W590" s="80">
        <v>45209</v>
      </c>
      <c r="X590" s="21" t="s">
        <v>2821</v>
      </c>
    </row>
    <row r="591" spans="1:24" x14ac:dyDescent="0.2">
      <c r="A591" s="1">
        <v>582</v>
      </c>
      <c r="B591" s="1" t="s">
        <v>186</v>
      </c>
      <c r="C591" s="1" t="s">
        <v>2782</v>
      </c>
      <c r="D591" s="1" t="s">
        <v>313</v>
      </c>
      <c r="E591" s="15" t="s">
        <v>823</v>
      </c>
      <c r="F591" s="67" t="s">
        <v>25</v>
      </c>
      <c r="G591" s="24" t="s">
        <v>2809</v>
      </c>
      <c r="H591" s="15" t="s">
        <v>2789</v>
      </c>
      <c r="I591" s="16">
        <v>24</v>
      </c>
      <c r="J591" s="16" t="str">
        <f t="shared" si="29"/>
        <v>Young</v>
      </c>
      <c r="K591" s="25">
        <v>4</v>
      </c>
      <c r="L591" s="42">
        <v>2500</v>
      </c>
      <c r="M591" s="15">
        <v>1200</v>
      </c>
      <c r="N591" s="39">
        <f t="shared" si="27"/>
        <v>10000</v>
      </c>
      <c r="O591" s="39">
        <f t="shared" si="28"/>
        <v>5200</v>
      </c>
      <c r="P591" s="24" t="s">
        <v>2034</v>
      </c>
      <c r="Q591" s="24" t="s">
        <v>2016</v>
      </c>
      <c r="R591" s="1" t="s">
        <v>2013</v>
      </c>
      <c r="S591" s="15" t="s">
        <v>2082</v>
      </c>
      <c r="T591" s="15" t="s">
        <v>2442</v>
      </c>
      <c r="U591" s="25" t="s">
        <v>2086</v>
      </c>
      <c r="V591" s="25" t="s">
        <v>2436</v>
      </c>
      <c r="W591" s="80">
        <v>45195</v>
      </c>
      <c r="X591" s="21" t="s">
        <v>2820</v>
      </c>
    </row>
    <row r="592" spans="1:24" x14ac:dyDescent="0.2">
      <c r="A592" s="1">
        <v>583</v>
      </c>
      <c r="B592" s="1" t="s">
        <v>314</v>
      </c>
      <c r="C592" s="1" t="s">
        <v>2782</v>
      </c>
      <c r="D592" s="1" t="s">
        <v>2607</v>
      </c>
      <c r="E592" s="15" t="s">
        <v>823</v>
      </c>
      <c r="F592" s="66" t="s">
        <v>971</v>
      </c>
      <c r="G592" s="24" t="s">
        <v>2794</v>
      </c>
      <c r="H592" s="15" t="s">
        <v>2788</v>
      </c>
      <c r="I592" s="16">
        <v>57</v>
      </c>
      <c r="J592" s="16" t="str">
        <f t="shared" si="29"/>
        <v>Old</v>
      </c>
      <c r="K592" s="25">
        <v>1</v>
      </c>
      <c r="L592" s="42">
        <v>2770</v>
      </c>
      <c r="M592" s="15">
        <v>1150</v>
      </c>
      <c r="N592" s="39">
        <f t="shared" si="27"/>
        <v>2770</v>
      </c>
      <c r="O592" s="39">
        <f t="shared" si="28"/>
        <v>1620</v>
      </c>
      <c r="P592" s="24" t="s">
        <v>2040</v>
      </c>
      <c r="Q592" s="15" t="s">
        <v>2014</v>
      </c>
      <c r="R592" s="1" t="s">
        <v>2013</v>
      </c>
      <c r="S592" s="15" t="s">
        <v>2082</v>
      </c>
      <c r="T592" s="15" t="s">
        <v>2442</v>
      </c>
      <c r="U592" s="25" t="s">
        <v>2084</v>
      </c>
      <c r="V592" s="25" t="s">
        <v>2437</v>
      </c>
      <c r="W592" s="80">
        <v>45117</v>
      </c>
      <c r="X592" s="21" t="s">
        <v>2813</v>
      </c>
    </row>
    <row r="593" spans="1:24" x14ac:dyDescent="0.2">
      <c r="A593" s="1">
        <v>584</v>
      </c>
      <c r="B593" s="1" t="s">
        <v>316</v>
      </c>
      <c r="C593" s="1" t="s">
        <v>2782</v>
      </c>
      <c r="D593" s="1" t="s">
        <v>315</v>
      </c>
      <c r="E593" s="15" t="s">
        <v>828</v>
      </c>
      <c r="F593" s="67" t="s">
        <v>881</v>
      </c>
      <c r="G593" s="24" t="s">
        <v>2792</v>
      </c>
      <c r="H593" s="15" t="s">
        <v>2789</v>
      </c>
      <c r="I593" s="16">
        <v>35</v>
      </c>
      <c r="J593" s="16" t="str">
        <f t="shared" si="29"/>
        <v>Young</v>
      </c>
      <c r="K593" s="25">
        <v>5</v>
      </c>
      <c r="L593" s="42">
        <v>3000</v>
      </c>
      <c r="M593" s="15">
        <v>1300</v>
      </c>
      <c r="N593" s="39">
        <f t="shared" si="27"/>
        <v>15000</v>
      </c>
      <c r="O593" s="39">
        <f t="shared" si="28"/>
        <v>8500</v>
      </c>
      <c r="P593" s="24" t="s">
        <v>2036</v>
      </c>
      <c r="Q593" s="24" t="s">
        <v>2014</v>
      </c>
      <c r="R593" s="1" t="s">
        <v>2013</v>
      </c>
      <c r="S593" s="15" t="s">
        <v>2082</v>
      </c>
      <c r="T593" s="15" t="s">
        <v>2442</v>
      </c>
      <c r="U593" s="25" t="s">
        <v>2090</v>
      </c>
      <c r="V593" s="25" t="s">
        <v>2435</v>
      </c>
      <c r="W593" s="80">
        <v>44972</v>
      </c>
      <c r="X593" s="21" t="s">
        <v>2817</v>
      </c>
    </row>
    <row r="594" spans="1:24" x14ac:dyDescent="0.2">
      <c r="A594" s="1">
        <v>585</v>
      </c>
      <c r="B594" s="1" t="s">
        <v>317</v>
      </c>
      <c r="C594" s="1" t="s">
        <v>2782</v>
      </c>
      <c r="D594" s="1" t="s">
        <v>2608</v>
      </c>
      <c r="E594" s="15" t="s">
        <v>822</v>
      </c>
      <c r="F594" s="66" t="s">
        <v>972</v>
      </c>
      <c r="G594" s="24" t="s">
        <v>2796</v>
      </c>
      <c r="H594" s="15" t="s">
        <v>2788</v>
      </c>
      <c r="I594" s="16">
        <v>40</v>
      </c>
      <c r="J594" s="16" t="str">
        <f t="shared" si="29"/>
        <v>Middle Age</v>
      </c>
      <c r="K594" s="25">
        <v>3</v>
      </c>
      <c r="L594" s="42">
        <v>3410</v>
      </c>
      <c r="M594" s="15">
        <f>850+95+200</f>
        <v>1145</v>
      </c>
      <c r="N594" s="39">
        <f t="shared" si="27"/>
        <v>10230</v>
      </c>
      <c r="O594" s="39">
        <f t="shared" si="28"/>
        <v>6795</v>
      </c>
      <c r="P594" s="24" t="s">
        <v>2038</v>
      </c>
      <c r="Q594" s="15" t="s">
        <v>2016</v>
      </c>
      <c r="R594" s="1" t="s">
        <v>2013</v>
      </c>
      <c r="S594" s="15" t="s">
        <v>2082</v>
      </c>
      <c r="T594" s="15" t="s">
        <v>2442</v>
      </c>
      <c r="U594" s="25" t="s">
        <v>2087</v>
      </c>
      <c r="V594" s="25" t="s">
        <v>2436</v>
      </c>
      <c r="W594" s="80">
        <v>45247</v>
      </c>
      <c r="X594" s="21" t="s">
        <v>2823</v>
      </c>
    </row>
    <row r="595" spans="1:24" x14ac:dyDescent="0.2">
      <c r="A595" s="1">
        <v>586</v>
      </c>
      <c r="B595" s="1" t="s">
        <v>319</v>
      </c>
      <c r="C595" s="1" t="s">
        <v>2782</v>
      </c>
      <c r="D595" s="1" t="s">
        <v>318</v>
      </c>
      <c r="E595" s="15" t="s">
        <v>822</v>
      </c>
      <c r="F595" s="67" t="s">
        <v>981</v>
      </c>
      <c r="G595" s="24" t="s">
        <v>2798</v>
      </c>
      <c r="H595" s="15" t="s">
        <v>2789</v>
      </c>
      <c r="I595" s="16">
        <v>21</v>
      </c>
      <c r="J595" s="16" t="str">
        <f t="shared" si="29"/>
        <v>Young</v>
      </c>
      <c r="K595" s="25">
        <v>2</v>
      </c>
      <c r="L595" s="42">
        <v>5700</v>
      </c>
      <c r="M595" s="15">
        <f>3200+250</f>
        <v>3450</v>
      </c>
      <c r="N595" s="39">
        <f t="shared" si="27"/>
        <v>11400</v>
      </c>
      <c r="O595" s="39">
        <f t="shared" si="28"/>
        <v>4500</v>
      </c>
      <c r="P595" s="24" t="s">
        <v>2060</v>
      </c>
      <c r="Q595" s="24" t="s">
        <v>2024</v>
      </c>
      <c r="R595" s="1" t="s">
        <v>2013</v>
      </c>
      <c r="S595" s="15" t="s">
        <v>2082</v>
      </c>
      <c r="T595" s="15" t="s">
        <v>2442</v>
      </c>
      <c r="U595" s="25" t="s">
        <v>2088</v>
      </c>
      <c r="V595" s="25" t="s">
        <v>2434</v>
      </c>
      <c r="W595" s="80">
        <v>45283</v>
      </c>
      <c r="X595" s="21" t="s">
        <v>2822</v>
      </c>
    </row>
    <row r="596" spans="1:24" x14ac:dyDescent="0.2">
      <c r="A596" s="1">
        <v>587</v>
      </c>
      <c r="B596" s="1" t="s">
        <v>555</v>
      </c>
      <c r="C596" s="1" t="s">
        <v>2782</v>
      </c>
      <c r="D596" s="1" t="s">
        <v>2609</v>
      </c>
      <c r="E596" s="15" t="s">
        <v>863</v>
      </c>
      <c r="F596" s="66" t="s">
        <v>973</v>
      </c>
      <c r="G596" s="24" t="s">
        <v>2800</v>
      </c>
      <c r="H596" s="15" t="s">
        <v>2788</v>
      </c>
      <c r="I596" s="16">
        <v>59</v>
      </c>
      <c r="J596" s="16" t="str">
        <f t="shared" si="29"/>
        <v>Old</v>
      </c>
      <c r="K596" s="25">
        <v>4</v>
      </c>
      <c r="L596" s="42">
        <v>500</v>
      </c>
      <c r="M596" s="15">
        <v>220</v>
      </c>
      <c r="N596" s="39">
        <f t="shared" si="27"/>
        <v>2000</v>
      </c>
      <c r="O596" s="39">
        <f t="shared" si="28"/>
        <v>1120</v>
      </c>
      <c r="P596" s="24" t="s">
        <v>2022</v>
      </c>
      <c r="Q596" s="24" t="s">
        <v>2016</v>
      </c>
      <c r="R596" s="1" t="s">
        <v>2013</v>
      </c>
      <c r="S596" s="15" t="s">
        <v>2082</v>
      </c>
      <c r="T596" s="15" t="s">
        <v>2442</v>
      </c>
      <c r="U596" s="25" t="s">
        <v>2085</v>
      </c>
      <c r="V596" s="25" t="s">
        <v>2437</v>
      </c>
      <c r="W596" s="80">
        <v>45184</v>
      </c>
      <c r="X596" s="21" t="s">
        <v>2820</v>
      </c>
    </row>
    <row r="597" spans="1:24" x14ac:dyDescent="0.2">
      <c r="A597" s="1">
        <v>588</v>
      </c>
      <c r="B597" s="1" t="s">
        <v>320</v>
      </c>
      <c r="C597" s="1" t="s">
        <v>2782</v>
      </c>
      <c r="D597" s="1" t="s">
        <v>278</v>
      </c>
      <c r="E597" s="35" t="s">
        <v>864</v>
      </c>
      <c r="F597" s="66" t="s">
        <v>321</v>
      </c>
      <c r="G597" s="24" t="s">
        <v>2802</v>
      </c>
      <c r="H597" s="15" t="s">
        <v>2788</v>
      </c>
      <c r="I597" s="16">
        <v>32</v>
      </c>
      <c r="J597" s="16" t="str">
        <f t="shared" si="29"/>
        <v>Young</v>
      </c>
      <c r="K597" s="25">
        <v>1</v>
      </c>
      <c r="L597" s="42">
        <v>2770</v>
      </c>
      <c r="M597" s="15">
        <v>1470</v>
      </c>
      <c r="N597" s="39">
        <f t="shared" si="27"/>
        <v>2770</v>
      </c>
      <c r="O597" s="39">
        <f t="shared" si="28"/>
        <v>1300</v>
      </c>
      <c r="P597" s="24" t="s">
        <v>2047</v>
      </c>
      <c r="Q597" s="24" t="s">
        <v>2024</v>
      </c>
      <c r="R597" s="1" t="s">
        <v>2013</v>
      </c>
      <c r="S597" s="15" t="s">
        <v>2082</v>
      </c>
      <c r="T597" s="15" t="s">
        <v>2442</v>
      </c>
      <c r="U597" s="25" t="s">
        <v>2086</v>
      </c>
      <c r="V597" s="25" t="s">
        <v>2435</v>
      </c>
      <c r="W597" s="80">
        <v>45062</v>
      </c>
      <c r="X597" s="21" t="s">
        <v>2786</v>
      </c>
    </row>
    <row r="598" spans="1:24" x14ac:dyDescent="0.2">
      <c r="A598" s="1">
        <v>589</v>
      </c>
      <c r="B598" s="1" t="s">
        <v>322</v>
      </c>
      <c r="C598" s="1" t="s">
        <v>2782</v>
      </c>
      <c r="D598" s="1" t="s">
        <v>161</v>
      </c>
      <c r="E598" s="35" t="s">
        <v>823</v>
      </c>
      <c r="F598" s="66" t="s">
        <v>982</v>
      </c>
      <c r="G598" s="24" t="s">
        <v>2804</v>
      </c>
      <c r="H598" s="15" t="s">
        <v>2788</v>
      </c>
      <c r="I598" s="16">
        <v>46</v>
      </c>
      <c r="J598" s="16" t="str">
        <f t="shared" si="29"/>
        <v>Middle Age</v>
      </c>
      <c r="K598" s="25">
        <v>5</v>
      </c>
      <c r="L598" s="42">
        <v>6700</v>
      </c>
      <c r="M598" s="15">
        <f>2850+460+250</f>
        <v>3560</v>
      </c>
      <c r="N598" s="39">
        <f t="shared" si="27"/>
        <v>33500</v>
      </c>
      <c r="O598" s="39">
        <f t="shared" si="28"/>
        <v>15700</v>
      </c>
      <c r="P598" s="24" t="s">
        <v>2058</v>
      </c>
      <c r="Q598" s="24" t="s">
        <v>2020</v>
      </c>
      <c r="R598" s="1" t="s">
        <v>2013</v>
      </c>
      <c r="S598" s="15" t="s">
        <v>2082</v>
      </c>
      <c r="T598" s="15" t="s">
        <v>2442</v>
      </c>
      <c r="U598" s="25" t="s">
        <v>2090</v>
      </c>
      <c r="V598" s="25" t="s">
        <v>2434</v>
      </c>
      <c r="W598" s="80">
        <v>45036</v>
      </c>
      <c r="X598" s="21" t="s">
        <v>2815</v>
      </c>
    </row>
    <row r="599" spans="1:24" x14ac:dyDescent="0.2">
      <c r="A599" s="1">
        <v>590</v>
      </c>
      <c r="B599" s="1" t="s">
        <v>324</v>
      </c>
      <c r="C599" s="1" t="s">
        <v>2782</v>
      </c>
      <c r="D599" s="1" t="s">
        <v>323</v>
      </c>
      <c r="E599" s="35" t="s">
        <v>823</v>
      </c>
      <c r="F599" s="66" t="s">
        <v>904</v>
      </c>
      <c r="G599" s="24" t="s">
        <v>2806</v>
      </c>
      <c r="H599" s="15" t="s">
        <v>2788</v>
      </c>
      <c r="I599" s="16">
        <v>54</v>
      </c>
      <c r="J599" s="16" t="str">
        <f t="shared" si="29"/>
        <v>Old</v>
      </c>
      <c r="K599" s="25">
        <v>3</v>
      </c>
      <c r="L599" s="42">
        <f>3700</f>
        <v>3700</v>
      </c>
      <c r="M599" s="15">
        <f>2500</f>
        <v>2500</v>
      </c>
      <c r="N599" s="39">
        <f t="shared" si="27"/>
        <v>11100</v>
      </c>
      <c r="O599" s="39">
        <f t="shared" si="28"/>
        <v>3600</v>
      </c>
      <c r="P599" s="24" t="s">
        <v>2023</v>
      </c>
      <c r="Q599" s="15" t="s">
        <v>2828</v>
      </c>
      <c r="R599" s="1" t="s">
        <v>2013</v>
      </c>
      <c r="S599" s="15" t="s">
        <v>2082</v>
      </c>
      <c r="T599" s="15" t="s">
        <v>2442</v>
      </c>
      <c r="U599" s="25" t="s">
        <v>2087</v>
      </c>
      <c r="V599" s="25" t="s">
        <v>2436</v>
      </c>
      <c r="W599" s="80">
        <v>45117</v>
      </c>
      <c r="X599" s="21" t="s">
        <v>2813</v>
      </c>
    </row>
    <row r="600" spans="1:24" x14ac:dyDescent="0.2">
      <c r="A600" s="1">
        <v>591</v>
      </c>
      <c r="B600" s="1" t="s">
        <v>326</v>
      </c>
      <c r="C600" s="1" t="s">
        <v>2782</v>
      </c>
      <c r="D600" s="1" t="s">
        <v>325</v>
      </c>
      <c r="E600" s="35" t="s">
        <v>863</v>
      </c>
      <c r="F600" s="66" t="s">
        <v>983</v>
      </c>
      <c r="G600" s="24" t="s">
        <v>2808</v>
      </c>
      <c r="H600" s="15" t="s">
        <v>2789</v>
      </c>
      <c r="I600" s="16">
        <v>25</v>
      </c>
      <c r="J600" s="16" t="str">
        <f t="shared" si="29"/>
        <v>Young</v>
      </c>
      <c r="K600" s="25">
        <v>1</v>
      </c>
      <c r="L600" s="42">
        <v>1880</v>
      </c>
      <c r="M600" s="15">
        <v>1100</v>
      </c>
      <c r="N600" s="39">
        <f t="shared" si="27"/>
        <v>1880</v>
      </c>
      <c r="O600" s="39">
        <f t="shared" si="28"/>
        <v>780</v>
      </c>
      <c r="P600" s="24" t="s">
        <v>2032</v>
      </c>
      <c r="Q600" s="15" t="s">
        <v>2016</v>
      </c>
      <c r="R600" s="1" t="s">
        <v>2013</v>
      </c>
      <c r="S600" s="15" t="s">
        <v>2082</v>
      </c>
      <c r="T600" s="15" t="s">
        <v>2442</v>
      </c>
      <c r="U600" s="25" t="s">
        <v>2087</v>
      </c>
      <c r="V600" s="25" t="s">
        <v>2437</v>
      </c>
      <c r="W600" s="80">
        <v>44957</v>
      </c>
      <c r="X600" s="21" t="s">
        <v>2818</v>
      </c>
    </row>
    <row r="601" spans="1:24" x14ac:dyDescent="0.2">
      <c r="A601" s="1">
        <v>592</v>
      </c>
      <c r="B601" s="1" t="s">
        <v>62</v>
      </c>
      <c r="C601" s="1" t="s">
        <v>2782</v>
      </c>
      <c r="D601" s="1" t="s">
        <v>327</v>
      </c>
      <c r="E601" s="35" t="s">
        <v>822</v>
      </c>
      <c r="F601" s="66" t="s">
        <v>914</v>
      </c>
      <c r="G601" s="24" t="s">
        <v>2810</v>
      </c>
      <c r="H601" s="15" t="s">
        <v>2789</v>
      </c>
      <c r="I601" s="16">
        <v>43</v>
      </c>
      <c r="J601" s="16" t="str">
        <f t="shared" si="29"/>
        <v>Middle Age</v>
      </c>
      <c r="K601" s="25">
        <v>2</v>
      </c>
      <c r="L601" s="42">
        <v>1880</v>
      </c>
      <c r="M601" s="15">
        <v>1100</v>
      </c>
      <c r="N601" s="39">
        <f t="shared" si="27"/>
        <v>3760</v>
      </c>
      <c r="O601" s="39">
        <f t="shared" si="28"/>
        <v>1560</v>
      </c>
      <c r="P601" s="24" t="s">
        <v>2038</v>
      </c>
      <c r="Q601" s="15" t="s">
        <v>2016</v>
      </c>
      <c r="R601" s="1" t="s">
        <v>2013</v>
      </c>
      <c r="S601" s="15" t="s">
        <v>2082</v>
      </c>
      <c r="T601" s="15" t="s">
        <v>2442</v>
      </c>
      <c r="U601" s="25" t="s">
        <v>2086</v>
      </c>
      <c r="V601" s="25" t="s">
        <v>2435</v>
      </c>
      <c r="W601" s="80">
        <v>44929</v>
      </c>
      <c r="X601" s="21" t="s">
        <v>2818</v>
      </c>
    </row>
    <row r="602" spans="1:24" x14ac:dyDescent="0.2">
      <c r="A602" s="1">
        <v>593</v>
      </c>
      <c r="B602" s="1" t="s">
        <v>329</v>
      </c>
      <c r="C602" s="1" t="s">
        <v>2782</v>
      </c>
      <c r="D602" s="1" t="s">
        <v>328</v>
      </c>
      <c r="E602" s="35" t="s">
        <v>864</v>
      </c>
      <c r="F602" s="66" t="s">
        <v>984</v>
      </c>
      <c r="G602" s="24" t="s">
        <v>2793</v>
      </c>
      <c r="H602" s="15" t="s">
        <v>2788</v>
      </c>
      <c r="I602" s="16">
        <v>58</v>
      </c>
      <c r="J602" s="16" t="str">
        <f t="shared" si="29"/>
        <v>Old</v>
      </c>
      <c r="K602" s="25">
        <v>4</v>
      </c>
      <c r="L602" s="42">
        <v>4340</v>
      </c>
      <c r="M602" s="15">
        <v>2450</v>
      </c>
      <c r="N602" s="39">
        <f t="shared" si="27"/>
        <v>17360</v>
      </c>
      <c r="O602" s="39">
        <f t="shared" si="28"/>
        <v>7560</v>
      </c>
      <c r="P602" s="24" t="s">
        <v>2040</v>
      </c>
      <c r="Q602" s="15" t="s">
        <v>2014</v>
      </c>
      <c r="R602" s="1" t="s">
        <v>2013</v>
      </c>
      <c r="S602" s="15" t="s">
        <v>2082</v>
      </c>
      <c r="T602" s="15" t="s">
        <v>2442</v>
      </c>
      <c r="U602" s="25" t="s">
        <v>2085</v>
      </c>
      <c r="V602" s="25" t="s">
        <v>2436</v>
      </c>
      <c r="W602" s="80">
        <v>45164</v>
      </c>
      <c r="X602" s="21" t="s">
        <v>2819</v>
      </c>
    </row>
    <row r="603" spans="1:24" x14ac:dyDescent="0.2">
      <c r="A603" s="1">
        <v>594</v>
      </c>
      <c r="B603" s="1" t="s">
        <v>231</v>
      </c>
      <c r="C603" s="1" t="s">
        <v>2782</v>
      </c>
      <c r="D603" s="1" t="s">
        <v>330</v>
      </c>
      <c r="E603" s="15" t="s">
        <v>863</v>
      </c>
      <c r="F603" s="66" t="s">
        <v>882</v>
      </c>
      <c r="G603" s="24" t="s">
        <v>2791</v>
      </c>
      <c r="H603" s="15" t="s">
        <v>2788</v>
      </c>
      <c r="I603" s="16">
        <v>20</v>
      </c>
      <c r="J603" s="16" t="str">
        <f t="shared" si="29"/>
        <v>Young</v>
      </c>
      <c r="K603" s="25">
        <v>5</v>
      </c>
      <c r="L603" s="42">
        <v>2970</v>
      </c>
      <c r="M603" s="15">
        <v>1470</v>
      </c>
      <c r="N603" s="39">
        <f t="shared" si="27"/>
        <v>14850</v>
      </c>
      <c r="O603" s="39">
        <f t="shared" si="28"/>
        <v>7500</v>
      </c>
      <c r="P603" s="24" t="s">
        <v>2042</v>
      </c>
      <c r="Q603" s="15" t="s">
        <v>2828</v>
      </c>
      <c r="R603" s="1" t="s">
        <v>2013</v>
      </c>
      <c r="S603" s="15" t="s">
        <v>2082</v>
      </c>
      <c r="T603" s="15" t="s">
        <v>2442</v>
      </c>
      <c r="U603" s="25" t="s">
        <v>2085</v>
      </c>
      <c r="V603" s="25" t="s">
        <v>2434</v>
      </c>
      <c r="W603" s="80">
        <v>45127</v>
      </c>
      <c r="X603" s="21" t="s">
        <v>2813</v>
      </c>
    </row>
    <row r="604" spans="1:24" x14ac:dyDescent="0.2">
      <c r="A604" s="1">
        <v>595</v>
      </c>
      <c r="B604" s="1" t="s">
        <v>332</v>
      </c>
      <c r="C604" s="1" t="s">
        <v>2782</v>
      </c>
      <c r="D604" s="1" t="s">
        <v>331</v>
      </c>
      <c r="E604" s="15" t="s">
        <v>864</v>
      </c>
      <c r="F604" s="66" t="s">
        <v>985</v>
      </c>
      <c r="G604" s="24" t="s">
        <v>2795</v>
      </c>
      <c r="H604" s="15" t="s">
        <v>2788</v>
      </c>
      <c r="I604" s="16">
        <v>49</v>
      </c>
      <c r="J604" s="16" t="str">
        <f t="shared" si="29"/>
        <v>Middle Age</v>
      </c>
      <c r="K604" s="25">
        <v>2</v>
      </c>
      <c r="L604" s="42">
        <v>4520</v>
      </c>
      <c r="M604" s="15">
        <f>2400+100</f>
        <v>2500</v>
      </c>
      <c r="N604" s="39">
        <f t="shared" si="27"/>
        <v>9040</v>
      </c>
      <c r="O604" s="39">
        <f t="shared" si="28"/>
        <v>4040</v>
      </c>
      <c r="P604" s="24" t="s">
        <v>2062</v>
      </c>
      <c r="Q604" s="15" t="s">
        <v>2828</v>
      </c>
      <c r="R604" s="1" t="s">
        <v>2013</v>
      </c>
      <c r="S604" s="15" t="s">
        <v>2082</v>
      </c>
      <c r="T604" s="15" t="s">
        <v>2442</v>
      </c>
      <c r="U604" s="25" t="s">
        <v>2089</v>
      </c>
      <c r="V604" s="25" t="s">
        <v>2437</v>
      </c>
      <c r="W604" s="80">
        <v>45131</v>
      </c>
      <c r="X604" s="21" t="s">
        <v>2813</v>
      </c>
    </row>
    <row r="605" spans="1:24" x14ac:dyDescent="0.2">
      <c r="A605" s="1">
        <v>596</v>
      </c>
      <c r="B605" s="1" t="s">
        <v>334</v>
      </c>
      <c r="C605" s="1" t="s">
        <v>2782</v>
      </c>
      <c r="D605" s="1" t="s">
        <v>333</v>
      </c>
      <c r="E605" s="35" t="s">
        <v>822</v>
      </c>
      <c r="F605" s="66" t="s">
        <v>945</v>
      </c>
      <c r="G605" s="24" t="s">
        <v>2797</v>
      </c>
      <c r="H605" s="15" t="s">
        <v>2788</v>
      </c>
      <c r="I605" s="16">
        <v>34</v>
      </c>
      <c r="J605" s="16" t="str">
        <f t="shared" si="29"/>
        <v>Young</v>
      </c>
      <c r="K605" s="25">
        <v>3</v>
      </c>
      <c r="L605" s="42">
        <v>2820</v>
      </c>
      <c r="M605" s="15">
        <f>1000-100</f>
        <v>900</v>
      </c>
      <c r="N605" s="39">
        <f t="shared" si="27"/>
        <v>8460</v>
      </c>
      <c r="O605" s="39">
        <f t="shared" si="28"/>
        <v>5760</v>
      </c>
      <c r="P605" s="24" t="s">
        <v>2060</v>
      </c>
      <c r="Q605" s="24" t="s">
        <v>2024</v>
      </c>
      <c r="R605" s="1" t="s">
        <v>2013</v>
      </c>
      <c r="S605" s="15" t="s">
        <v>2082</v>
      </c>
      <c r="T605" s="15" t="s">
        <v>2442</v>
      </c>
      <c r="U605" s="25" t="s">
        <v>2089</v>
      </c>
      <c r="V605" s="25" t="s">
        <v>2435</v>
      </c>
      <c r="W605" s="80">
        <v>45009</v>
      </c>
      <c r="X605" s="21" t="s">
        <v>2816</v>
      </c>
    </row>
    <row r="606" spans="1:24" x14ac:dyDescent="0.2">
      <c r="A606" s="1">
        <v>597</v>
      </c>
      <c r="B606" s="1" t="s">
        <v>335</v>
      </c>
      <c r="C606" s="1" t="s">
        <v>2782</v>
      </c>
      <c r="D606" s="1" t="s">
        <v>2554</v>
      </c>
      <c r="E606" s="15" t="s">
        <v>863</v>
      </c>
      <c r="F606" s="66" t="s">
        <v>986</v>
      </c>
      <c r="G606" s="24" t="s">
        <v>2799</v>
      </c>
      <c r="H606" s="15" t="s">
        <v>2789</v>
      </c>
      <c r="I606" s="16">
        <v>27</v>
      </c>
      <c r="J606" s="16" t="str">
        <f t="shared" si="29"/>
        <v>Young</v>
      </c>
      <c r="K606" s="25">
        <v>1</v>
      </c>
      <c r="L606" s="42">
        <v>2400</v>
      </c>
      <c r="M606" s="15">
        <v>1400</v>
      </c>
      <c r="N606" s="39">
        <f t="shared" si="27"/>
        <v>2400</v>
      </c>
      <c r="O606" s="39">
        <f t="shared" si="28"/>
        <v>1000</v>
      </c>
      <c r="P606" s="24" t="s">
        <v>2025</v>
      </c>
      <c r="Q606" s="24" t="s">
        <v>2024</v>
      </c>
      <c r="R606" s="1" t="s">
        <v>2013</v>
      </c>
      <c r="S606" s="15" t="s">
        <v>2082</v>
      </c>
      <c r="T606" s="15" t="s">
        <v>2442</v>
      </c>
      <c r="U606" s="25" t="s">
        <v>2090</v>
      </c>
      <c r="V606" s="25" t="s">
        <v>2434</v>
      </c>
      <c r="W606" s="80">
        <v>45106</v>
      </c>
      <c r="X606" s="21" t="s">
        <v>2814</v>
      </c>
    </row>
    <row r="607" spans="1:24" x14ac:dyDescent="0.2">
      <c r="A607" s="1">
        <v>598</v>
      </c>
      <c r="B607" s="1" t="s">
        <v>29</v>
      </c>
      <c r="C607" s="1" t="s">
        <v>2782</v>
      </c>
      <c r="D607" s="1" t="s">
        <v>336</v>
      </c>
      <c r="E607" s="15" t="s">
        <v>864</v>
      </c>
      <c r="F607" s="66" t="s">
        <v>996</v>
      </c>
      <c r="G607" s="24" t="s">
        <v>2801</v>
      </c>
      <c r="H607" s="15" t="s">
        <v>2788</v>
      </c>
      <c r="I607" s="16">
        <v>45</v>
      </c>
      <c r="J607" s="16" t="str">
        <f t="shared" si="29"/>
        <v>Middle Age</v>
      </c>
      <c r="K607" s="25">
        <v>4</v>
      </c>
      <c r="L607" s="42">
        <v>1650</v>
      </c>
      <c r="M607" s="15">
        <f>850-90</f>
        <v>760</v>
      </c>
      <c r="N607" s="39">
        <f t="shared" si="27"/>
        <v>6600</v>
      </c>
      <c r="O607" s="39">
        <f t="shared" si="28"/>
        <v>3560</v>
      </c>
      <c r="P607" s="24" t="s">
        <v>2028</v>
      </c>
      <c r="Q607" s="15" t="s">
        <v>2024</v>
      </c>
      <c r="R607" s="1" t="s">
        <v>2013</v>
      </c>
      <c r="S607" s="15" t="s">
        <v>2082</v>
      </c>
      <c r="T607" s="15" t="s">
        <v>2442</v>
      </c>
      <c r="U607" s="25" t="s">
        <v>2090</v>
      </c>
      <c r="V607" s="25" t="s">
        <v>2436</v>
      </c>
      <c r="W607" s="80">
        <v>45100</v>
      </c>
      <c r="X607" s="21" t="s">
        <v>2814</v>
      </c>
    </row>
    <row r="608" spans="1:24" x14ac:dyDescent="0.2">
      <c r="A608" s="1">
        <v>599</v>
      </c>
      <c r="B608" s="1" t="s">
        <v>81</v>
      </c>
      <c r="C608" s="1" t="s">
        <v>2782</v>
      </c>
      <c r="D608" s="1" t="s">
        <v>337</v>
      </c>
      <c r="E608" s="15" t="s">
        <v>822</v>
      </c>
      <c r="F608" s="66" t="s">
        <v>987</v>
      </c>
      <c r="G608" s="24" t="s">
        <v>2803</v>
      </c>
      <c r="H608" s="15" t="s">
        <v>2789</v>
      </c>
      <c r="I608" s="16">
        <v>52</v>
      </c>
      <c r="J608" s="16" t="str">
        <f t="shared" si="29"/>
        <v>Old</v>
      </c>
      <c r="K608" s="25">
        <v>5</v>
      </c>
      <c r="L608" s="42">
        <v>2065</v>
      </c>
      <c r="M608" s="15">
        <f>790-90</f>
        <v>700</v>
      </c>
      <c r="N608" s="39">
        <f t="shared" si="27"/>
        <v>10325</v>
      </c>
      <c r="O608" s="39">
        <f t="shared" si="28"/>
        <v>6825</v>
      </c>
      <c r="P608" s="24" t="s">
        <v>2037</v>
      </c>
      <c r="Q608" s="24" t="s">
        <v>2014</v>
      </c>
      <c r="R608" s="1" t="s">
        <v>2013</v>
      </c>
      <c r="S608" s="15" t="s">
        <v>2082</v>
      </c>
      <c r="T608" s="15" t="s">
        <v>2442</v>
      </c>
      <c r="U608" s="25" t="s">
        <v>2089</v>
      </c>
      <c r="V608" s="25" t="s">
        <v>2437</v>
      </c>
      <c r="W608" s="80">
        <v>44947</v>
      </c>
      <c r="X608" s="21" t="s">
        <v>2818</v>
      </c>
    </row>
    <row r="609" spans="1:24" x14ac:dyDescent="0.2">
      <c r="A609" s="1">
        <v>600</v>
      </c>
      <c r="B609" s="1" t="s">
        <v>339</v>
      </c>
      <c r="C609" s="1" t="s">
        <v>2782</v>
      </c>
      <c r="D609" s="1" t="s">
        <v>338</v>
      </c>
      <c r="E609" s="15" t="s">
        <v>823</v>
      </c>
      <c r="F609" s="66" t="s">
        <v>997</v>
      </c>
      <c r="G609" s="24" t="s">
        <v>2805</v>
      </c>
      <c r="H609" s="15" t="s">
        <v>2789</v>
      </c>
      <c r="I609" s="16">
        <v>23</v>
      </c>
      <c r="J609" s="16" t="str">
        <f t="shared" si="29"/>
        <v>Young</v>
      </c>
      <c r="K609" s="25">
        <v>3</v>
      </c>
      <c r="L609" s="42">
        <v>3850</v>
      </c>
      <c r="M609" s="15">
        <v>2350</v>
      </c>
      <c r="N609" s="39">
        <f t="shared" si="27"/>
        <v>11550</v>
      </c>
      <c r="O609" s="39">
        <f t="shared" si="28"/>
        <v>4500</v>
      </c>
      <c r="P609" s="24" t="s">
        <v>2028</v>
      </c>
      <c r="Q609" s="15" t="s">
        <v>2024</v>
      </c>
      <c r="R609" s="1" t="s">
        <v>2013</v>
      </c>
      <c r="S609" s="15" t="s">
        <v>2082</v>
      </c>
      <c r="T609" s="15" t="s">
        <v>2442</v>
      </c>
      <c r="U609" s="25" t="s">
        <v>2088</v>
      </c>
      <c r="V609" s="25" t="s">
        <v>2435</v>
      </c>
      <c r="W609" s="80">
        <v>44999</v>
      </c>
      <c r="X609" s="21" t="s">
        <v>2816</v>
      </c>
    </row>
    <row r="610" spans="1:24" x14ac:dyDescent="0.2">
      <c r="A610" s="1">
        <v>601</v>
      </c>
      <c r="B610" s="1" t="s">
        <v>340</v>
      </c>
      <c r="C610" s="1" t="s">
        <v>2782</v>
      </c>
      <c r="D610" s="1" t="s">
        <v>2537</v>
      </c>
      <c r="E610" s="35" t="s">
        <v>822</v>
      </c>
      <c r="F610" s="66" t="s">
        <v>988</v>
      </c>
      <c r="G610" s="24" t="s">
        <v>2807</v>
      </c>
      <c r="H610" s="15" t="s">
        <v>2789</v>
      </c>
      <c r="I610" s="16">
        <v>38</v>
      </c>
      <c r="J610" s="16" t="str">
        <f t="shared" si="29"/>
        <v>Middle Age</v>
      </c>
      <c r="K610" s="25">
        <v>2</v>
      </c>
      <c r="L610" s="42">
        <v>2050</v>
      </c>
      <c r="M610" s="15">
        <v>850</v>
      </c>
      <c r="N610" s="39">
        <f t="shared" si="27"/>
        <v>4100</v>
      </c>
      <c r="O610" s="39">
        <f t="shared" si="28"/>
        <v>2400</v>
      </c>
      <c r="P610" s="24" t="s">
        <v>2050</v>
      </c>
      <c r="Q610" s="24" t="s">
        <v>2024</v>
      </c>
      <c r="R610" s="1" t="s">
        <v>2013</v>
      </c>
      <c r="S610" s="15" t="s">
        <v>2082</v>
      </c>
      <c r="T610" s="15" t="s">
        <v>2442</v>
      </c>
      <c r="U610" s="25" t="s">
        <v>2085</v>
      </c>
      <c r="V610" s="25" t="s">
        <v>2436</v>
      </c>
      <c r="W610" s="80">
        <v>44990</v>
      </c>
      <c r="X610" s="21" t="s">
        <v>2816</v>
      </c>
    </row>
    <row r="611" spans="1:24" x14ac:dyDescent="0.2">
      <c r="A611" s="1">
        <v>602</v>
      </c>
      <c r="B611" s="1" t="s">
        <v>341</v>
      </c>
      <c r="C611" s="1" t="s">
        <v>2782</v>
      </c>
      <c r="D611" s="1" t="s">
        <v>2610</v>
      </c>
      <c r="E611" s="35" t="s">
        <v>817</v>
      </c>
      <c r="F611" s="66" t="s">
        <v>900</v>
      </c>
      <c r="G611" s="24" t="s">
        <v>2809</v>
      </c>
      <c r="H611" s="15" t="s">
        <v>2789</v>
      </c>
      <c r="I611" s="16">
        <v>41</v>
      </c>
      <c r="J611" s="16" t="str">
        <f t="shared" si="29"/>
        <v>Middle Age</v>
      </c>
      <c r="K611" s="25">
        <v>4</v>
      </c>
      <c r="L611" s="42">
        <f>1860+220</f>
        <v>2080</v>
      </c>
      <c r="M611" s="15">
        <f>900+96-90</f>
        <v>906</v>
      </c>
      <c r="N611" s="39">
        <f t="shared" si="27"/>
        <v>8320</v>
      </c>
      <c r="O611" s="39">
        <f t="shared" si="28"/>
        <v>4696</v>
      </c>
      <c r="P611" s="24" t="s">
        <v>2025</v>
      </c>
      <c r="Q611" s="24" t="s">
        <v>2024</v>
      </c>
      <c r="R611" s="1" t="s">
        <v>2013</v>
      </c>
      <c r="S611" s="15" t="s">
        <v>2082</v>
      </c>
      <c r="T611" s="15" t="s">
        <v>2442</v>
      </c>
      <c r="U611" s="25" t="s">
        <v>2085</v>
      </c>
      <c r="V611" s="25" t="s">
        <v>2434</v>
      </c>
      <c r="W611" s="80">
        <v>45109</v>
      </c>
      <c r="X611" s="21" t="s">
        <v>2813</v>
      </c>
    </row>
    <row r="612" spans="1:24" x14ac:dyDescent="0.2">
      <c r="A612" s="1">
        <v>603</v>
      </c>
      <c r="B612" s="1" t="s">
        <v>69</v>
      </c>
      <c r="C612" s="1" t="s">
        <v>2782</v>
      </c>
      <c r="D612" s="1" t="s">
        <v>342</v>
      </c>
      <c r="E612" s="15" t="s">
        <v>863</v>
      </c>
      <c r="F612" s="66" t="s">
        <v>989</v>
      </c>
      <c r="G612" s="24" t="s">
        <v>2794</v>
      </c>
      <c r="H612" s="15" t="s">
        <v>2789</v>
      </c>
      <c r="I612" s="16">
        <v>29</v>
      </c>
      <c r="J612" s="16" t="str">
        <f t="shared" si="29"/>
        <v>Young</v>
      </c>
      <c r="K612" s="25">
        <v>1</v>
      </c>
      <c r="L612" s="42">
        <v>2560</v>
      </c>
      <c r="M612" s="15">
        <f>1200-90</f>
        <v>1110</v>
      </c>
      <c r="N612" s="39">
        <f t="shared" si="27"/>
        <v>2560</v>
      </c>
      <c r="O612" s="39">
        <f t="shared" si="28"/>
        <v>1450</v>
      </c>
      <c r="P612" s="24" t="s">
        <v>2026</v>
      </c>
      <c r="Q612" s="15" t="s">
        <v>2014</v>
      </c>
      <c r="R612" s="1" t="s">
        <v>2013</v>
      </c>
      <c r="S612" s="15" t="s">
        <v>2082</v>
      </c>
      <c r="T612" s="15" t="s">
        <v>2442</v>
      </c>
      <c r="U612" s="25" t="s">
        <v>2085</v>
      </c>
      <c r="V612" s="25" t="s">
        <v>2437</v>
      </c>
      <c r="W612" s="80">
        <v>45163</v>
      </c>
      <c r="X612" s="21" t="s">
        <v>2819</v>
      </c>
    </row>
    <row r="613" spans="1:24" x14ac:dyDescent="0.2">
      <c r="A613" s="1">
        <v>604</v>
      </c>
      <c r="B613" s="1" t="s">
        <v>343</v>
      </c>
      <c r="C613" s="1" t="s">
        <v>2782</v>
      </c>
      <c r="D613" s="1" t="s">
        <v>2611</v>
      </c>
      <c r="E613" s="15" t="s">
        <v>864</v>
      </c>
      <c r="F613" s="66" t="s">
        <v>952</v>
      </c>
      <c r="G613" s="24" t="s">
        <v>2792</v>
      </c>
      <c r="H613" s="15" t="s">
        <v>2788</v>
      </c>
      <c r="I613" s="16">
        <v>60</v>
      </c>
      <c r="J613" s="16" t="str">
        <f t="shared" si="29"/>
        <v>Old</v>
      </c>
      <c r="K613" s="25">
        <v>5</v>
      </c>
      <c r="L613" s="42">
        <f>2690+220+50</f>
        <v>2960</v>
      </c>
      <c r="M613" s="15">
        <f>1690+95+50-90</f>
        <v>1745</v>
      </c>
      <c r="N613" s="39">
        <f t="shared" si="27"/>
        <v>14800</v>
      </c>
      <c r="O613" s="39">
        <f t="shared" si="28"/>
        <v>6075</v>
      </c>
      <c r="P613" s="24" t="s">
        <v>2052</v>
      </c>
      <c r="Q613" s="15" t="s">
        <v>2016</v>
      </c>
      <c r="R613" s="1" t="s">
        <v>2013</v>
      </c>
      <c r="S613" s="15" t="s">
        <v>2082</v>
      </c>
      <c r="T613" s="15" t="s">
        <v>2442</v>
      </c>
      <c r="U613" s="25" t="s">
        <v>2087</v>
      </c>
      <c r="V613" s="25" t="s">
        <v>2435</v>
      </c>
      <c r="W613" s="80">
        <v>45199</v>
      </c>
      <c r="X613" s="21" t="s">
        <v>2820</v>
      </c>
    </row>
    <row r="614" spans="1:24" x14ac:dyDescent="0.2">
      <c r="A614" s="1">
        <v>605</v>
      </c>
      <c r="B614" s="1" t="s">
        <v>345</v>
      </c>
      <c r="C614" s="1" t="s">
        <v>2782</v>
      </c>
      <c r="D614" s="1" t="s">
        <v>344</v>
      </c>
      <c r="E614" s="15" t="s">
        <v>822</v>
      </c>
      <c r="F614" s="66" t="s">
        <v>990</v>
      </c>
      <c r="G614" s="24" t="s">
        <v>2796</v>
      </c>
      <c r="H614" s="15" t="s">
        <v>2789</v>
      </c>
      <c r="I614" s="16">
        <v>33</v>
      </c>
      <c r="J614" s="16" t="str">
        <f t="shared" si="29"/>
        <v>Young</v>
      </c>
      <c r="K614" s="25">
        <v>2</v>
      </c>
      <c r="L614" s="42">
        <v>5600</v>
      </c>
      <c r="M614" s="15">
        <f>3600-90</f>
        <v>3510</v>
      </c>
      <c r="N614" s="39">
        <f t="shared" si="27"/>
        <v>11200</v>
      </c>
      <c r="O614" s="39">
        <f t="shared" si="28"/>
        <v>4180</v>
      </c>
      <c r="P614" s="24" t="s">
        <v>2027</v>
      </c>
      <c r="Q614" s="24" t="s">
        <v>2014</v>
      </c>
      <c r="R614" s="1" t="s">
        <v>2013</v>
      </c>
      <c r="S614" s="15" t="s">
        <v>2082</v>
      </c>
      <c r="T614" s="15" t="s">
        <v>2442</v>
      </c>
      <c r="U614" s="25" t="s">
        <v>2083</v>
      </c>
      <c r="V614" s="25" t="s">
        <v>2434</v>
      </c>
      <c r="W614" s="80">
        <v>45085</v>
      </c>
      <c r="X614" s="21" t="s">
        <v>2814</v>
      </c>
    </row>
    <row r="615" spans="1:24" x14ac:dyDescent="0.2">
      <c r="A615" s="1">
        <v>606</v>
      </c>
      <c r="B615" s="1" t="s">
        <v>312</v>
      </c>
      <c r="C615" s="1" t="s">
        <v>2782</v>
      </c>
      <c r="D615" s="1" t="s">
        <v>287</v>
      </c>
      <c r="E615" s="15" t="s">
        <v>823</v>
      </c>
      <c r="F615" s="66" t="s">
        <v>998</v>
      </c>
      <c r="G615" s="24" t="s">
        <v>2798</v>
      </c>
      <c r="H615" s="15" t="s">
        <v>2789</v>
      </c>
      <c r="I615" s="16">
        <v>22</v>
      </c>
      <c r="J615" s="16" t="str">
        <f t="shared" si="29"/>
        <v>Young</v>
      </c>
      <c r="K615" s="25">
        <v>3</v>
      </c>
      <c r="L615" s="42">
        <v>8220</v>
      </c>
      <c r="M615" s="15">
        <f>3900+450-90</f>
        <v>4260</v>
      </c>
      <c r="N615" s="39">
        <f t="shared" si="27"/>
        <v>24660</v>
      </c>
      <c r="O615" s="39">
        <f t="shared" si="28"/>
        <v>11880</v>
      </c>
      <c r="P615" s="24" t="s">
        <v>2035</v>
      </c>
      <c r="Q615" s="24" t="s">
        <v>2020</v>
      </c>
      <c r="R615" s="1" t="s">
        <v>2013</v>
      </c>
      <c r="S615" s="15" t="s">
        <v>2082</v>
      </c>
      <c r="T615" s="15" t="s">
        <v>2442</v>
      </c>
      <c r="U615" s="25" t="s">
        <v>2089</v>
      </c>
      <c r="V615" s="25" t="s">
        <v>2436</v>
      </c>
      <c r="W615" s="80">
        <v>45088</v>
      </c>
      <c r="X615" s="21" t="s">
        <v>2814</v>
      </c>
    </row>
    <row r="616" spans="1:24" x14ac:dyDescent="0.2">
      <c r="A616" s="1">
        <v>607</v>
      </c>
      <c r="B616" s="1" t="s">
        <v>6</v>
      </c>
      <c r="C616" s="1" t="s">
        <v>2781</v>
      </c>
      <c r="D616" s="1" t="s">
        <v>869</v>
      </c>
      <c r="E616" s="15" t="s">
        <v>828</v>
      </c>
      <c r="F616" s="66" t="s">
        <v>991</v>
      </c>
      <c r="G616" s="24" t="s">
        <v>2800</v>
      </c>
      <c r="H616" s="15" t="s">
        <v>2789</v>
      </c>
      <c r="I616" s="16">
        <v>47</v>
      </c>
      <c r="J616" s="16" t="str">
        <f t="shared" si="29"/>
        <v>Middle Age</v>
      </c>
      <c r="K616" s="25">
        <v>4</v>
      </c>
      <c r="L616" s="42">
        <v>1190</v>
      </c>
      <c r="M616" s="15">
        <v>650</v>
      </c>
      <c r="N616" s="39">
        <f t="shared" si="27"/>
        <v>4760</v>
      </c>
      <c r="O616" s="39">
        <f t="shared" si="28"/>
        <v>2160</v>
      </c>
      <c r="P616" s="24" t="s">
        <v>2045</v>
      </c>
      <c r="Q616" s="24" t="s">
        <v>2014</v>
      </c>
      <c r="R616" s="1" t="s">
        <v>2013</v>
      </c>
      <c r="S616" s="15" t="s">
        <v>2082</v>
      </c>
      <c r="T616" s="15" t="s">
        <v>2442</v>
      </c>
      <c r="U616" s="25" t="s">
        <v>2090</v>
      </c>
      <c r="V616" s="25" t="s">
        <v>2437</v>
      </c>
      <c r="W616" s="80">
        <v>45168</v>
      </c>
      <c r="X616" s="21" t="s">
        <v>2819</v>
      </c>
    </row>
    <row r="617" spans="1:24" x14ac:dyDescent="0.2">
      <c r="A617" s="1">
        <v>608</v>
      </c>
      <c r="B617" s="1" t="s">
        <v>8</v>
      </c>
      <c r="C617" s="1" t="s">
        <v>2782</v>
      </c>
      <c r="D617" s="1" t="s">
        <v>2612</v>
      </c>
      <c r="E617" s="35" t="s">
        <v>822</v>
      </c>
      <c r="F617" s="66" t="s">
        <v>999</v>
      </c>
      <c r="G617" s="24" t="s">
        <v>2802</v>
      </c>
      <c r="H617" s="15" t="s">
        <v>2788</v>
      </c>
      <c r="I617" s="16">
        <v>55</v>
      </c>
      <c r="J617" s="16" t="str">
        <f t="shared" si="29"/>
        <v>Old</v>
      </c>
      <c r="K617" s="25">
        <v>1</v>
      </c>
      <c r="L617" s="42">
        <v>1220</v>
      </c>
      <c r="M617" s="15">
        <v>260</v>
      </c>
      <c r="N617" s="39">
        <f t="shared" si="27"/>
        <v>1220</v>
      </c>
      <c r="O617" s="39">
        <f t="shared" si="28"/>
        <v>960</v>
      </c>
      <c r="P617" s="24" t="s">
        <v>2053</v>
      </c>
      <c r="Q617" s="24" t="s">
        <v>2014</v>
      </c>
      <c r="R617" s="1" t="s">
        <v>2013</v>
      </c>
      <c r="S617" s="15" t="s">
        <v>2082</v>
      </c>
      <c r="T617" s="15" t="s">
        <v>2442</v>
      </c>
      <c r="U617" s="25" t="s">
        <v>2084</v>
      </c>
      <c r="V617" s="25" t="s">
        <v>2435</v>
      </c>
      <c r="W617" s="80">
        <v>44973</v>
      </c>
      <c r="X617" s="21" t="s">
        <v>2817</v>
      </c>
    </row>
    <row r="618" spans="1:24" x14ac:dyDescent="0.2">
      <c r="A618" s="1">
        <v>609</v>
      </c>
      <c r="B618" s="1" t="s">
        <v>347</v>
      </c>
      <c r="C618" s="1" t="s">
        <v>2782</v>
      </c>
      <c r="D618" s="1" t="s">
        <v>346</v>
      </c>
      <c r="E618" s="35" t="s">
        <v>817</v>
      </c>
      <c r="F618" s="66" t="s">
        <v>992</v>
      </c>
      <c r="G618" s="24" t="s">
        <v>2804</v>
      </c>
      <c r="H618" s="15" t="s">
        <v>2789</v>
      </c>
      <c r="I618" s="16">
        <v>36</v>
      </c>
      <c r="J618" s="16" t="str">
        <f t="shared" si="29"/>
        <v>Middle Age</v>
      </c>
      <c r="K618" s="25">
        <v>5</v>
      </c>
      <c r="L618" s="42">
        <f>1770+220</f>
        <v>1990</v>
      </c>
      <c r="M618" s="15">
        <f>770+95</f>
        <v>865</v>
      </c>
      <c r="N618" s="39">
        <f t="shared" si="27"/>
        <v>9950</v>
      </c>
      <c r="O618" s="39">
        <f t="shared" si="28"/>
        <v>5625</v>
      </c>
      <c r="P618" s="24" t="s">
        <v>2035</v>
      </c>
      <c r="Q618" s="24" t="s">
        <v>2020</v>
      </c>
      <c r="R618" s="1" t="s">
        <v>2013</v>
      </c>
      <c r="S618" s="15" t="s">
        <v>2082</v>
      </c>
      <c r="T618" s="15" t="s">
        <v>2442</v>
      </c>
      <c r="U618" s="25" t="s">
        <v>2084</v>
      </c>
      <c r="V618" s="25" t="s">
        <v>2436</v>
      </c>
      <c r="W618" s="80">
        <v>45083</v>
      </c>
      <c r="X618" s="21" t="s">
        <v>2814</v>
      </c>
    </row>
    <row r="619" spans="1:24" x14ac:dyDescent="0.2">
      <c r="A619" s="1">
        <v>610</v>
      </c>
      <c r="B619" s="1" t="s">
        <v>69</v>
      </c>
      <c r="C619" s="1" t="s">
        <v>2782</v>
      </c>
      <c r="D619" s="1" t="s">
        <v>348</v>
      </c>
      <c r="E619" s="35" t="s">
        <v>823</v>
      </c>
      <c r="F619" s="66" t="s">
        <v>1000</v>
      </c>
      <c r="G619" s="24" t="s">
        <v>2806</v>
      </c>
      <c r="H619" s="15" t="s">
        <v>2789</v>
      </c>
      <c r="I619" s="16">
        <v>28</v>
      </c>
      <c r="J619" s="16" t="str">
        <f t="shared" si="29"/>
        <v>Young</v>
      </c>
      <c r="K619" s="25">
        <v>3</v>
      </c>
      <c r="L619" s="42">
        <v>3260</v>
      </c>
      <c r="M619" s="15">
        <v>1220</v>
      </c>
      <c r="N619" s="39">
        <f t="shared" si="27"/>
        <v>9780</v>
      </c>
      <c r="O619" s="39">
        <f t="shared" si="28"/>
        <v>6120</v>
      </c>
      <c r="P619" s="24" t="s">
        <v>2048</v>
      </c>
      <c r="Q619" s="24" t="s">
        <v>2014</v>
      </c>
      <c r="R619" s="1" t="s">
        <v>2013</v>
      </c>
      <c r="S619" s="15" t="s">
        <v>2082</v>
      </c>
      <c r="T619" s="15" t="s">
        <v>2442</v>
      </c>
      <c r="U619" s="25" t="s">
        <v>2086</v>
      </c>
      <c r="V619" s="25" t="s">
        <v>2434</v>
      </c>
      <c r="W619" s="80">
        <v>45054</v>
      </c>
      <c r="X619" s="21" t="s">
        <v>2786</v>
      </c>
    </row>
    <row r="620" spans="1:24" x14ac:dyDescent="0.2">
      <c r="A620" s="1">
        <v>611</v>
      </c>
      <c r="B620" s="1" t="s">
        <v>117</v>
      </c>
      <c r="C620" s="1" t="s">
        <v>2782</v>
      </c>
      <c r="D620" s="1" t="s">
        <v>325</v>
      </c>
      <c r="E620" s="35" t="s">
        <v>823</v>
      </c>
      <c r="F620" s="66" t="s">
        <v>902</v>
      </c>
      <c r="G620" s="24" t="s">
        <v>2808</v>
      </c>
      <c r="H620" s="15" t="s">
        <v>2789</v>
      </c>
      <c r="I620" s="16">
        <v>50</v>
      </c>
      <c r="J620" s="16" t="str">
        <f t="shared" si="29"/>
        <v>Old</v>
      </c>
      <c r="K620" s="25">
        <v>2</v>
      </c>
      <c r="L620" s="42">
        <v>1870</v>
      </c>
      <c r="M620" s="15">
        <v>870</v>
      </c>
      <c r="N620" s="39">
        <f t="shared" si="27"/>
        <v>3740</v>
      </c>
      <c r="O620" s="39">
        <f t="shared" si="28"/>
        <v>2000</v>
      </c>
      <c r="P620" s="24" t="s">
        <v>2029</v>
      </c>
      <c r="Q620" s="24" t="s">
        <v>2016</v>
      </c>
      <c r="R620" s="1" t="s">
        <v>2013</v>
      </c>
      <c r="S620" s="15" t="s">
        <v>2082</v>
      </c>
      <c r="T620" s="15" t="s">
        <v>2442</v>
      </c>
      <c r="U620" s="25" t="s">
        <v>2085</v>
      </c>
      <c r="V620" s="25" t="s">
        <v>2437</v>
      </c>
      <c r="W620" s="80">
        <v>45072</v>
      </c>
      <c r="X620" s="21" t="s">
        <v>2786</v>
      </c>
    </row>
    <row r="621" spans="1:24" x14ac:dyDescent="0.2">
      <c r="A621" s="1">
        <v>612</v>
      </c>
      <c r="B621" s="1" t="s">
        <v>350</v>
      </c>
      <c r="C621" s="1" t="s">
        <v>2782</v>
      </c>
      <c r="D621" s="1" t="s">
        <v>349</v>
      </c>
      <c r="E621" s="35" t="s">
        <v>828</v>
      </c>
      <c r="F621" s="66" t="s">
        <v>978</v>
      </c>
      <c r="G621" s="24" t="s">
        <v>2810</v>
      </c>
      <c r="H621" s="15" t="s">
        <v>2789</v>
      </c>
      <c r="I621" s="16">
        <v>39</v>
      </c>
      <c r="J621" s="16" t="str">
        <f t="shared" si="29"/>
        <v>Middle Age</v>
      </c>
      <c r="K621" s="25">
        <v>4</v>
      </c>
      <c r="L621" s="42">
        <v>5150</v>
      </c>
      <c r="M621" s="15">
        <v>2120</v>
      </c>
      <c r="N621" s="39">
        <f t="shared" si="27"/>
        <v>20600</v>
      </c>
      <c r="O621" s="39">
        <f t="shared" si="28"/>
        <v>12120</v>
      </c>
      <c r="P621" s="24" t="s">
        <v>2058</v>
      </c>
      <c r="Q621" s="24" t="s">
        <v>2020</v>
      </c>
      <c r="R621" s="1" t="s">
        <v>2013</v>
      </c>
      <c r="S621" s="15" t="s">
        <v>2082</v>
      </c>
      <c r="T621" s="15" t="s">
        <v>2442</v>
      </c>
      <c r="U621" s="25" t="s">
        <v>2088</v>
      </c>
      <c r="V621" s="25" t="s">
        <v>2435</v>
      </c>
      <c r="W621" s="80">
        <v>45159</v>
      </c>
      <c r="X621" s="21" t="s">
        <v>2819</v>
      </c>
    </row>
    <row r="622" spans="1:24" x14ac:dyDescent="0.2">
      <c r="A622" s="1">
        <v>613</v>
      </c>
      <c r="B622" s="1" t="s">
        <v>99</v>
      </c>
      <c r="C622" s="1" t="s">
        <v>2782</v>
      </c>
      <c r="D622" s="1" t="s">
        <v>351</v>
      </c>
      <c r="E622" s="35" t="s">
        <v>822</v>
      </c>
      <c r="F622" s="66" t="s">
        <v>993</v>
      </c>
      <c r="G622" s="24" t="s">
        <v>2793</v>
      </c>
      <c r="H622" s="15" t="s">
        <v>2789</v>
      </c>
      <c r="I622" s="16">
        <v>31</v>
      </c>
      <c r="J622" s="16" t="str">
        <f t="shared" si="29"/>
        <v>Young</v>
      </c>
      <c r="K622" s="25">
        <v>1</v>
      </c>
      <c r="L622" s="42">
        <v>3600</v>
      </c>
      <c r="M622" s="15">
        <v>2300</v>
      </c>
      <c r="N622" s="39">
        <f t="shared" si="27"/>
        <v>3600</v>
      </c>
      <c r="O622" s="39">
        <f t="shared" si="28"/>
        <v>1300</v>
      </c>
      <c r="P622" s="24" t="s">
        <v>2031</v>
      </c>
      <c r="Q622" s="24" t="s">
        <v>2016</v>
      </c>
      <c r="R622" s="1" t="s">
        <v>2013</v>
      </c>
      <c r="S622" s="15" t="s">
        <v>2082</v>
      </c>
      <c r="T622" s="15" t="s">
        <v>2442</v>
      </c>
      <c r="U622" s="25" t="s">
        <v>2085</v>
      </c>
      <c r="V622" s="25" t="s">
        <v>2434</v>
      </c>
      <c r="W622" s="80">
        <v>45151</v>
      </c>
      <c r="X622" s="21" t="s">
        <v>2819</v>
      </c>
    </row>
    <row r="623" spans="1:24" x14ac:dyDescent="0.2">
      <c r="A623" s="1">
        <v>614</v>
      </c>
      <c r="B623" s="1" t="s">
        <v>353</v>
      </c>
      <c r="C623" s="1" t="s">
        <v>2782</v>
      </c>
      <c r="D623" s="1" t="s">
        <v>352</v>
      </c>
      <c r="E623" s="35" t="s">
        <v>822</v>
      </c>
      <c r="F623" s="66" t="s">
        <v>1001</v>
      </c>
      <c r="G623" s="24" t="s">
        <v>2791</v>
      </c>
      <c r="H623" s="15" t="s">
        <v>2788</v>
      </c>
      <c r="I623" s="16">
        <v>44</v>
      </c>
      <c r="J623" s="16" t="str">
        <f t="shared" si="29"/>
        <v>Middle Age</v>
      </c>
      <c r="K623" s="25">
        <v>5</v>
      </c>
      <c r="L623" s="42">
        <v>2760</v>
      </c>
      <c r="M623" s="15">
        <f>880+200</f>
        <v>1080</v>
      </c>
      <c r="N623" s="39">
        <f t="shared" si="27"/>
        <v>13800</v>
      </c>
      <c r="O623" s="39">
        <f t="shared" si="28"/>
        <v>8400</v>
      </c>
      <c r="P623" s="24" t="s">
        <v>2062</v>
      </c>
      <c r="Q623" s="15" t="s">
        <v>2828</v>
      </c>
      <c r="R623" s="1" t="s">
        <v>2013</v>
      </c>
      <c r="S623" s="15" t="s">
        <v>2082</v>
      </c>
      <c r="T623" s="15" t="s">
        <v>2442</v>
      </c>
      <c r="U623" s="25" t="s">
        <v>2089</v>
      </c>
      <c r="V623" s="25" t="s">
        <v>2436</v>
      </c>
      <c r="W623" s="80">
        <v>45141</v>
      </c>
      <c r="X623" s="21" t="s">
        <v>2819</v>
      </c>
    </row>
    <row r="624" spans="1:24" x14ac:dyDescent="0.2">
      <c r="A624" s="1">
        <v>615</v>
      </c>
      <c r="B624" s="1" t="s">
        <v>355</v>
      </c>
      <c r="C624" s="1" t="s">
        <v>2782</v>
      </c>
      <c r="D624" s="1" t="s">
        <v>354</v>
      </c>
      <c r="E624" s="35" t="s">
        <v>863</v>
      </c>
      <c r="F624" s="66" t="s">
        <v>994</v>
      </c>
      <c r="G624" s="24" t="s">
        <v>2795</v>
      </c>
      <c r="H624" s="15" t="s">
        <v>2789</v>
      </c>
      <c r="I624" s="16">
        <v>26</v>
      </c>
      <c r="J624" s="16" t="str">
        <f t="shared" si="29"/>
        <v>Young</v>
      </c>
      <c r="K624" s="25">
        <v>2</v>
      </c>
      <c r="L624" s="42">
        <v>4210</v>
      </c>
      <c r="M624" s="15">
        <v>2050</v>
      </c>
      <c r="N624" s="39">
        <f t="shared" si="27"/>
        <v>8420</v>
      </c>
      <c r="O624" s="39">
        <f t="shared" si="28"/>
        <v>4320</v>
      </c>
      <c r="P624" s="24" t="s">
        <v>2046</v>
      </c>
      <c r="Q624" s="24" t="s">
        <v>2016</v>
      </c>
      <c r="R624" s="1" t="s">
        <v>2013</v>
      </c>
      <c r="S624" s="15" t="s">
        <v>2082</v>
      </c>
      <c r="T624" s="15" t="s">
        <v>2442</v>
      </c>
      <c r="U624" s="25" t="s">
        <v>2089</v>
      </c>
      <c r="V624" s="25" t="s">
        <v>2437</v>
      </c>
      <c r="W624" s="80">
        <v>45056</v>
      </c>
      <c r="X624" s="21" t="s">
        <v>2786</v>
      </c>
    </row>
    <row r="625" spans="1:24" x14ac:dyDescent="0.2">
      <c r="A625" s="1">
        <v>616</v>
      </c>
      <c r="B625" s="1" t="s">
        <v>356</v>
      </c>
      <c r="C625" s="1" t="s">
        <v>2782</v>
      </c>
      <c r="D625" s="1" t="s">
        <v>2613</v>
      </c>
      <c r="E625" s="35" t="s">
        <v>864</v>
      </c>
      <c r="F625" s="66" t="s">
        <v>1002</v>
      </c>
      <c r="G625" s="24" t="s">
        <v>2797</v>
      </c>
      <c r="H625" s="15" t="s">
        <v>2789</v>
      </c>
      <c r="I625" s="16">
        <v>48</v>
      </c>
      <c r="J625" s="16" t="str">
        <f t="shared" si="29"/>
        <v>Middle Age</v>
      </c>
      <c r="K625" s="25">
        <v>3</v>
      </c>
      <c r="L625" s="42">
        <v>3797</v>
      </c>
      <c r="M625" s="15">
        <v>1270</v>
      </c>
      <c r="N625" s="39">
        <f t="shared" si="27"/>
        <v>11391</v>
      </c>
      <c r="O625" s="39">
        <f t="shared" si="28"/>
        <v>7581</v>
      </c>
      <c r="P625" s="24" t="s">
        <v>2058</v>
      </c>
      <c r="Q625" s="24" t="s">
        <v>2020</v>
      </c>
      <c r="R625" s="1" t="s">
        <v>2013</v>
      </c>
      <c r="S625" s="15" t="s">
        <v>2082</v>
      </c>
      <c r="T625" s="15" t="s">
        <v>2442</v>
      </c>
      <c r="U625" s="25" t="s">
        <v>2083</v>
      </c>
      <c r="V625" s="25" t="s">
        <v>2435</v>
      </c>
      <c r="W625" s="80">
        <v>45181</v>
      </c>
      <c r="X625" s="21" t="s">
        <v>2820</v>
      </c>
    </row>
    <row r="626" spans="1:24" x14ac:dyDescent="0.2">
      <c r="A626" s="1">
        <v>617</v>
      </c>
      <c r="B626" s="1" t="s">
        <v>357</v>
      </c>
      <c r="C626" s="1" t="s">
        <v>2782</v>
      </c>
      <c r="D626" s="1" t="s">
        <v>2614</v>
      </c>
      <c r="E626" s="35" t="s">
        <v>823</v>
      </c>
      <c r="F626" s="66" t="s">
        <v>995</v>
      </c>
      <c r="G626" s="24" t="s">
        <v>2799</v>
      </c>
      <c r="H626" s="15" t="s">
        <v>2789</v>
      </c>
      <c r="I626" s="16">
        <v>53</v>
      </c>
      <c r="J626" s="16" t="str">
        <f t="shared" si="29"/>
        <v>Old</v>
      </c>
      <c r="K626" s="25">
        <v>4</v>
      </c>
      <c r="L626" s="42">
        <v>2757</v>
      </c>
      <c r="M626" s="15">
        <v>1130</v>
      </c>
      <c r="N626" s="39">
        <f t="shared" si="27"/>
        <v>11028</v>
      </c>
      <c r="O626" s="39">
        <f t="shared" si="28"/>
        <v>6508</v>
      </c>
      <c r="P626" s="24" t="s">
        <v>2040</v>
      </c>
      <c r="Q626" s="15" t="s">
        <v>2014</v>
      </c>
      <c r="R626" s="1" t="s">
        <v>2013</v>
      </c>
      <c r="S626" s="15" t="s">
        <v>2082</v>
      </c>
      <c r="T626" s="15" t="s">
        <v>2442</v>
      </c>
      <c r="U626" s="25" t="s">
        <v>2083</v>
      </c>
      <c r="V626" s="25" t="s">
        <v>2436</v>
      </c>
      <c r="W626" s="80">
        <v>45175</v>
      </c>
      <c r="X626" s="21" t="s">
        <v>2820</v>
      </c>
    </row>
    <row r="627" spans="1:24" x14ac:dyDescent="0.2">
      <c r="A627" s="1">
        <v>618</v>
      </c>
      <c r="B627" s="1" t="s">
        <v>358</v>
      </c>
      <c r="C627" s="1" t="s">
        <v>2782</v>
      </c>
      <c r="D627" s="1" t="s">
        <v>2615</v>
      </c>
      <c r="E627" s="35" t="s">
        <v>823</v>
      </c>
      <c r="F627" s="67" t="s">
        <v>923</v>
      </c>
      <c r="G627" s="24" t="s">
        <v>2801</v>
      </c>
      <c r="H627" s="15" t="s">
        <v>2788</v>
      </c>
      <c r="I627" s="16">
        <v>30</v>
      </c>
      <c r="J627" s="16" t="str">
        <f t="shared" si="29"/>
        <v>Young</v>
      </c>
      <c r="K627" s="25">
        <v>1</v>
      </c>
      <c r="L627" s="42">
        <v>4220</v>
      </c>
      <c r="M627" s="15">
        <v>1500</v>
      </c>
      <c r="N627" s="39">
        <f t="shared" si="27"/>
        <v>4220</v>
      </c>
      <c r="O627" s="39">
        <f t="shared" si="28"/>
        <v>2720</v>
      </c>
      <c r="P627" s="24" t="s">
        <v>2061</v>
      </c>
      <c r="Q627" s="24" t="s">
        <v>2014</v>
      </c>
      <c r="R627" s="1" t="s">
        <v>2013</v>
      </c>
      <c r="S627" s="15" t="s">
        <v>2082</v>
      </c>
      <c r="T627" s="15" t="s">
        <v>2442</v>
      </c>
      <c r="U627" s="25" t="s">
        <v>2090</v>
      </c>
      <c r="V627" s="25" t="s">
        <v>2434</v>
      </c>
      <c r="W627" s="80">
        <v>44969</v>
      </c>
      <c r="X627" s="21" t="s">
        <v>2817</v>
      </c>
    </row>
    <row r="628" spans="1:24" x14ac:dyDescent="0.2">
      <c r="A628" s="1">
        <v>619</v>
      </c>
      <c r="B628" s="1" t="s">
        <v>360</v>
      </c>
      <c r="C628" s="1" t="s">
        <v>2782</v>
      </c>
      <c r="D628" s="1" t="s">
        <v>359</v>
      </c>
      <c r="E628" s="35" t="s">
        <v>863</v>
      </c>
      <c r="F628" s="67" t="s">
        <v>924</v>
      </c>
      <c r="G628" s="24" t="s">
        <v>2803</v>
      </c>
      <c r="H628" s="15" t="s">
        <v>2789</v>
      </c>
      <c r="I628" s="16">
        <v>37</v>
      </c>
      <c r="J628" s="16" t="str">
        <f t="shared" si="29"/>
        <v>Middle Age</v>
      </c>
      <c r="K628" s="25">
        <v>5</v>
      </c>
      <c r="L628" s="42">
        <v>1720</v>
      </c>
      <c r="M628" s="15">
        <v>760</v>
      </c>
      <c r="N628" s="39">
        <f t="shared" si="27"/>
        <v>8600</v>
      </c>
      <c r="O628" s="39">
        <f t="shared" si="28"/>
        <v>4800</v>
      </c>
      <c r="P628" s="24" t="s">
        <v>2027</v>
      </c>
      <c r="Q628" s="24" t="s">
        <v>2014</v>
      </c>
      <c r="R628" s="1" t="s">
        <v>2013</v>
      </c>
      <c r="S628" s="15" t="s">
        <v>2082</v>
      </c>
      <c r="T628" s="15" t="s">
        <v>2442</v>
      </c>
      <c r="U628" s="25" t="s">
        <v>2087</v>
      </c>
      <c r="V628" s="25" t="s">
        <v>2437</v>
      </c>
      <c r="W628" s="80">
        <v>45004</v>
      </c>
      <c r="X628" s="21" t="s">
        <v>2816</v>
      </c>
    </row>
    <row r="629" spans="1:24" x14ac:dyDescent="0.2">
      <c r="A629" s="1">
        <v>620</v>
      </c>
      <c r="B629" s="1" t="s">
        <v>361</v>
      </c>
      <c r="C629" s="1" t="s">
        <v>2782</v>
      </c>
      <c r="D629" s="1" t="s">
        <v>2616</v>
      </c>
      <c r="E629" s="35" t="s">
        <v>822</v>
      </c>
      <c r="F629" s="67" t="s">
        <v>925</v>
      </c>
      <c r="G629" s="24" t="s">
        <v>2805</v>
      </c>
      <c r="H629" s="15" t="s">
        <v>2788</v>
      </c>
      <c r="I629" s="16">
        <v>42</v>
      </c>
      <c r="J629" s="16" t="str">
        <f t="shared" si="29"/>
        <v>Middle Age</v>
      </c>
      <c r="K629" s="25">
        <v>3</v>
      </c>
      <c r="L629" s="42">
        <v>1660</v>
      </c>
      <c r="M629" s="15">
        <v>820</v>
      </c>
      <c r="N629" s="39">
        <f t="shared" si="27"/>
        <v>4980</v>
      </c>
      <c r="O629" s="39">
        <f t="shared" si="28"/>
        <v>2520</v>
      </c>
      <c r="P629" s="24" t="s">
        <v>2015</v>
      </c>
      <c r="Q629" s="24" t="s">
        <v>2014</v>
      </c>
      <c r="R629" s="1" t="s">
        <v>2013</v>
      </c>
      <c r="S629" s="15" t="s">
        <v>2082</v>
      </c>
      <c r="T629" s="15" t="s">
        <v>2442</v>
      </c>
      <c r="U629" s="25" t="s">
        <v>2086</v>
      </c>
      <c r="V629" s="25" t="s">
        <v>2435</v>
      </c>
      <c r="W629" s="80">
        <v>45158</v>
      </c>
      <c r="X629" s="21" t="s">
        <v>2819</v>
      </c>
    </row>
    <row r="630" spans="1:24" x14ac:dyDescent="0.2">
      <c r="A630" s="1">
        <v>621</v>
      </c>
      <c r="B630" s="1" t="s">
        <v>858</v>
      </c>
      <c r="C630" s="1" t="s">
        <v>2782</v>
      </c>
      <c r="D630" s="1" t="s">
        <v>2574</v>
      </c>
      <c r="E630" s="35" t="s">
        <v>864</v>
      </c>
      <c r="F630" s="69" t="s">
        <v>904</v>
      </c>
      <c r="G630" s="24" t="s">
        <v>2807</v>
      </c>
      <c r="H630" s="15" t="s">
        <v>2788</v>
      </c>
      <c r="I630" s="16">
        <v>24</v>
      </c>
      <c r="J630" s="16" t="str">
        <f t="shared" si="29"/>
        <v>Young</v>
      </c>
      <c r="K630" s="25">
        <v>2</v>
      </c>
      <c r="L630" s="42">
        <f>1750+220</f>
        <v>1970</v>
      </c>
      <c r="M630" s="15">
        <f>775+90+95+135+28+27</f>
        <v>1150</v>
      </c>
      <c r="N630" s="39">
        <f t="shared" si="27"/>
        <v>3940</v>
      </c>
      <c r="O630" s="39">
        <f t="shared" si="28"/>
        <v>1640</v>
      </c>
      <c r="P630" s="24" t="s">
        <v>2046</v>
      </c>
      <c r="Q630" s="24" t="s">
        <v>2016</v>
      </c>
      <c r="R630" s="1" t="s">
        <v>2013</v>
      </c>
      <c r="S630" s="15" t="s">
        <v>2082</v>
      </c>
      <c r="T630" s="15" t="s">
        <v>2442</v>
      </c>
      <c r="U630" s="25" t="s">
        <v>2089</v>
      </c>
      <c r="V630" s="25" t="s">
        <v>2434</v>
      </c>
      <c r="W630" s="80">
        <v>44949</v>
      </c>
      <c r="X630" s="21" t="s">
        <v>2818</v>
      </c>
    </row>
    <row r="631" spans="1:24" x14ac:dyDescent="0.2">
      <c r="A631" s="1">
        <v>622</v>
      </c>
      <c r="B631" s="1" t="s">
        <v>555</v>
      </c>
      <c r="C631" s="1" t="s">
        <v>2782</v>
      </c>
      <c r="D631" s="3" t="s">
        <v>362</v>
      </c>
      <c r="E631" s="35" t="s">
        <v>863</v>
      </c>
      <c r="F631" s="67" t="s">
        <v>925</v>
      </c>
      <c r="G631" s="24" t="s">
        <v>2809</v>
      </c>
      <c r="H631" s="15" t="s">
        <v>2788</v>
      </c>
      <c r="I631" s="16">
        <v>57</v>
      </c>
      <c r="J631" s="16" t="str">
        <f t="shared" si="29"/>
        <v>Old</v>
      </c>
      <c r="K631" s="25">
        <v>4</v>
      </c>
      <c r="L631" s="42">
        <v>2320</v>
      </c>
      <c r="M631" s="15">
        <v>1200</v>
      </c>
      <c r="N631" s="39">
        <f t="shared" si="27"/>
        <v>9280</v>
      </c>
      <c r="O631" s="39">
        <f t="shared" si="28"/>
        <v>4480</v>
      </c>
      <c r="P631" s="24" t="s">
        <v>2044</v>
      </c>
      <c r="Q631" s="24" t="s">
        <v>2020</v>
      </c>
      <c r="R631" s="1" t="s">
        <v>2013</v>
      </c>
      <c r="S631" s="15" t="s">
        <v>2082</v>
      </c>
      <c r="T631" s="15" t="s">
        <v>2442</v>
      </c>
      <c r="U631" s="25" t="s">
        <v>2085</v>
      </c>
      <c r="V631" s="25" t="s">
        <v>2436</v>
      </c>
      <c r="W631" s="80">
        <v>45237</v>
      </c>
      <c r="X631" s="21" t="s">
        <v>2823</v>
      </c>
    </row>
    <row r="632" spans="1:24" x14ac:dyDescent="0.2">
      <c r="A632" s="1">
        <v>623</v>
      </c>
      <c r="B632" s="1" t="s">
        <v>363</v>
      </c>
      <c r="C632" s="1" t="s">
        <v>2782</v>
      </c>
      <c r="D632" s="1" t="s">
        <v>2554</v>
      </c>
      <c r="E632" s="35" t="s">
        <v>864</v>
      </c>
      <c r="F632" s="69" t="s">
        <v>904</v>
      </c>
      <c r="G632" s="24" t="s">
        <v>2794</v>
      </c>
      <c r="H632" s="15" t="s">
        <v>2788</v>
      </c>
      <c r="I632" s="16">
        <v>35</v>
      </c>
      <c r="J632" s="16" t="str">
        <f t="shared" si="29"/>
        <v>Young</v>
      </c>
      <c r="K632" s="25">
        <v>1</v>
      </c>
      <c r="L632" s="42">
        <v>4340</v>
      </c>
      <c r="M632" s="15">
        <v>2000</v>
      </c>
      <c r="N632" s="39">
        <f t="shared" si="27"/>
        <v>4340</v>
      </c>
      <c r="O632" s="39">
        <f t="shared" si="28"/>
        <v>2340</v>
      </c>
      <c r="P632" s="24" t="s">
        <v>2061</v>
      </c>
      <c r="Q632" s="24" t="s">
        <v>2014</v>
      </c>
      <c r="R632" s="1" t="s">
        <v>2013</v>
      </c>
      <c r="S632" s="15" t="s">
        <v>2082</v>
      </c>
      <c r="T632" s="15" t="s">
        <v>2442</v>
      </c>
      <c r="U632" s="25" t="s">
        <v>2083</v>
      </c>
      <c r="V632" s="25" t="s">
        <v>2437</v>
      </c>
      <c r="W632" s="80">
        <v>45082</v>
      </c>
      <c r="X632" s="21" t="s">
        <v>2814</v>
      </c>
    </row>
    <row r="633" spans="1:24" x14ac:dyDescent="0.2">
      <c r="A633" s="1">
        <v>624</v>
      </c>
      <c r="B633" s="1" t="s">
        <v>364</v>
      </c>
      <c r="C633" s="1" t="s">
        <v>2782</v>
      </c>
      <c r="D633" s="3" t="s">
        <v>2617</v>
      </c>
      <c r="E633" s="35" t="s">
        <v>822</v>
      </c>
      <c r="F633" s="66" t="s">
        <v>926</v>
      </c>
      <c r="G633" s="24" t="s">
        <v>2792</v>
      </c>
      <c r="H633" s="15" t="s">
        <v>2788</v>
      </c>
      <c r="I633" s="16">
        <v>40</v>
      </c>
      <c r="J633" s="16" t="str">
        <f t="shared" si="29"/>
        <v>Middle Age</v>
      </c>
      <c r="K633" s="25">
        <v>5</v>
      </c>
      <c r="L633" s="42">
        <v>10430</v>
      </c>
      <c r="M633" s="15">
        <f>5450+312</f>
        <v>5762</v>
      </c>
      <c r="N633" s="39">
        <f t="shared" si="27"/>
        <v>52150</v>
      </c>
      <c r="O633" s="39">
        <f t="shared" si="28"/>
        <v>23340</v>
      </c>
      <c r="P633" s="24" t="s">
        <v>2046</v>
      </c>
      <c r="Q633" s="24" t="s">
        <v>2016</v>
      </c>
      <c r="R633" s="1" t="s">
        <v>2013</v>
      </c>
      <c r="S633" s="15" t="s">
        <v>2082</v>
      </c>
      <c r="T633" s="15" t="s">
        <v>2442</v>
      </c>
      <c r="U633" s="25" t="s">
        <v>2089</v>
      </c>
      <c r="V633" s="25" t="s">
        <v>2435</v>
      </c>
      <c r="W633" s="80">
        <v>45174</v>
      </c>
      <c r="X633" s="21" t="s">
        <v>2820</v>
      </c>
    </row>
    <row r="634" spans="1:24" x14ac:dyDescent="0.2">
      <c r="A634" s="1">
        <v>625</v>
      </c>
      <c r="B634" s="1" t="s">
        <v>17</v>
      </c>
      <c r="C634" s="1" t="s">
        <v>2782</v>
      </c>
      <c r="D634" s="3" t="s">
        <v>4</v>
      </c>
      <c r="E634" s="35" t="s">
        <v>863</v>
      </c>
      <c r="F634" s="66" t="s">
        <v>927</v>
      </c>
      <c r="G634" s="24" t="s">
        <v>2796</v>
      </c>
      <c r="H634" s="15" t="s">
        <v>2789</v>
      </c>
      <c r="I634" s="16">
        <v>21</v>
      </c>
      <c r="J634" s="16" t="str">
        <f t="shared" si="29"/>
        <v>Young</v>
      </c>
      <c r="K634" s="25">
        <v>2</v>
      </c>
      <c r="L634" s="42">
        <v>1600</v>
      </c>
      <c r="M634" s="15">
        <f>1153</f>
        <v>1153</v>
      </c>
      <c r="N634" s="39">
        <f t="shared" si="27"/>
        <v>3200</v>
      </c>
      <c r="O634" s="39">
        <f t="shared" si="28"/>
        <v>894</v>
      </c>
      <c r="P634" s="24" t="s">
        <v>2025</v>
      </c>
      <c r="Q634" s="24" t="s">
        <v>2024</v>
      </c>
      <c r="R634" s="1" t="s">
        <v>2013</v>
      </c>
      <c r="S634" s="15" t="s">
        <v>2082</v>
      </c>
      <c r="T634" s="15" t="s">
        <v>2442</v>
      </c>
      <c r="U634" s="25" t="s">
        <v>2084</v>
      </c>
      <c r="V634" s="25" t="s">
        <v>2436</v>
      </c>
      <c r="W634" s="80">
        <v>45129</v>
      </c>
      <c r="X634" s="21" t="s">
        <v>2813</v>
      </c>
    </row>
    <row r="635" spans="1:24" x14ac:dyDescent="0.2">
      <c r="A635" s="1">
        <v>626</v>
      </c>
      <c r="B635" s="1" t="s">
        <v>24</v>
      </c>
      <c r="C635" s="1" t="s">
        <v>2782</v>
      </c>
      <c r="D635" s="3" t="s">
        <v>2618</v>
      </c>
      <c r="E635" s="35" t="s">
        <v>864</v>
      </c>
      <c r="F635" s="66" t="s">
        <v>877</v>
      </c>
      <c r="G635" s="24" t="s">
        <v>2798</v>
      </c>
      <c r="H635" s="15" t="s">
        <v>2789</v>
      </c>
      <c r="I635" s="16">
        <v>59</v>
      </c>
      <c r="J635" s="16" t="str">
        <f t="shared" si="29"/>
        <v>Old</v>
      </c>
      <c r="K635" s="25">
        <v>3</v>
      </c>
      <c r="L635" s="42">
        <v>1790</v>
      </c>
      <c r="M635" s="15">
        <v>790</v>
      </c>
      <c r="N635" s="39">
        <f t="shared" si="27"/>
        <v>5370</v>
      </c>
      <c r="O635" s="39">
        <f t="shared" si="28"/>
        <v>3000</v>
      </c>
      <c r="P635" s="24" t="s">
        <v>2057</v>
      </c>
      <c r="Q635" s="24" t="s">
        <v>2020</v>
      </c>
      <c r="R635" s="1" t="s">
        <v>2013</v>
      </c>
      <c r="S635" s="15" t="s">
        <v>2082</v>
      </c>
      <c r="T635" s="15" t="s">
        <v>2442</v>
      </c>
      <c r="U635" s="25" t="s">
        <v>2083</v>
      </c>
      <c r="V635" s="25" t="s">
        <v>2434</v>
      </c>
      <c r="W635" s="80">
        <v>45043</v>
      </c>
      <c r="X635" s="21" t="s">
        <v>2815</v>
      </c>
    </row>
    <row r="636" spans="1:24" x14ac:dyDescent="0.2">
      <c r="A636" s="1">
        <v>627</v>
      </c>
      <c r="B636" s="1" t="s">
        <v>365</v>
      </c>
      <c r="C636" s="1" t="s">
        <v>2782</v>
      </c>
      <c r="D636" s="1" t="s">
        <v>4</v>
      </c>
      <c r="E636" s="35" t="s">
        <v>822</v>
      </c>
      <c r="F636" s="66" t="s">
        <v>878</v>
      </c>
      <c r="G636" s="24" t="s">
        <v>2800</v>
      </c>
      <c r="H636" s="15" t="s">
        <v>2789</v>
      </c>
      <c r="I636" s="16">
        <v>32</v>
      </c>
      <c r="J636" s="16" t="str">
        <f t="shared" si="29"/>
        <v>Young</v>
      </c>
      <c r="K636" s="25">
        <v>4</v>
      </c>
      <c r="L636" s="42">
        <v>5010</v>
      </c>
      <c r="M636" s="15">
        <f>2900+690</f>
        <v>3590</v>
      </c>
      <c r="N636" s="39">
        <f t="shared" si="27"/>
        <v>20040</v>
      </c>
      <c r="O636" s="39">
        <f t="shared" si="28"/>
        <v>5680</v>
      </c>
      <c r="P636" s="24" t="s">
        <v>2060</v>
      </c>
      <c r="Q636" s="24" t="s">
        <v>2024</v>
      </c>
      <c r="R636" s="1" t="s">
        <v>2013</v>
      </c>
      <c r="S636" s="15" t="s">
        <v>2082</v>
      </c>
      <c r="T636" s="15" t="s">
        <v>2442</v>
      </c>
      <c r="U636" s="25" t="s">
        <v>2087</v>
      </c>
      <c r="V636" s="25" t="s">
        <v>2437</v>
      </c>
      <c r="W636" s="80">
        <v>44938</v>
      </c>
      <c r="X636" s="21" t="s">
        <v>2818</v>
      </c>
    </row>
    <row r="637" spans="1:24" x14ac:dyDescent="0.2">
      <c r="A637" s="1">
        <v>628</v>
      </c>
      <c r="B637" s="1" t="s">
        <v>366</v>
      </c>
      <c r="C637" s="1" t="s">
        <v>2782</v>
      </c>
      <c r="D637" s="3" t="s">
        <v>2619</v>
      </c>
      <c r="E637" s="35" t="s">
        <v>823</v>
      </c>
      <c r="F637" s="66" t="s">
        <v>879</v>
      </c>
      <c r="G637" s="24" t="s">
        <v>2802</v>
      </c>
      <c r="H637" s="15" t="s">
        <v>2788</v>
      </c>
      <c r="I637" s="16">
        <v>46</v>
      </c>
      <c r="J637" s="16" t="str">
        <f t="shared" si="29"/>
        <v>Middle Age</v>
      </c>
      <c r="K637" s="25">
        <v>1</v>
      </c>
      <c r="L637" s="42">
        <v>4200</v>
      </c>
      <c r="M637" s="15">
        <v>1900</v>
      </c>
      <c r="N637" s="39">
        <f t="shared" si="27"/>
        <v>4200</v>
      </c>
      <c r="O637" s="39">
        <f t="shared" si="28"/>
        <v>2300</v>
      </c>
      <c r="P637" s="24" t="s">
        <v>2039</v>
      </c>
      <c r="Q637" s="24" t="s">
        <v>2014</v>
      </c>
      <c r="R637" s="1" t="s">
        <v>2013</v>
      </c>
      <c r="S637" s="15" t="s">
        <v>2082</v>
      </c>
      <c r="T637" s="15" t="s">
        <v>2442</v>
      </c>
      <c r="U637" s="25" t="s">
        <v>2085</v>
      </c>
      <c r="V637" s="25" t="s">
        <v>2435</v>
      </c>
      <c r="W637" s="80">
        <v>45225</v>
      </c>
      <c r="X637" s="21" t="s">
        <v>2821</v>
      </c>
    </row>
    <row r="638" spans="1:24" x14ac:dyDescent="0.2">
      <c r="A638" s="1">
        <v>630</v>
      </c>
      <c r="B638" s="1" t="s">
        <v>196</v>
      </c>
      <c r="C638" s="1" t="s">
        <v>2782</v>
      </c>
      <c r="D638" s="3" t="s">
        <v>2620</v>
      </c>
      <c r="E638" s="35" t="s">
        <v>822</v>
      </c>
      <c r="F638" s="66" t="s">
        <v>880</v>
      </c>
      <c r="G638" s="24" t="s">
        <v>2804</v>
      </c>
      <c r="H638" s="15" t="s">
        <v>2789</v>
      </c>
      <c r="I638" s="16">
        <v>54</v>
      </c>
      <c r="J638" s="16" t="str">
        <f t="shared" si="29"/>
        <v>Old</v>
      </c>
      <c r="K638" s="25">
        <v>5</v>
      </c>
      <c r="L638" s="42">
        <v>4150</v>
      </c>
      <c r="M638" s="15">
        <v>1370</v>
      </c>
      <c r="N638" s="39">
        <f t="shared" si="27"/>
        <v>20750</v>
      </c>
      <c r="O638" s="39">
        <f t="shared" si="28"/>
        <v>13900</v>
      </c>
      <c r="P638" s="24" t="s">
        <v>2057</v>
      </c>
      <c r="Q638" s="24" t="s">
        <v>2020</v>
      </c>
      <c r="R638" s="1" t="s">
        <v>2013</v>
      </c>
      <c r="S638" s="15" t="s">
        <v>2082</v>
      </c>
      <c r="T638" s="15" t="s">
        <v>2442</v>
      </c>
      <c r="U638" s="25" t="s">
        <v>2087</v>
      </c>
      <c r="V638" s="25" t="s">
        <v>2434</v>
      </c>
      <c r="W638" s="80">
        <v>45223</v>
      </c>
      <c r="X638" s="21" t="s">
        <v>2821</v>
      </c>
    </row>
    <row r="639" spans="1:24" x14ac:dyDescent="0.2">
      <c r="A639" s="1">
        <v>631</v>
      </c>
      <c r="B639" s="1" t="s">
        <v>367</v>
      </c>
      <c r="C639" s="1" t="s">
        <v>2782</v>
      </c>
      <c r="D639" s="1" t="s">
        <v>2621</v>
      </c>
      <c r="E639" s="35" t="s">
        <v>828</v>
      </c>
      <c r="F639" s="66" t="s">
        <v>878</v>
      </c>
      <c r="G639" s="24" t="s">
        <v>2806</v>
      </c>
      <c r="H639" s="15" t="s">
        <v>2789</v>
      </c>
      <c r="I639" s="16">
        <v>25</v>
      </c>
      <c r="J639" s="16" t="str">
        <f t="shared" si="29"/>
        <v>Young</v>
      </c>
      <c r="K639" s="25">
        <v>3</v>
      </c>
      <c r="L639" s="42">
        <v>3700</v>
      </c>
      <c r="M639" s="15">
        <v>1850</v>
      </c>
      <c r="N639" s="39">
        <f t="shared" si="27"/>
        <v>11100</v>
      </c>
      <c r="O639" s="39">
        <f t="shared" si="28"/>
        <v>5550</v>
      </c>
      <c r="P639" s="24" t="s">
        <v>2051</v>
      </c>
      <c r="Q639" s="15" t="s">
        <v>2828</v>
      </c>
      <c r="R639" s="1" t="s">
        <v>2013</v>
      </c>
      <c r="S639" s="15" t="s">
        <v>2082</v>
      </c>
      <c r="T639" s="15" t="s">
        <v>2442</v>
      </c>
      <c r="U639" s="25" t="s">
        <v>2083</v>
      </c>
      <c r="V639" s="25" t="s">
        <v>2436</v>
      </c>
      <c r="W639" s="80">
        <v>45196</v>
      </c>
      <c r="X639" s="21" t="s">
        <v>2820</v>
      </c>
    </row>
    <row r="640" spans="1:24" x14ac:dyDescent="0.2">
      <c r="A640" s="1">
        <v>632</v>
      </c>
      <c r="B640" s="1" t="s">
        <v>369</v>
      </c>
      <c r="C640" s="1" t="s">
        <v>2782</v>
      </c>
      <c r="D640" s="1" t="s">
        <v>368</v>
      </c>
      <c r="E640" s="35" t="s">
        <v>863</v>
      </c>
      <c r="F640" s="66" t="s">
        <v>879</v>
      </c>
      <c r="G640" s="24" t="s">
        <v>2808</v>
      </c>
      <c r="H640" s="15" t="s">
        <v>2788</v>
      </c>
      <c r="I640" s="16">
        <v>43</v>
      </c>
      <c r="J640" s="16" t="str">
        <f t="shared" si="29"/>
        <v>Middle Age</v>
      </c>
      <c r="K640" s="25">
        <v>2</v>
      </c>
      <c r="L640" s="42">
        <v>9630</v>
      </c>
      <c r="M640" s="15">
        <v>4200</v>
      </c>
      <c r="N640" s="39">
        <f t="shared" si="27"/>
        <v>19260</v>
      </c>
      <c r="O640" s="39">
        <f t="shared" si="28"/>
        <v>10860</v>
      </c>
      <c r="P640" s="24" t="s">
        <v>2033</v>
      </c>
      <c r="Q640" s="24" t="s">
        <v>2016</v>
      </c>
      <c r="R640" s="1" t="s">
        <v>2013</v>
      </c>
      <c r="S640" s="15" t="s">
        <v>2082</v>
      </c>
      <c r="T640" s="15" t="s">
        <v>2442</v>
      </c>
      <c r="U640" s="25" t="s">
        <v>2084</v>
      </c>
      <c r="V640" s="25" t="s">
        <v>2437</v>
      </c>
      <c r="W640" s="80">
        <v>45142</v>
      </c>
      <c r="X640" s="21" t="s">
        <v>2819</v>
      </c>
    </row>
    <row r="641" spans="1:24" x14ac:dyDescent="0.2">
      <c r="A641" s="1">
        <v>633</v>
      </c>
      <c r="B641" s="1" t="s">
        <v>371</v>
      </c>
      <c r="C641" s="1" t="s">
        <v>2782</v>
      </c>
      <c r="D641" s="1" t="s">
        <v>370</v>
      </c>
      <c r="E641" s="35" t="s">
        <v>828</v>
      </c>
      <c r="F641" s="66" t="s">
        <v>959</v>
      </c>
      <c r="G641" s="24" t="s">
        <v>2810</v>
      </c>
      <c r="H641" s="15" t="s">
        <v>2789</v>
      </c>
      <c r="I641" s="16">
        <v>58</v>
      </c>
      <c r="J641" s="16" t="str">
        <f t="shared" si="29"/>
        <v>Old</v>
      </c>
      <c r="K641" s="25">
        <v>4</v>
      </c>
      <c r="L641" s="42">
        <v>4680</v>
      </c>
      <c r="M641" s="15">
        <v>2600</v>
      </c>
      <c r="N641" s="39">
        <f t="shared" si="27"/>
        <v>18720</v>
      </c>
      <c r="O641" s="39">
        <f t="shared" si="28"/>
        <v>8320</v>
      </c>
      <c r="P641" s="24" t="s">
        <v>2048</v>
      </c>
      <c r="Q641" s="24" t="s">
        <v>2014</v>
      </c>
      <c r="R641" s="1" t="s">
        <v>2013</v>
      </c>
      <c r="S641" s="15" t="s">
        <v>2082</v>
      </c>
      <c r="T641" s="15" t="s">
        <v>2442</v>
      </c>
      <c r="U641" s="25" t="s">
        <v>2088</v>
      </c>
      <c r="V641" s="25" t="s">
        <v>2435</v>
      </c>
      <c r="W641" s="80">
        <v>45172</v>
      </c>
      <c r="X641" s="21" t="s">
        <v>2820</v>
      </c>
    </row>
    <row r="642" spans="1:24" x14ac:dyDescent="0.2">
      <c r="A642" s="1">
        <v>634</v>
      </c>
      <c r="B642" s="1" t="s">
        <v>372</v>
      </c>
      <c r="C642" s="1" t="s">
        <v>2782</v>
      </c>
      <c r="D642" s="1" t="s">
        <v>2622</v>
      </c>
      <c r="E642" s="35" t="s">
        <v>822</v>
      </c>
      <c r="F642" s="66" t="s">
        <v>870</v>
      </c>
      <c r="G642" s="24" t="s">
        <v>2793</v>
      </c>
      <c r="H642" s="15" t="s">
        <v>2788</v>
      </c>
      <c r="I642" s="16">
        <v>20</v>
      </c>
      <c r="J642" s="16" t="str">
        <f t="shared" si="29"/>
        <v>Young</v>
      </c>
      <c r="K642" s="25">
        <v>1</v>
      </c>
      <c r="L642" s="42">
        <v>3660</v>
      </c>
      <c r="M642" s="15">
        <v>1840</v>
      </c>
      <c r="N642" s="39">
        <f t="shared" ref="N642:N705" si="30">L642*K642</f>
        <v>3660</v>
      </c>
      <c r="O642" s="39">
        <f t="shared" ref="O642:O705" si="31">N642-(M642*K642)</f>
        <v>1820</v>
      </c>
      <c r="P642" s="24" t="s">
        <v>2022</v>
      </c>
      <c r="Q642" s="24" t="s">
        <v>2016</v>
      </c>
      <c r="R642" s="1" t="s">
        <v>2013</v>
      </c>
      <c r="S642" s="15" t="s">
        <v>2082</v>
      </c>
      <c r="T642" s="15" t="s">
        <v>2442</v>
      </c>
      <c r="U642" s="25" t="s">
        <v>2083</v>
      </c>
      <c r="V642" s="25" t="s">
        <v>2436</v>
      </c>
      <c r="W642" s="80">
        <v>44984</v>
      </c>
      <c r="X642" s="21" t="s">
        <v>2817</v>
      </c>
    </row>
    <row r="643" spans="1:24" x14ac:dyDescent="0.2">
      <c r="A643" s="1">
        <v>635</v>
      </c>
      <c r="B643" s="1" t="s">
        <v>373</v>
      </c>
      <c r="C643" s="1" t="s">
        <v>2782</v>
      </c>
      <c r="D643" s="1" t="s">
        <v>2623</v>
      </c>
      <c r="E643" s="35" t="s">
        <v>822</v>
      </c>
      <c r="F643" s="66" t="s">
        <v>871</v>
      </c>
      <c r="G643" s="24" t="s">
        <v>2791</v>
      </c>
      <c r="H643" s="15" t="s">
        <v>2788</v>
      </c>
      <c r="I643" s="16">
        <v>49</v>
      </c>
      <c r="J643" s="16" t="str">
        <f t="shared" ref="J643:J706" si="32">IF(I643&lt;=35,"Young",IF(I643&lt;=49,"Middle Age",IF(I643&gt;=50,"Old")))</f>
        <v>Middle Age</v>
      </c>
      <c r="K643" s="25">
        <v>5</v>
      </c>
      <c r="L643" s="42">
        <v>2975</v>
      </c>
      <c r="M643" s="15">
        <v>1700</v>
      </c>
      <c r="N643" s="39">
        <f t="shared" si="30"/>
        <v>14875</v>
      </c>
      <c r="O643" s="39">
        <f t="shared" si="31"/>
        <v>6375</v>
      </c>
      <c r="P643" s="24" t="s">
        <v>2017</v>
      </c>
      <c r="Q643" s="24" t="s">
        <v>2016</v>
      </c>
      <c r="R643" s="1" t="s">
        <v>2013</v>
      </c>
      <c r="S643" s="15" t="s">
        <v>2082</v>
      </c>
      <c r="T643" s="15" t="s">
        <v>2442</v>
      </c>
      <c r="U643" s="25" t="s">
        <v>2089</v>
      </c>
      <c r="V643" s="25" t="s">
        <v>2434</v>
      </c>
      <c r="W643" s="80">
        <v>44979</v>
      </c>
      <c r="X643" s="21" t="s">
        <v>2817</v>
      </c>
    </row>
    <row r="644" spans="1:24" x14ac:dyDescent="0.2">
      <c r="A644" s="1">
        <v>636</v>
      </c>
      <c r="B644" s="1" t="s">
        <v>375</v>
      </c>
      <c r="C644" s="1" t="s">
        <v>2782</v>
      </c>
      <c r="D644" s="1" t="s">
        <v>374</v>
      </c>
      <c r="E644" s="35" t="s">
        <v>863</v>
      </c>
      <c r="F644" s="66" t="s">
        <v>872</v>
      </c>
      <c r="G644" s="24" t="s">
        <v>2795</v>
      </c>
      <c r="H644" s="15" t="s">
        <v>2789</v>
      </c>
      <c r="I644" s="24">
        <v>25</v>
      </c>
      <c r="J644" s="16" t="str">
        <f t="shared" si="32"/>
        <v>Young</v>
      </c>
      <c r="K644" s="25">
        <v>2</v>
      </c>
      <c r="L644" s="42">
        <v>2585</v>
      </c>
      <c r="M644" s="15">
        <v>1280</v>
      </c>
      <c r="N644" s="39">
        <f t="shared" si="30"/>
        <v>5170</v>
      </c>
      <c r="O644" s="39">
        <f t="shared" si="31"/>
        <v>2610</v>
      </c>
      <c r="P644" s="24" t="s">
        <v>2025</v>
      </c>
      <c r="Q644" s="24" t="s">
        <v>2024</v>
      </c>
      <c r="R644" s="1" t="s">
        <v>2013</v>
      </c>
      <c r="S644" s="15" t="s">
        <v>2082</v>
      </c>
      <c r="T644" s="15" t="s">
        <v>2442</v>
      </c>
      <c r="U644" s="25" t="s">
        <v>2087</v>
      </c>
      <c r="V644" s="25" t="s">
        <v>2437</v>
      </c>
      <c r="W644" s="80">
        <v>45221</v>
      </c>
      <c r="X644" s="21" t="s">
        <v>2821</v>
      </c>
    </row>
    <row r="645" spans="1:24" x14ac:dyDescent="0.2">
      <c r="A645" s="1">
        <v>637</v>
      </c>
      <c r="B645" s="1" t="s">
        <v>193</v>
      </c>
      <c r="C645" s="1" t="s">
        <v>2782</v>
      </c>
      <c r="D645" s="1" t="s">
        <v>2624</v>
      </c>
      <c r="E645" s="35" t="s">
        <v>864</v>
      </c>
      <c r="F645" s="66" t="s">
        <v>873</v>
      </c>
      <c r="G645" s="24" t="s">
        <v>2797</v>
      </c>
      <c r="H645" s="15" t="s">
        <v>2788</v>
      </c>
      <c r="I645" s="24">
        <v>31</v>
      </c>
      <c r="J645" s="16" t="str">
        <f t="shared" si="32"/>
        <v>Young</v>
      </c>
      <c r="K645" s="25">
        <v>3</v>
      </c>
      <c r="L645" s="42">
        <v>2590</v>
      </c>
      <c r="M645" s="15">
        <v>890</v>
      </c>
      <c r="N645" s="39">
        <f t="shared" si="30"/>
        <v>7770</v>
      </c>
      <c r="O645" s="39">
        <f t="shared" si="31"/>
        <v>5100</v>
      </c>
      <c r="P645" s="24" t="s">
        <v>2032</v>
      </c>
      <c r="Q645" s="15" t="s">
        <v>2016</v>
      </c>
      <c r="R645" s="1" t="s">
        <v>2013</v>
      </c>
      <c r="S645" s="15" t="s">
        <v>2082</v>
      </c>
      <c r="T645" s="15" t="s">
        <v>2442</v>
      </c>
      <c r="U645" s="25" t="s">
        <v>2086</v>
      </c>
      <c r="V645" s="25" t="s">
        <v>2435</v>
      </c>
      <c r="W645" s="80">
        <v>45092</v>
      </c>
      <c r="X645" s="21" t="s">
        <v>2814</v>
      </c>
    </row>
    <row r="646" spans="1:24" x14ac:dyDescent="0.2">
      <c r="A646" s="1">
        <v>638</v>
      </c>
      <c r="B646" s="1" t="s">
        <v>376</v>
      </c>
      <c r="C646" s="1" t="s">
        <v>2782</v>
      </c>
      <c r="D646" s="1" t="s">
        <v>2625</v>
      </c>
      <c r="E646" s="35" t="s">
        <v>823</v>
      </c>
      <c r="F646" s="66" t="s">
        <v>874</v>
      </c>
      <c r="G646" s="24" t="s">
        <v>2799</v>
      </c>
      <c r="H646" s="15" t="s">
        <v>2788</v>
      </c>
      <c r="I646" s="24">
        <v>56</v>
      </c>
      <c r="J646" s="16" t="str">
        <f t="shared" si="32"/>
        <v>Old</v>
      </c>
      <c r="K646" s="25">
        <v>4</v>
      </c>
      <c r="L646" s="42">
        <v>2930</v>
      </c>
      <c r="M646" s="15">
        <v>1130</v>
      </c>
      <c r="N646" s="39">
        <f t="shared" si="30"/>
        <v>11720</v>
      </c>
      <c r="O646" s="39">
        <f t="shared" si="31"/>
        <v>7200</v>
      </c>
      <c r="P646" s="24" t="s">
        <v>2035</v>
      </c>
      <c r="Q646" s="24" t="s">
        <v>2020</v>
      </c>
      <c r="R646" s="1" t="s">
        <v>2013</v>
      </c>
      <c r="S646" s="15" t="s">
        <v>2082</v>
      </c>
      <c r="T646" s="15" t="s">
        <v>2442</v>
      </c>
      <c r="U646" s="25" t="s">
        <v>2085</v>
      </c>
      <c r="V646" s="25" t="s">
        <v>2434</v>
      </c>
      <c r="W646" s="80">
        <v>45231</v>
      </c>
      <c r="X646" s="21" t="s">
        <v>2823</v>
      </c>
    </row>
    <row r="647" spans="1:24" x14ac:dyDescent="0.2">
      <c r="A647" s="1">
        <v>639</v>
      </c>
      <c r="B647" s="1" t="s">
        <v>377</v>
      </c>
      <c r="C647" s="1" t="s">
        <v>2782</v>
      </c>
      <c r="D647" s="1" t="s">
        <v>2626</v>
      </c>
      <c r="E647" s="35" t="s">
        <v>823</v>
      </c>
      <c r="F647" s="67" t="s">
        <v>875</v>
      </c>
      <c r="G647" s="24" t="s">
        <v>2801</v>
      </c>
      <c r="H647" s="15" t="s">
        <v>2788</v>
      </c>
      <c r="I647" s="24">
        <v>42</v>
      </c>
      <c r="J647" s="16" t="str">
        <f t="shared" si="32"/>
        <v>Middle Age</v>
      </c>
      <c r="K647" s="25">
        <v>1</v>
      </c>
      <c r="L647" s="42">
        <v>2465</v>
      </c>
      <c r="M647" s="15">
        <v>850</v>
      </c>
      <c r="N647" s="39">
        <f t="shared" si="30"/>
        <v>2465</v>
      </c>
      <c r="O647" s="39">
        <f t="shared" si="31"/>
        <v>1615</v>
      </c>
      <c r="P647" s="24" t="s">
        <v>2051</v>
      </c>
      <c r="Q647" s="15" t="s">
        <v>2828</v>
      </c>
      <c r="R647" s="1" t="s">
        <v>2013</v>
      </c>
      <c r="S647" s="15" t="s">
        <v>2082</v>
      </c>
      <c r="T647" s="15" t="s">
        <v>2442</v>
      </c>
      <c r="U647" s="25" t="s">
        <v>2089</v>
      </c>
      <c r="V647" s="25" t="s">
        <v>2436</v>
      </c>
      <c r="W647" s="80">
        <v>45289</v>
      </c>
      <c r="X647" s="21" t="s">
        <v>2822</v>
      </c>
    </row>
    <row r="648" spans="1:24" x14ac:dyDescent="0.2">
      <c r="A648" s="1">
        <v>640</v>
      </c>
      <c r="B648" s="1" t="s">
        <v>379</v>
      </c>
      <c r="C648" s="1" t="s">
        <v>2782</v>
      </c>
      <c r="D648" s="1" t="s">
        <v>378</v>
      </c>
      <c r="E648" s="35" t="s">
        <v>863</v>
      </c>
      <c r="F648" s="66" t="s">
        <v>876</v>
      </c>
      <c r="G648" s="24" t="s">
        <v>2803</v>
      </c>
      <c r="H648" s="15" t="s">
        <v>2788</v>
      </c>
      <c r="I648" s="24">
        <v>34</v>
      </c>
      <c r="J648" s="16" t="str">
        <f t="shared" si="32"/>
        <v>Young</v>
      </c>
      <c r="K648" s="25">
        <v>5</v>
      </c>
      <c r="L648" s="42">
        <v>20840</v>
      </c>
      <c r="M648" s="15">
        <v>12500</v>
      </c>
      <c r="N648" s="39">
        <f t="shared" si="30"/>
        <v>104200</v>
      </c>
      <c r="O648" s="39">
        <f t="shared" si="31"/>
        <v>41700</v>
      </c>
      <c r="P648" s="24" t="s">
        <v>2036</v>
      </c>
      <c r="Q648" s="24" t="s">
        <v>2014</v>
      </c>
      <c r="R648" s="1" t="s">
        <v>2013</v>
      </c>
      <c r="S648" s="15" t="s">
        <v>2082</v>
      </c>
      <c r="T648" s="15" t="s">
        <v>2442</v>
      </c>
      <c r="U648" s="25" t="s">
        <v>2088</v>
      </c>
      <c r="V648" s="25" t="s">
        <v>2437</v>
      </c>
      <c r="W648" s="80">
        <v>45131</v>
      </c>
      <c r="X648" s="21" t="s">
        <v>2813</v>
      </c>
    </row>
    <row r="649" spans="1:24" x14ac:dyDescent="0.2">
      <c r="A649" s="1">
        <v>641</v>
      </c>
      <c r="B649" s="1" t="s">
        <v>380</v>
      </c>
      <c r="C649" s="1" t="s">
        <v>2782</v>
      </c>
      <c r="D649" s="4" t="s">
        <v>378</v>
      </c>
      <c r="E649" s="35" t="s">
        <v>822</v>
      </c>
      <c r="F649" s="66" t="s">
        <v>877</v>
      </c>
      <c r="G649" s="24" t="s">
        <v>2805</v>
      </c>
      <c r="H649" s="15" t="s">
        <v>2789</v>
      </c>
      <c r="I649" s="24">
        <v>23</v>
      </c>
      <c r="J649" s="16" t="str">
        <f t="shared" si="32"/>
        <v>Young</v>
      </c>
      <c r="K649" s="25">
        <v>3</v>
      </c>
      <c r="L649" s="42">
        <v>20840</v>
      </c>
      <c r="M649" s="15">
        <v>12500</v>
      </c>
      <c r="N649" s="39">
        <f t="shared" si="30"/>
        <v>62520</v>
      </c>
      <c r="O649" s="39">
        <f t="shared" si="31"/>
        <v>25020</v>
      </c>
      <c r="P649" s="24" t="s">
        <v>2047</v>
      </c>
      <c r="Q649" s="24" t="s">
        <v>2024</v>
      </c>
      <c r="R649" s="1" t="s">
        <v>2013</v>
      </c>
      <c r="S649" s="15" t="s">
        <v>2082</v>
      </c>
      <c r="T649" s="15" t="s">
        <v>2442</v>
      </c>
      <c r="U649" s="25" t="s">
        <v>2084</v>
      </c>
      <c r="V649" s="25" t="s">
        <v>2435</v>
      </c>
      <c r="W649" s="80">
        <v>45173</v>
      </c>
      <c r="X649" s="21" t="s">
        <v>2820</v>
      </c>
    </row>
    <row r="650" spans="1:24" x14ac:dyDescent="0.2">
      <c r="A650" s="1">
        <v>642</v>
      </c>
      <c r="B650" s="1" t="s">
        <v>381</v>
      </c>
      <c r="C650" s="1" t="s">
        <v>2782</v>
      </c>
      <c r="D650" s="1" t="s">
        <v>287</v>
      </c>
      <c r="E650" s="35" t="s">
        <v>864</v>
      </c>
      <c r="F650" s="66" t="s">
        <v>878</v>
      </c>
      <c r="G650" s="24" t="s">
        <v>2807</v>
      </c>
      <c r="H650" s="15" t="s">
        <v>2789</v>
      </c>
      <c r="I650" s="24">
        <v>56</v>
      </c>
      <c r="J650" s="16" t="str">
        <f t="shared" si="32"/>
        <v>Old</v>
      </c>
      <c r="K650" s="25">
        <v>2</v>
      </c>
      <c r="L650" s="42">
        <f>5580+550</f>
        <v>6130</v>
      </c>
      <c r="M650" s="15">
        <f>3150+500</f>
        <v>3650</v>
      </c>
      <c r="N650" s="39">
        <f t="shared" si="30"/>
        <v>12260</v>
      </c>
      <c r="O650" s="39">
        <f t="shared" si="31"/>
        <v>4960</v>
      </c>
      <c r="P650" s="24" t="s">
        <v>2018</v>
      </c>
      <c r="Q650" s="15" t="s">
        <v>2828</v>
      </c>
      <c r="R650" s="1" t="s">
        <v>2013</v>
      </c>
      <c r="S650" s="15" t="s">
        <v>2082</v>
      </c>
      <c r="T650" s="15" t="s">
        <v>2442</v>
      </c>
      <c r="U650" s="25" t="s">
        <v>2088</v>
      </c>
      <c r="V650" s="25" t="s">
        <v>2436</v>
      </c>
      <c r="W650" s="80">
        <v>45232</v>
      </c>
      <c r="X650" s="21" t="s">
        <v>2823</v>
      </c>
    </row>
    <row r="651" spans="1:24" x14ac:dyDescent="0.2">
      <c r="A651" s="1">
        <v>643</v>
      </c>
      <c r="B651" s="1" t="s">
        <v>382</v>
      </c>
      <c r="C651" s="1" t="s">
        <v>2782</v>
      </c>
      <c r="D651" s="1" t="s">
        <v>2627</v>
      </c>
      <c r="E651" s="35" t="s">
        <v>863</v>
      </c>
      <c r="F651" s="66" t="s">
        <v>879</v>
      </c>
      <c r="G651" s="24" t="s">
        <v>2809</v>
      </c>
      <c r="H651" s="15" t="s">
        <v>2788</v>
      </c>
      <c r="I651" s="24">
        <v>24</v>
      </c>
      <c r="J651" s="16" t="str">
        <f t="shared" si="32"/>
        <v>Young</v>
      </c>
      <c r="K651" s="25">
        <v>4</v>
      </c>
      <c r="L651" s="42">
        <v>2850</v>
      </c>
      <c r="M651" s="15">
        <v>1150</v>
      </c>
      <c r="N651" s="39">
        <f t="shared" si="30"/>
        <v>11400</v>
      </c>
      <c r="O651" s="39">
        <f t="shared" si="31"/>
        <v>6800</v>
      </c>
      <c r="P651" s="24" t="s">
        <v>2026</v>
      </c>
      <c r="Q651" s="15" t="s">
        <v>2014</v>
      </c>
      <c r="R651" s="1" t="s">
        <v>2013</v>
      </c>
      <c r="S651" s="15" t="s">
        <v>2082</v>
      </c>
      <c r="T651" s="15" t="s">
        <v>2442</v>
      </c>
      <c r="U651" s="25" t="s">
        <v>2090</v>
      </c>
      <c r="V651" s="25" t="s">
        <v>2434</v>
      </c>
      <c r="W651" s="80">
        <v>45169</v>
      </c>
      <c r="X651" s="21" t="s">
        <v>2819</v>
      </c>
    </row>
    <row r="652" spans="1:24" x14ac:dyDescent="0.2">
      <c r="A652" s="1">
        <v>645</v>
      </c>
      <c r="B652" s="1" t="s">
        <v>5</v>
      </c>
      <c r="C652" s="1" t="s">
        <v>2782</v>
      </c>
      <c r="D652" s="1" t="s">
        <v>4</v>
      </c>
      <c r="E652" s="35" t="s">
        <v>864</v>
      </c>
      <c r="F652" s="66" t="s">
        <v>880</v>
      </c>
      <c r="G652" s="24" t="s">
        <v>2794</v>
      </c>
      <c r="H652" s="15" t="s">
        <v>2789</v>
      </c>
      <c r="I652" s="24">
        <v>64</v>
      </c>
      <c r="J652" s="16" t="str">
        <f t="shared" si="32"/>
        <v>Old</v>
      </c>
      <c r="K652" s="25">
        <v>1</v>
      </c>
      <c r="L652" s="42">
        <v>1190</v>
      </c>
      <c r="M652" s="15">
        <v>650</v>
      </c>
      <c r="N652" s="39">
        <f t="shared" si="30"/>
        <v>1190</v>
      </c>
      <c r="O652" s="39">
        <f t="shared" si="31"/>
        <v>540</v>
      </c>
      <c r="P652" s="24" t="s">
        <v>2062</v>
      </c>
      <c r="Q652" s="15" t="s">
        <v>2828</v>
      </c>
      <c r="R652" s="1" t="s">
        <v>2013</v>
      </c>
      <c r="S652" s="15" t="s">
        <v>2082</v>
      </c>
      <c r="T652" s="15" t="s">
        <v>2442</v>
      </c>
      <c r="U652" s="25" t="s">
        <v>2088</v>
      </c>
      <c r="V652" s="25" t="s">
        <v>2437</v>
      </c>
      <c r="W652" s="80">
        <v>44977</v>
      </c>
      <c r="X652" s="21" t="s">
        <v>2817</v>
      </c>
    </row>
    <row r="653" spans="1:24" x14ac:dyDescent="0.2">
      <c r="A653" s="1">
        <v>646</v>
      </c>
      <c r="B653" s="1" t="s">
        <v>383</v>
      </c>
      <c r="C653" s="1" t="s">
        <v>2782</v>
      </c>
      <c r="D653" s="1" t="s">
        <v>287</v>
      </c>
      <c r="E653" s="35" t="s">
        <v>822</v>
      </c>
      <c r="F653" s="66" t="s">
        <v>881</v>
      </c>
      <c r="G653" s="24" t="s">
        <v>2792</v>
      </c>
      <c r="H653" s="15" t="s">
        <v>2789</v>
      </c>
      <c r="I653" s="24">
        <v>64</v>
      </c>
      <c r="J653" s="16" t="str">
        <f t="shared" si="32"/>
        <v>Old</v>
      </c>
      <c r="K653" s="25">
        <v>5</v>
      </c>
      <c r="L653" s="42">
        <f>4880+550</f>
        <v>5430</v>
      </c>
      <c r="M653" s="15">
        <f>2450+500</f>
        <v>2950</v>
      </c>
      <c r="N653" s="39">
        <f t="shared" si="30"/>
        <v>27150</v>
      </c>
      <c r="O653" s="39">
        <f t="shared" si="31"/>
        <v>12400</v>
      </c>
      <c r="P653" s="24" t="s">
        <v>2036</v>
      </c>
      <c r="Q653" s="24" t="s">
        <v>2014</v>
      </c>
      <c r="R653" s="1" t="s">
        <v>2013</v>
      </c>
      <c r="S653" s="15" t="s">
        <v>2082</v>
      </c>
      <c r="T653" s="15" t="s">
        <v>2442</v>
      </c>
      <c r="U653" s="25" t="s">
        <v>2083</v>
      </c>
      <c r="V653" s="25" t="s">
        <v>2435</v>
      </c>
      <c r="W653" s="80">
        <v>44973</v>
      </c>
      <c r="X653" s="21" t="s">
        <v>2817</v>
      </c>
    </row>
    <row r="654" spans="1:24" x14ac:dyDescent="0.2">
      <c r="A654" s="1">
        <v>647</v>
      </c>
      <c r="B654" s="1" t="s">
        <v>236</v>
      </c>
      <c r="C654" s="1" t="s">
        <v>2782</v>
      </c>
      <c r="D654" s="1" t="s">
        <v>384</v>
      </c>
      <c r="E654" s="35" t="s">
        <v>863</v>
      </c>
      <c r="F654" s="66" t="s">
        <v>965</v>
      </c>
      <c r="G654" s="24" t="s">
        <v>2796</v>
      </c>
      <c r="H654" s="15" t="s">
        <v>2788</v>
      </c>
      <c r="I654" s="24">
        <v>23</v>
      </c>
      <c r="J654" s="16" t="str">
        <f t="shared" si="32"/>
        <v>Young</v>
      </c>
      <c r="K654" s="25">
        <v>2</v>
      </c>
      <c r="L654" s="42">
        <v>3320</v>
      </c>
      <c r="M654" s="15">
        <v>1850</v>
      </c>
      <c r="N654" s="39">
        <f t="shared" si="30"/>
        <v>6640</v>
      </c>
      <c r="O654" s="39">
        <f t="shared" si="31"/>
        <v>2940</v>
      </c>
      <c r="P654" s="24" t="s">
        <v>2022</v>
      </c>
      <c r="Q654" s="24" t="s">
        <v>2016</v>
      </c>
      <c r="R654" s="1" t="s">
        <v>2013</v>
      </c>
      <c r="S654" s="15" t="s">
        <v>2082</v>
      </c>
      <c r="T654" s="15" t="s">
        <v>2442</v>
      </c>
      <c r="U654" s="25" t="s">
        <v>2085</v>
      </c>
      <c r="V654" s="25" t="s">
        <v>2434</v>
      </c>
      <c r="W654" s="80">
        <v>44977</v>
      </c>
      <c r="X654" s="21" t="s">
        <v>2817</v>
      </c>
    </row>
    <row r="655" spans="1:24" x14ac:dyDescent="0.2">
      <c r="A655" s="1">
        <v>648</v>
      </c>
      <c r="B655" s="1" t="s">
        <v>385</v>
      </c>
      <c r="C655" s="1" t="s">
        <v>2782</v>
      </c>
      <c r="D655" s="1" t="s">
        <v>2628</v>
      </c>
      <c r="E655" s="35" t="s">
        <v>864</v>
      </c>
      <c r="F655" s="67" t="s">
        <v>976</v>
      </c>
      <c r="G655" s="24" t="s">
        <v>2798</v>
      </c>
      <c r="H655" s="15" t="s">
        <v>2789</v>
      </c>
      <c r="I655" s="24">
        <v>19</v>
      </c>
      <c r="J655" s="16" t="str">
        <f t="shared" si="32"/>
        <v>Young</v>
      </c>
      <c r="K655" s="25">
        <v>3</v>
      </c>
      <c r="L655" s="42">
        <v>4390</v>
      </c>
      <c r="M655" s="15">
        <v>1790</v>
      </c>
      <c r="N655" s="39">
        <f t="shared" si="30"/>
        <v>13170</v>
      </c>
      <c r="O655" s="39">
        <f t="shared" si="31"/>
        <v>7800</v>
      </c>
      <c r="P655" s="24" t="s">
        <v>2047</v>
      </c>
      <c r="Q655" s="24" t="s">
        <v>2024</v>
      </c>
      <c r="R655" s="1" t="s">
        <v>2013</v>
      </c>
      <c r="S655" s="15" t="s">
        <v>2082</v>
      </c>
      <c r="T655" s="15" t="s">
        <v>2442</v>
      </c>
      <c r="U655" s="25" t="s">
        <v>2083</v>
      </c>
      <c r="V655" s="25" t="s">
        <v>2436</v>
      </c>
      <c r="W655" s="80">
        <v>45291</v>
      </c>
      <c r="X655" s="21" t="s">
        <v>2822</v>
      </c>
    </row>
    <row r="656" spans="1:24" x14ac:dyDescent="0.2">
      <c r="A656" s="1">
        <v>650</v>
      </c>
      <c r="B656" s="1" t="s">
        <v>387</v>
      </c>
      <c r="C656" s="1" t="s">
        <v>2782</v>
      </c>
      <c r="D656" s="1" t="s">
        <v>386</v>
      </c>
      <c r="E656" s="35" t="s">
        <v>822</v>
      </c>
      <c r="F656" s="66" t="s">
        <v>966</v>
      </c>
      <c r="G656" s="24" t="s">
        <v>2800</v>
      </c>
      <c r="H656" s="15" t="s">
        <v>2788</v>
      </c>
      <c r="I656" s="24">
        <v>21</v>
      </c>
      <c r="J656" s="16" t="str">
        <f t="shared" si="32"/>
        <v>Young</v>
      </c>
      <c r="K656" s="25">
        <v>4</v>
      </c>
      <c r="L656" s="42">
        <v>5400</v>
      </c>
      <c r="M656" s="15">
        <v>3900</v>
      </c>
      <c r="N656" s="39">
        <f t="shared" si="30"/>
        <v>21600</v>
      </c>
      <c r="O656" s="39">
        <f t="shared" si="31"/>
        <v>6000</v>
      </c>
      <c r="P656" s="24" t="s">
        <v>2030</v>
      </c>
      <c r="Q656" s="24" t="s">
        <v>2024</v>
      </c>
      <c r="R656" s="1" t="s">
        <v>2013</v>
      </c>
      <c r="S656" s="15" t="s">
        <v>2082</v>
      </c>
      <c r="T656" s="15" t="s">
        <v>2442</v>
      </c>
      <c r="U656" s="25" t="s">
        <v>2089</v>
      </c>
      <c r="V656" s="25" t="s">
        <v>2437</v>
      </c>
      <c r="W656" s="80">
        <v>45078</v>
      </c>
      <c r="X656" s="21" t="s">
        <v>2814</v>
      </c>
    </row>
    <row r="657" spans="1:24" x14ac:dyDescent="0.2">
      <c r="A657" s="1">
        <v>651</v>
      </c>
      <c r="B657" s="1" t="s">
        <v>389</v>
      </c>
      <c r="C657" s="1" t="s">
        <v>2782</v>
      </c>
      <c r="D657" s="1" t="s">
        <v>388</v>
      </c>
      <c r="E657" s="35" t="s">
        <v>863</v>
      </c>
      <c r="F657" s="67" t="s">
        <v>977</v>
      </c>
      <c r="G657" s="24" t="s">
        <v>2802</v>
      </c>
      <c r="H657" s="15" t="s">
        <v>2789</v>
      </c>
      <c r="I657" s="24">
        <v>56</v>
      </c>
      <c r="J657" s="16" t="str">
        <f t="shared" si="32"/>
        <v>Old</v>
      </c>
      <c r="K657" s="25">
        <v>1</v>
      </c>
      <c r="L657" s="42">
        <v>3890</v>
      </c>
      <c r="M657" s="15">
        <v>1690</v>
      </c>
      <c r="N657" s="39">
        <f t="shared" si="30"/>
        <v>3890</v>
      </c>
      <c r="O657" s="39">
        <f t="shared" si="31"/>
        <v>2200</v>
      </c>
      <c r="P657" s="24" t="s">
        <v>2041</v>
      </c>
      <c r="Q657" s="24" t="s">
        <v>2016</v>
      </c>
      <c r="R657" s="1" t="s">
        <v>2013</v>
      </c>
      <c r="S657" s="15" t="s">
        <v>2082</v>
      </c>
      <c r="T657" s="15" t="s">
        <v>2442</v>
      </c>
      <c r="U657" s="25" t="s">
        <v>2087</v>
      </c>
      <c r="V657" s="25" t="s">
        <v>2435</v>
      </c>
      <c r="W657" s="80">
        <v>45032</v>
      </c>
      <c r="X657" s="21" t="s">
        <v>2815</v>
      </c>
    </row>
    <row r="658" spans="1:24" x14ac:dyDescent="0.2">
      <c r="A658" s="1">
        <v>652</v>
      </c>
      <c r="B658" s="1" t="s">
        <v>391</v>
      </c>
      <c r="C658" s="1" t="s">
        <v>2782</v>
      </c>
      <c r="D658" s="1" t="s">
        <v>390</v>
      </c>
      <c r="E658" s="35" t="s">
        <v>864</v>
      </c>
      <c r="F658" s="66" t="s">
        <v>937</v>
      </c>
      <c r="G658" s="24" t="s">
        <v>2804</v>
      </c>
      <c r="H658" s="15" t="s">
        <v>2788</v>
      </c>
      <c r="I658" s="24">
        <v>34</v>
      </c>
      <c r="J658" s="16" t="str">
        <f t="shared" si="32"/>
        <v>Young</v>
      </c>
      <c r="K658" s="25">
        <v>5</v>
      </c>
      <c r="L658" s="42">
        <f>5950+670</f>
        <v>6620</v>
      </c>
      <c r="M658" s="15">
        <f>3550+500</f>
        <v>4050</v>
      </c>
      <c r="N658" s="39">
        <f t="shared" si="30"/>
        <v>33100</v>
      </c>
      <c r="O658" s="39">
        <f t="shared" si="31"/>
        <v>12850</v>
      </c>
      <c r="P658" s="24" t="s">
        <v>2036</v>
      </c>
      <c r="Q658" s="24" t="s">
        <v>2014</v>
      </c>
      <c r="R658" s="1" t="s">
        <v>2013</v>
      </c>
      <c r="S658" s="15" t="s">
        <v>2082</v>
      </c>
      <c r="T658" s="15" t="s">
        <v>2442</v>
      </c>
      <c r="U658" s="25" t="s">
        <v>2089</v>
      </c>
      <c r="V658" s="25" t="s">
        <v>2436</v>
      </c>
      <c r="W658" s="80">
        <v>45095</v>
      </c>
      <c r="X658" s="21" t="s">
        <v>2814</v>
      </c>
    </row>
    <row r="659" spans="1:24" x14ac:dyDescent="0.2">
      <c r="A659" s="1">
        <v>653</v>
      </c>
      <c r="B659" s="1" t="s">
        <v>555</v>
      </c>
      <c r="C659" s="1" t="s">
        <v>2782</v>
      </c>
      <c r="D659" s="1" t="s">
        <v>267</v>
      </c>
      <c r="E659" s="35" t="s">
        <v>822</v>
      </c>
      <c r="F659" s="67" t="s">
        <v>978</v>
      </c>
      <c r="G659" s="24" t="s">
        <v>2806</v>
      </c>
      <c r="H659" s="15" t="s">
        <v>2789</v>
      </c>
      <c r="I659" s="24">
        <v>64</v>
      </c>
      <c r="J659" s="16" t="str">
        <f t="shared" si="32"/>
        <v>Old</v>
      </c>
      <c r="K659" s="25">
        <v>5</v>
      </c>
      <c r="L659" s="42">
        <v>700</v>
      </c>
      <c r="M659" s="15">
        <v>300</v>
      </c>
      <c r="N659" s="39">
        <f t="shared" si="30"/>
        <v>3500</v>
      </c>
      <c r="O659" s="39">
        <f t="shared" si="31"/>
        <v>2000</v>
      </c>
      <c r="P659" s="24" t="s">
        <v>2054</v>
      </c>
      <c r="Q659" s="24" t="s">
        <v>2016</v>
      </c>
      <c r="R659" s="1" t="s">
        <v>2013</v>
      </c>
      <c r="S659" s="15" t="s">
        <v>2082</v>
      </c>
      <c r="T659" s="15" t="s">
        <v>2442</v>
      </c>
      <c r="U659" s="25" t="s">
        <v>2088</v>
      </c>
      <c r="V659" s="25" t="s">
        <v>2434</v>
      </c>
      <c r="W659" s="80">
        <v>45114</v>
      </c>
      <c r="X659" s="21" t="s">
        <v>2813</v>
      </c>
    </row>
    <row r="660" spans="1:24" x14ac:dyDescent="0.2">
      <c r="A660" s="1">
        <v>654</v>
      </c>
      <c r="B660" s="1" t="s">
        <v>393</v>
      </c>
      <c r="C660" s="1" t="s">
        <v>2782</v>
      </c>
      <c r="D660" s="1" t="s">
        <v>392</v>
      </c>
      <c r="E660" s="35" t="s">
        <v>863</v>
      </c>
      <c r="F660" s="66" t="s">
        <v>967</v>
      </c>
      <c r="G660" s="24" t="s">
        <v>2808</v>
      </c>
      <c r="H660" s="15" t="s">
        <v>2789</v>
      </c>
      <c r="I660" s="24">
        <v>78</v>
      </c>
      <c r="J660" s="16" t="str">
        <f t="shared" si="32"/>
        <v>Old</v>
      </c>
      <c r="K660" s="25">
        <v>3</v>
      </c>
      <c r="L660" s="42">
        <f>6250+670</f>
        <v>6920</v>
      </c>
      <c r="M660" s="15">
        <f>3250+500</f>
        <v>3750</v>
      </c>
      <c r="N660" s="39">
        <f t="shared" si="30"/>
        <v>20760</v>
      </c>
      <c r="O660" s="39">
        <f t="shared" si="31"/>
        <v>9510</v>
      </c>
      <c r="P660" s="24" t="s">
        <v>2049</v>
      </c>
      <c r="Q660" s="24" t="s">
        <v>2016</v>
      </c>
      <c r="R660" s="1" t="s">
        <v>2013</v>
      </c>
      <c r="S660" s="15" t="s">
        <v>2082</v>
      </c>
      <c r="T660" s="15" t="s">
        <v>2442</v>
      </c>
      <c r="U660" s="25" t="s">
        <v>2088</v>
      </c>
      <c r="V660" s="25" t="s">
        <v>2437</v>
      </c>
      <c r="W660" s="80">
        <v>45277</v>
      </c>
      <c r="X660" s="21" t="s">
        <v>2822</v>
      </c>
    </row>
    <row r="661" spans="1:24" x14ac:dyDescent="0.2">
      <c r="A661" s="1">
        <v>655</v>
      </c>
      <c r="B661" s="1" t="s">
        <v>395</v>
      </c>
      <c r="C661" s="1" t="s">
        <v>2782</v>
      </c>
      <c r="D661" s="1" t="s">
        <v>394</v>
      </c>
      <c r="E661" s="35" t="s">
        <v>822</v>
      </c>
      <c r="F661" s="67" t="s">
        <v>979</v>
      </c>
      <c r="G661" s="24" t="s">
        <v>2810</v>
      </c>
      <c r="H661" s="15" t="s">
        <v>2788</v>
      </c>
      <c r="I661" s="24">
        <v>54</v>
      </c>
      <c r="J661" s="16" t="str">
        <f t="shared" si="32"/>
        <v>Old</v>
      </c>
      <c r="K661" s="25">
        <v>2</v>
      </c>
      <c r="L661" s="42">
        <f>3840+670</f>
        <v>4510</v>
      </c>
      <c r="M661" s="15">
        <f>2050+500</f>
        <v>2550</v>
      </c>
      <c r="N661" s="39">
        <f t="shared" si="30"/>
        <v>9020</v>
      </c>
      <c r="O661" s="39">
        <f t="shared" si="31"/>
        <v>3920</v>
      </c>
      <c r="P661" s="24" t="s">
        <v>2052</v>
      </c>
      <c r="Q661" s="15" t="s">
        <v>2016</v>
      </c>
      <c r="R661" s="1" t="s">
        <v>2013</v>
      </c>
      <c r="S661" s="15" t="s">
        <v>2082</v>
      </c>
      <c r="T661" s="15" t="s">
        <v>2442</v>
      </c>
      <c r="U661" s="25" t="s">
        <v>2088</v>
      </c>
      <c r="V661" s="25" t="s">
        <v>2435</v>
      </c>
      <c r="W661" s="80">
        <v>45128</v>
      </c>
      <c r="X661" s="21" t="s">
        <v>2813</v>
      </c>
    </row>
    <row r="662" spans="1:24" x14ac:dyDescent="0.2">
      <c r="A662" s="1">
        <v>656</v>
      </c>
      <c r="B662" s="1" t="s">
        <v>555</v>
      </c>
      <c r="C662" s="1" t="s">
        <v>2782</v>
      </c>
      <c r="D662" s="1" t="s">
        <v>2629</v>
      </c>
      <c r="E662" s="35" t="s">
        <v>863</v>
      </c>
      <c r="F662" s="66" t="s">
        <v>968</v>
      </c>
      <c r="G662" s="24" t="s">
        <v>2793</v>
      </c>
      <c r="H662" s="15" t="s">
        <v>2788</v>
      </c>
      <c r="I662" s="24">
        <v>32</v>
      </c>
      <c r="J662" s="16" t="str">
        <f t="shared" si="32"/>
        <v>Young</v>
      </c>
      <c r="K662" s="25">
        <v>4</v>
      </c>
      <c r="L662" s="42">
        <f>3420+560-70</f>
        <v>3910</v>
      </c>
      <c r="M662" s="15">
        <f>560+20*128</f>
        <v>3120</v>
      </c>
      <c r="N662" s="39">
        <f t="shared" si="30"/>
        <v>15640</v>
      </c>
      <c r="O662" s="39">
        <f t="shared" si="31"/>
        <v>3160</v>
      </c>
      <c r="P662" s="24" t="s">
        <v>2041</v>
      </c>
      <c r="Q662" s="24" t="s">
        <v>2016</v>
      </c>
      <c r="R662" s="1" t="s">
        <v>2013</v>
      </c>
      <c r="S662" s="15" t="s">
        <v>2082</v>
      </c>
      <c r="T662" s="15" t="s">
        <v>2442</v>
      </c>
      <c r="U662" s="25" t="s">
        <v>2089</v>
      </c>
      <c r="V662" s="25" t="s">
        <v>2434</v>
      </c>
      <c r="W662" s="80">
        <v>45007</v>
      </c>
      <c r="X662" s="21" t="s">
        <v>2816</v>
      </c>
    </row>
    <row r="663" spans="1:24" x14ac:dyDescent="0.2">
      <c r="A663" s="1">
        <v>657</v>
      </c>
      <c r="B663" s="1" t="s">
        <v>397</v>
      </c>
      <c r="C663" s="1" t="s">
        <v>2782</v>
      </c>
      <c r="D663" s="1" t="s">
        <v>396</v>
      </c>
      <c r="E663" s="35" t="s">
        <v>864</v>
      </c>
      <c r="F663" s="67" t="s">
        <v>980</v>
      </c>
      <c r="G663" s="24" t="s">
        <v>2791</v>
      </c>
      <c r="H663" s="15" t="s">
        <v>2788</v>
      </c>
      <c r="I663" s="16">
        <v>24</v>
      </c>
      <c r="J663" s="16" t="str">
        <f t="shared" si="32"/>
        <v>Young</v>
      </c>
      <c r="K663" s="25">
        <v>1</v>
      </c>
      <c r="L663" s="42">
        <v>3450</v>
      </c>
      <c r="M663" s="15">
        <v>1050</v>
      </c>
      <c r="N663" s="39">
        <f t="shared" si="30"/>
        <v>3450</v>
      </c>
      <c r="O663" s="39">
        <f t="shared" si="31"/>
        <v>2400</v>
      </c>
      <c r="P663" s="24" t="s">
        <v>2017</v>
      </c>
      <c r="Q663" s="24" t="s">
        <v>2016</v>
      </c>
      <c r="R663" s="1" t="s">
        <v>2013</v>
      </c>
      <c r="S663" s="15" t="s">
        <v>2082</v>
      </c>
      <c r="T663" s="15" t="s">
        <v>2442</v>
      </c>
      <c r="U663" s="25" t="s">
        <v>2087</v>
      </c>
      <c r="V663" s="25" t="s">
        <v>2436</v>
      </c>
      <c r="W663" s="80">
        <v>44998</v>
      </c>
      <c r="X663" s="21" t="s">
        <v>2816</v>
      </c>
    </row>
    <row r="664" spans="1:24" x14ac:dyDescent="0.2">
      <c r="A664" s="1">
        <v>658</v>
      </c>
      <c r="B664" s="1" t="s">
        <v>399</v>
      </c>
      <c r="C664" s="1" t="s">
        <v>2782</v>
      </c>
      <c r="D664" s="1" t="s">
        <v>398</v>
      </c>
      <c r="E664" s="35" t="s">
        <v>823</v>
      </c>
      <c r="F664" s="66" t="s">
        <v>969</v>
      </c>
      <c r="G664" s="24" t="s">
        <v>2795</v>
      </c>
      <c r="H664" s="15" t="s">
        <v>2788</v>
      </c>
      <c r="I664" s="16">
        <v>57</v>
      </c>
      <c r="J664" s="16" t="str">
        <f t="shared" si="32"/>
        <v>Old</v>
      </c>
      <c r="K664" s="25">
        <v>5</v>
      </c>
      <c r="L664" s="49">
        <v>5570</v>
      </c>
      <c r="M664" s="15">
        <v>2470</v>
      </c>
      <c r="N664" s="39">
        <f t="shared" si="30"/>
        <v>27850</v>
      </c>
      <c r="O664" s="39">
        <f t="shared" si="31"/>
        <v>15500</v>
      </c>
      <c r="P664" s="24" t="s">
        <v>2044</v>
      </c>
      <c r="Q664" s="24" t="s">
        <v>2020</v>
      </c>
      <c r="R664" s="1" t="s">
        <v>2013</v>
      </c>
      <c r="S664" s="15" t="s">
        <v>2082</v>
      </c>
      <c r="T664" s="15" t="s">
        <v>2442</v>
      </c>
      <c r="U664" s="25" t="s">
        <v>2086</v>
      </c>
      <c r="V664" s="25" t="s">
        <v>2437</v>
      </c>
      <c r="W664" s="80">
        <v>44931</v>
      </c>
      <c r="X664" s="21" t="s">
        <v>2818</v>
      </c>
    </row>
    <row r="665" spans="1:24" x14ac:dyDescent="0.2">
      <c r="A665" s="1">
        <v>659</v>
      </c>
      <c r="B665" s="1" t="s">
        <v>555</v>
      </c>
      <c r="C665" s="1" t="s">
        <v>2782</v>
      </c>
      <c r="D665" s="1" t="s">
        <v>2630</v>
      </c>
      <c r="E665" s="35" t="s">
        <v>823</v>
      </c>
      <c r="F665" s="67" t="s">
        <v>970</v>
      </c>
      <c r="G665" s="24" t="s">
        <v>2797</v>
      </c>
      <c r="H665" s="15" t="s">
        <v>2788</v>
      </c>
      <c r="I665" s="16">
        <v>35</v>
      </c>
      <c r="J665" s="16" t="str">
        <f t="shared" si="32"/>
        <v>Young</v>
      </c>
      <c r="K665" s="25">
        <v>2</v>
      </c>
      <c r="L665" s="42">
        <f>700+500</f>
        <v>1200</v>
      </c>
      <c r="M665" s="15">
        <v>550</v>
      </c>
      <c r="N665" s="39">
        <f t="shared" si="30"/>
        <v>2400</v>
      </c>
      <c r="O665" s="39">
        <f t="shared" si="31"/>
        <v>1300</v>
      </c>
      <c r="P665" s="24" t="s">
        <v>2018</v>
      </c>
      <c r="Q665" s="15" t="s">
        <v>2828</v>
      </c>
      <c r="R665" s="1" t="s">
        <v>2013</v>
      </c>
      <c r="S665" s="15" t="s">
        <v>2082</v>
      </c>
      <c r="T665" s="15" t="s">
        <v>2442</v>
      </c>
      <c r="U665" s="25" t="s">
        <v>2087</v>
      </c>
      <c r="V665" s="25" t="s">
        <v>2435</v>
      </c>
      <c r="W665" s="80">
        <v>45214</v>
      </c>
      <c r="X665" s="21" t="s">
        <v>2821</v>
      </c>
    </row>
    <row r="666" spans="1:24" x14ac:dyDescent="0.2">
      <c r="A666" s="1">
        <v>660</v>
      </c>
      <c r="B666" s="1" t="s">
        <v>401</v>
      </c>
      <c r="C666" s="1" t="s">
        <v>2782</v>
      </c>
      <c r="D666" s="1" t="s">
        <v>400</v>
      </c>
      <c r="E666" s="35" t="s">
        <v>823</v>
      </c>
      <c r="F666" s="66" t="s">
        <v>970</v>
      </c>
      <c r="G666" s="24" t="s">
        <v>2799</v>
      </c>
      <c r="H666" s="15" t="s">
        <v>2788</v>
      </c>
      <c r="I666" s="16">
        <v>40</v>
      </c>
      <c r="J666" s="16" t="str">
        <f t="shared" si="32"/>
        <v>Middle Age</v>
      </c>
      <c r="K666" s="25">
        <v>3</v>
      </c>
      <c r="L666" s="42">
        <f>11150+750</f>
        <v>11900</v>
      </c>
      <c r="M666" s="15">
        <f>4400+560</f>
        <v>4960</v>
      </c>
      <c r="N666" s="39">
        <f t="shared" si="30"/>
        <v>35700</v>
      </c>
      <c r="O666" s="39">
        <f t="shared" si="31"/>
        <v>20820</v>
      </c>
      <c r="P666" s="24" t="s">
        <v>2027</v>
      </c>
      <c r="Q666" s="24" t="s">
        <v>2014</v>
      </c>
      <c r="R666" s="1" t="s">
        <v>2013</v>
      </c>
      <c r="S666" s="15" t="s">
        <v>2082</v>
      </c>
      <c r="T666" s="15" t="s">
        <v>2442</v>
      </c>
      <c r="U666" s="25" t="s">
        <v>2084</v>
      </c>
      <c r="V666" s="25" t="s">
        <v>2436</v>
      </c>
      <c r="W666" s="80">
        <v>45078</v>
      </c>
      <c r="X666" s="21" t="s">
        <v>2814</v>
      </c>
    </row>
    <row r="667" spans="1:24" x14ac:dyDescent="0.2">
      <c r="A667" s="1">
        <v>661</v>
      </c>
      <c r="B667" s="1" t="s">
        <v>403</v>
      </c>
      <c r="C667" s="1" t="s">
        <v>2782</v>
      </c>
      <c r="D667" s="1" t="s">
        <v>402</v>
      </c>
      <c r="E667" s="35" t="s">
        <v>863</v>
      </c>
      <c r="F667" s="67" t="s">
        <v>25</v>
      </c>
      <c r="G667" s="24" t="s">
        <v>2801</v>
      </c>
      <c r="H667" s="15" t="s">
        <v>2789</v>
      </c>
      <c r="I667" s="16">
        <v>21</v>
      </c>
      <c r="J667" s="16" t="str">
        <f t="shared" si="32"/>
        <v>Young</v>
      </c>
      <c r="K667" s="25">
        <v>4</v>
      </c>
      <c r="L667" s="49">
        <v>7030</v>
      </c>
      <c r="M667" s="37">
        <v>4430</v>
      </c>
      <c r="N667" s="39">
        <f t="shared" si="30"/>
        <v>28120</v>
      </c>
      <c r="O667" s="39">
        <f t="shared" si="31"/>
        <v>10400</v>
      </c>
      <c r="P667" s="24" t="s">
        <v>2031</v>
      </c>
      <c r="Q667" s="24" t="s">
        <v>2016</v>
      </c>
      <c r="R667" s="1" t="s">
        <v>2013</v>
      </c>
      <c r="S667" s="15" t="s">
        <v>2082</v>
      </c>
      <c r="T667" s="15" t="s">
        <v>2442</v>
      </c>
      <c r="U667" s="25" t="s">
        <v>2089</v>
      </c>
      <c r="V667" s="25" t="s">
        <v>2434</v>
      </c>
      <c r="W667" s="80">
        <v>45041</v>
      </c>
      <c r="X667" s="21" t="s">
        <v>2815</v>
      </c>
    </row>
    <row r="668" spans="1:24" x14ac:dyDescent="0.2">
      <c r="A668" s="1">
        <v>662</v>
      </c>
      <c r="B668" s="1" t="s">
        <v>404</v>
      </c>
      <c r="C668" s="1" t="s">
        <v>2781</v>
      </c>
      <c r="D668" s="1" t="s">
        <v>869</v>
      </c>
      <c r="E668" s="35" t="s">
        <v>817</v>
      </c>
      <c r="F668" s="66" t="s">
        <v>971</v>
      </c>
      <c r="G668" s="24" t="s">
        <v>2803</v>
      </c>
      <c r="H668" s="15" t="s">
        <v>2788</v>
      </c>
      <c r="I668" s="16">
        <v>59</v>
      </c>
      <c r="J668" s="16" t="str">
        <f t="shared" si="32"/>
        <v>Old</v>
      </c>
      <c r="K668" s="25">
        <v>1</v>
      </c>
      <c r="L668" s="42">
        <v>3200</v>
      </c>
      <c r="M668" s="15">
        <v>600</v>
      </c>
      <c r="N668" s="39">
        <f t="shared" si="30"/>
        <v>3200</v>
      </c>
      <c r="O668" s="39">
        <f t="shared" si="31"/>
        <v>2600</v>
      </c>
      <c r="P668" s="24" t="s">
        <v>2021</v>
      </c>
      <c r="Q668" s="24" t="s">
        <v>2020</v>
      </c>
      <c r="R668" s="1" t="s">
        <v>2013</v>
      </c>
      <c r="S668" s="15" t="s">
        <v>2082</v>
      </c>
      <c r="T668" s="15" t="s">
        <v>2442</v>
      </c>
      <c r="U668" s="25" t="s">
        <v>2084</v>
      </c>
      <c r="V668" s="25" t="s">
        <v>2437</v>
      </c>
      <c r="W668" s="80">
        <v>45248</v>
      </c>
      <c r="X668" s="21" t="s">
        <v>2823</v>
      </c>
    </row>
    <row r="669" spans="1:24" x14ac:dyDescent="0.2">
      <c r="A669" s="1">
        <v>663</v>
      </c>
      <c r="B669" s="1" t="s">
        <v>406</v>
      </c>
      <c r="C669" s="1" t="s">
        <v>2782</v>
      </c>
      <c r="D669" s="1" t="s">
        <v>405</v>
      </c>
      <c r="E669" s="35" t="s">
        <v>864</v>
      </c>
      <c r="F669" s="67" t="s">
        <v>881</v>
      </c>
      <c r="G669" s="24" t="s">
        <v>2805</v>
      </c>
      <c r="H669" s="15" t="s">
        <v>2789</v>
      </c>
      <c r="I669" s="16">
        <v>32</v>
      </c>
      <c r="J669" s="16" t="str">
        <f t="shared" si="32"/>
        <v>Young</v>
      </c>
      <c r="K669" s="25">
        <v>5</v>
      </c>
      <c r="L669" s="42">
        <v>4600</v>
      </c>
      <c r="M669" s="15">
        <v>2300</v>
      </c>
      <c r="N669" s="39">
        <f t="shared" si="30"/>
        <v>23000</v>
      </c>
      <c r="O669" s="39">
        <f t="shared" si="31"/>
        <v>11500</v>
      </c>
      <c r="P669" s="24" t="s">
        <v>2021</v>
      </c>
      <c r="Q669" s="24" t="s">
        <v>2020</v>
      </c>
      <c r="R669" s="1" t="s">
        <v>2013</v>
      </c>
      <c r="S669" s="15" t="s">
        <v>2082</v>
      </c>
      <c r="T669" s="15" t="s">
        <v>2442</v>
      </c>
      <c r="U669" s="25" t="s">
        <v>2090</v>
      </c>
      <c r="V669" s="25" t="s">
        <v>2435</v>
      </c>
      <c r="W669" s="80">
        <v>45023</v>
      </c>
      <c r="X669" s="21" t="s">
        <v>2815</v>
      </c>
    </row>
    <row r="670" spans="1:24" x14ac:dyDescent="0.2">
      <c r="A670" s="1">
        <v>664</v>
      </c>
      <c r="B670" s="1" t="s">
        <v>408</v>
      </c>
      <c r="C670" s="1" t="s">
        <v>2782</v>
      </c>
      <c r="D670" s="1" t="s">
        <v>407</v>
      </c>
      <c r="E670" s="35" t="s">
        <v>863</v>
      </c>
      <c r="F670" s="66" t="s">
        <v>972</v>
      </c>
      <c r="G670" s="24" t="s">
        <v>2807</v>
      </c>
      <c r="H670" s="15" t="s">
        <v>2788</v>
      </c>
      <c r="I670" s="16">
        <v>46</v>
      </c>
      <c r="J670" s="16" t="str">
        <f t="shared" si="32"/>
        <v>Middle Age</v>
      </c>
      <c r="K670" s="25">
        <v>3</v>
      </c>
      <c r="L670" s="42">
        <v>2240</v>
      </c>
      <c r="M670" s="15">
        <v>1100</v>
      </c>
      <c r="N670" s="39">
        <f t="shared" si="30"/>
        <v>6720</v>
      </c>
      <c r="O670" s="39">
        <f t="shared" si="31"/>
        <v>3420</v>
      </c>
      <c r="P670" s="24" t="s">
        <v>2023</v>
      </c>
      <c r="Q670" s="15" t="s">
        <v>2828</v>
      </c>
      <c r="R670" s="1" t="s">
        <v>2013</v>
      </c>
      <c r="S670" s="15" t="s">
        <v>2082</v>
      </c>
      <c r="T670" s="15" t="s">
        <v>2442</v>
      </c>
      <c r="U670" s="25" t="s">
        <v>2088</v>
      </c>
      <c r="V670" s="25" t="s">
        <v>2434</v>
      </c>
      <c r="W670" s="80">
        <v>44990</v>
      </c>
      <c r="X670" s="21" t="s">
        <v>2816</v>
      </c>
    </row>
    <row r="671" spans="1:24" x14ac:dyDescent="0.2">
      <c r="A671" s="1">
        <v>665</v>
      </c>
      <c r="B671" s="1" t="s">
        <v>409</v>
      </c>
      <c r="C671" s="1" t="s">
        <v>2782</v>
      </c>
      <c r="D671" s="1" t="s">
        <v>2631</v>
      </c>
      <c r="E671" s="35" t="s">
        <v>864</v>
      </c>
      <c r="F671" s="67" t="s">
        <v>981</v>
      </c>
      <c r="G671" s="24" t="s">
        <v>2809</v>
      </c>
      <c r="H671" s="15" t="s">
        <v>2789</v>
      </c>
      <c r="I671" s="16">
        <v>54</v>
      </c>
      <c r="J671" s="16" t="str">
        <f t="shared" si="32"/>
        <v>Old</v>
      </c>
      <c r="K671" s="25">
        <v>2</v>
      </c>
      <c r="L671" s="42">
        <v>16420</v>
      </c>
      <c r="M671" s="15">
        <v>8500</v>
      </c>
      <c r="N671" s="39">
        <f t="shared" si="30"/>
        <v>32840</v>
      </c>
      <c r="O671" s="39">
        <f t="shared" si="31"/>
        <v>15840</v>
      </c>
      <c r="P671" s="24" t="s">
        <v>2049</v>
      </c>
      <c r="Q671" s="24" t="s">
        <v>2016</v>
      </c>
      <c r="R671" s="1" t="s">
        <v>2013</v>
      </c>
      <c r="S671" s="15" t="s">
        <v>2082</v>
      </c>
      <c r="T671" s="15" t="s">
        <v>2442</v>
      </c>
      <c r="U671" s="25" t="s">
        <v>2090</v>
      </c>
      <c r="V671" s="25" t="s">
        <v>2436</v>
      </c>
      <c r="W671" s="80">
        <v>45097</v>
      </c>
      <c r="X671" s="21" t="s">
        <v>2814</v>
      </c>
    </row>
    <row r="672" spans="1:24" x14ac:dyDescent="0.2">
      <c r="A672" s="1">
        <v>666</v>
      </c>
      <c r="B672" s="1" t="s">
        <v>67</v>
      </c>
      <c r="C672" s="1" t="s">
        <v>2782</v>
      </c>
      <c r="D672" s="1" t="s">
        <v>410</v>
      </c>
      <c r="E672" s="35" t="s">
        <v>822</v>
      </c>
      <c r="F672" s="66" t="s">
        <v>973</v>
      </c>
      <c r="G672" s="24" t="s">
        <v>2794</v>
      </c>
      <c r="H672" s="15" t="s">
        <v>2788</v>
      </c>
      <c r="I672" s="16">
        <v>25</v>
      </c>
      <c r="J672" s="16" t="str">
        <f t="shared" si="32"/>
        <v>Young</v>
      </c>
      <c r="K672" s="25">
        <v>4</v>
      </c>
      <c r="L672" s="42">
        <v>3090</v>
      </c>
      <c r="M672" s="15">
        <v>1550</v>
      </c>
      <c r="N672" s="39">
        <f t="shared" si="30"/>
        <v>12360</v>
      </c>
      <c r="O672" s="39">
        <f t="shared" si="31"/>
        <v>6160</v>
      </c>
      <c r="P672" s="24" t="s">
        <v>2041</v>
      </c>
      <c r="Q672" s="24" t="s">
        <v>2016</v>
      </c>
      <c r="R672" s="1" t="s">
        <v>2013</v>
      </c>
      <c r="S672" s="15" t="s">
        <v>2082</v>
      </c>
      <c r="T672" s="15" t="s">
        <v>2442</v>
      </c>
      <c r="U672" s="25" t="s">
        <v>2087</v>
      </c>
      <c r="V672" s="25" t="s">
        <v>2437</v>
      </c>
      <c r="W672" s="80">
        <v>44956</v>
      </c>
      <c r="X672" s="21" t="s">
        <v>2818</v>
      </c>
    </row>
    <row r="673" spans="1:24" x14ac:dyDescent="0.2">
      <c r="A673" s="1">
        <v>667</v>
      </c>
      <c r="B673" s="1" t="s">
        <v>412</v>
      </c>
      <c r="C673" s="1" t="s">
        <v>2782</v>
      </c>
      <c r="D673" s="1" t="s">
        <v>411</v>
      </c>
      <c r="E673" s="35" t="s">
        <v>863</v>
      </c>
      <c r="F673" s="66" t="s">
        <v>321</v>
      </c>
      <c r="G673" s="24" t="s">
        <v>2792</v>
      </c>
      <c r="H673" s="15" t="s">
        <v>2788</v>
      </c>
      <c r="I673" s="16">
        <v>43</v>
      </c>
      <c r="J673" s="16" t="str">
        <f t="shared" si="32"/>
        <v>Middle Age</v>
      </c>
      <c r="K673" s="25">
        <v>1</v>
      </c>
      <c r="L673" s="42">
        <v>3950</v>
      </c>
      <c r="M673" s="15">
        <v>2750</v>
      </c>
      <c r="N673" s="39">
        <f t="shared" si="30"/>
        <v>3950</v>
      </c>
      <c r="O673" s="39">
        <f t="shared" si="31"/>
        <v>1200</v>
      </c>
      <c r="P673" s="24" t="s">
        <v>2055</v>
      </c>
      <c r="Q673" s="24" t="s">
        <v>2014</v>
      </c>
      <c r="R673" s="1" t="s">
        <v>2013</v>
      </c>
      <c r="S673" s="15" t="s">
        <v>2082</v>
      </c>
      <c r="T673" s="15" t="s">
        <v>2442</v>
      </c>
      <c r="U673" s="25" t="s">
        <v>2089</v>
      </c>
      <c r="V673" s="25" t="s">
        <v>2435</v>
      </c>
      <c r="W673" s="80">
        <v>45124</v>
      </c>
      <c r="X673" s="21" t="s">
        <v>2813</v>
      </c>
    </row>
    <row r="674" spans="1:24" x14ac:dyDescent="0.2">
      <c r="A674" s="1">
        <v>668</v>
      </c>
      <c r="B674" s="1" t="s">
        <v>414</v>
      </c>
      <c r="C674" s="1" t="s">
        <v>2782</v>
      </c>
      <c r="D674" s="1" t="s">
        <v>413</v>
      </c>
      <c r="E674" s="35" t="s">
        <v>822</v>
      </c>
      <c r="F674" s="66" t="s">
        <v>982</v>
      </c>
      <c r="G674" s="24" t="s">
        <v>2796</v>
      </c>
      <c r="H674" s="15" t="s">
        <v>2789</v>
      </c>
      <c r="I674" s="16">
        <v>58</v>
      </c>
      <c r="J674" s="16" t="str">
        <f t="shared" si="32"/>
        <v>Old</v>
      </c>
      <c r="K674" s="25">
        <v>5</v>
      </c>
      <c r="L674" s="42">
        <f>5930+750</f>
        <v>6680</v>
      </c>
      <c r="M674" s="15">
        <f>3500+650</f>
        <v>4150</v>
      </c>
      <c r="N674" s="39">
        <f t="shared" si="30"/>
        <v>33400</v>
      </c>
      <c r="O674" s="39">
        <f t="shared" si="31"/>
        <v>12650</v>
      </c>
      <c r="P674" s="24" t="s">
        <v>2051</v>
      </c>
      <c r="Q674" s="15" t="s">
        <v>2828</v>
      </c>
      <c r="R674" s="1" t="s">
        <v>2013</v>
      </c>
      <c r="S674" s="15" t="s">
        <v>2082</v>
      </c>
      <c r="T674" s="15" t="s">
        <v>2442</v>
      </c>
      <c r="U674" s="25" t="s">
        <v>2089</v>
      </c>
      <c r="V674" s="25" t="s">
        <v>2436</v>
      </c>
      <c r="W674" s="80">
        <v>45289</v>
      </c>
      <c r="X674" s="21" t="s">
        <v>2822</v>
      </c>
    </row>
    <row r="675" spans="1:24" x14ac:dyDescent="0.2">
      <c r="A675" s="1">
        <v>669</v>
      </c>
      <c r="B675" s="1" t="s">
        <v>416</v>
      </c>
      <c r="C675" s="1" t="s">
        <v>2782</v>
      </c>
      <c r="D675" s="1" t="s">
        <v>415</v>
      </c>
      <c r="E675" s="35" t="s">
        <v>863</v>
      </c>
      <c r="F675" s="66" t="s">
        <v>904</v>
      </c>
      <c r="G675" s="24" t="s">
        <v>2798</v>
      </c>
      <c r="H675" s="15" t="s">
        <v>2788</v>
      </c>
      <c r="I675" s="16">
        <v>20</v>
      </c>
      <c r="J675" s="16" t="str">
        <f t="shared" si="32"/>
        <v>Young</v>
      </c>
      <c r="K675" s="25">
        <v>2</v>
      </c>
      <c r="L675" s="42">
        <f>3090+220</f>
        <v>3310</v>
      </c>
      <c r="M675" s="15">
        <f>1180+97</f>
        <v>1277</v>
      </c>
      <c r="N675" s="39">
        <f t="shared" si="30"/>
        <v>6620</v>
      </c>
      <c r="O675" s="39">
        <f t="shared" si="31"/>
        <v>4066</v>
      </c>
      <c r="P675" s="24" t="s">
        <v>2062</v>
      </c>
      <c r="Q675" s="15" t="s">
        <v>2828</v>
      </c>
      <c r="R675" s="1" t="s">
        <v>2013</v>
      </c>
      <c r="S675" s="15" t="s">
        <v>2082</v>
      </c>
      <c r="T675" s="15" t="s">
        <v>2442</v>
      </c>
      <c r="U675" s="25" t="s">
        <v>2086</v>
      </c>
      <c r="V675" s="25" t="s">
        <v>2434</v>
      </c>
      <c r="W675" s="80">
        <v>45237</v>
      </c>
      <c r="X675" s="21" t="s">
        <v>2823</v>
      </c>
    </row>
    <row r="676" spans="1:24" x14ac:dyDescent="0.2">
      <c r="A676" s="1">
        <v>670</v>
      </c>
      <c r="B676" s="1" t="s">
        <v>418</v>
      </c>
      <c r="C676" s="1" t="s">
        <v>2782</v>
      </c>
      <c r="D676" s="1" t="s">
        <v>417</v>
      </c>
      <c r="E676" s="35" t="s">
        <v>864</v>
      </c>
      <c r="F676" s="66" t="s">
        <v>983</v>
      </c>
      <c r="G676" s="24" t="s">
        <v>2800</v>
      </c>
      <c r="H676" s="15" t="s">
        <v>2789</v>
      </c>
      <c r="I676" s="16">
        <v>49</v>
      </c>
      <c r="J676" s="16" t="str">
        <f t="shared" si="32"/>
        <v>Middle Age</v>
      </c>
      <c r="K676" s="25">
        <v>3</v>
      </c>
      <c r="L676" s="42">
        <v>3790</v>
      </c>
      <c r="M676" s="15">
        <v>1780</v>
      </c>
      <c r="N676" s="39">
        <f t="shared" si="30"/>
        <v>11370</v>
      </c>
      <c r="O676" s="39">
        <f t="shared" si="31"/>
        <v>6030</v>
      </c>
      <c r="P676" s="24" t="s">
        <v>2060</v>
      </c>
      <c r="Q676" s="24" t="s">
        <v>2024</v>
      </c>
      <c r="R676" s="1" t="s">
        <v>2013</v>
      </c>
      <c r="S676" s="15" t="s">
        <v>2082</v>
      </c>
      <c r="T676" s="15" t="s">
        <v>2442</v>
      </c>
      <c r="U676" s="25" t="s">
        <v>2087</v>
      </c>
      <c r="V676" s="25" t="s">
        <v>2437</v>
      </c>
      <c r="W676" s="80">
        <v>45173</v>
      </c>
      <c r="X676" s="21" t="s">
        <v>2820</v>
      </c>
    </row>
    <row r="677" spans="1:24" x14ac:dyDescent="0.2">
      <c r="A677" s="1">
        <v>671</v>
      </c>
      <c r="B677" s="1" t="s">
        <v>131</v>
      </c>
      <c r="C677" s="1" t="s">
        <v>2782</v>
      </c>
      <c r="D677" s="1" t="s">
        <v>419</v>
      </c>
      <c r="E677" s="35" t="s">
        <v>822</v>
      </c>
      <c r="F677" s="66" t="s">
        <v>914</v>
      </c>
      <c r="G677" s="24" t="s">
        <v>2802</v>
      </c>
      <c r="H677" s="15" t="s">
        <v>2789</v>
      </c>
      <c r="I677" s="24">
        <v>25</v>
      </c>
      <c r="J677" s="16" t="str">
        <f t="shared" si="32"/>
        <v>Young</v>
      </c>
      <c r="K677" s="25">
        <v>4</v>
      </c>
      <c r="L677" s="42">
        <v>3990</v>
      </c>
      <c r="M677" s="15">
        <v>2200</v>
      </c>
      <c r="N677" s="39">
        <f t="shared" si="30"/>
        <v>15960</v>
      </c>
      <c r="O677" s="39">
        <f t="shared" si="31"/>
        <v>7160</v>
      </c>
      <c r="P677" s="24" t="s">
        <v>2054</v>
      </c>
      <c r="Q677" s="24" t="s">
        <v>2016</v>
      </c>
      <c r="R677" s="1" t="s">
        <v>2013</v>
      </c>
      <c r="S677" s="15" t="s">
        <v>2082</v>
      </c>
      <c r="T677" s="15" t="s">
        <v>2442</v>
      </c>
      <c r="U677" s="25" t="s">
        <v>2086</v>
      </c>
      <c r="V677" s="25" t="s">
        <v>2435</v>
      </c>
      <c r="W677" s="80">
        <v>45001</v>
      </c>
      <c r="X677" s="21" t="s">
        <v>2816</v>
      </c>
    </row>
    <row r="678" spans="1:24" x14ac:dyDescent="0.2">
      <c r="A678" s="1">
        <v>672</v>
      </c>
      <c r="B678" s="1" t="s">
        <v>421</v>
      </c>
      <c r="C678" s="1" t="s">
        <v>2782</v>
      </c>
      <c r="D678" s="1" t="s">
        <v>420</v>
      </c>
      <c r="E678" s="35" t="s">
        <v>863</v>
      </c>
      <c r="F678" s="66" t="s">
        <v>984</v>
      </c>
      <c r="G678" s="24" t="s">
        <v>2804</v>
      </c>
      <c r="H678" s="15" t="s">
        <v>2789</v>
      </c>
      <c r="I678" s="24">
        <v>31</v>
      </c>
      <c r="J678" s="16" t="str">
        <f t="shared" si="32"/>
        <v>Young</v>
      </c>
      <c r="K678" s="25">
        <v>1</v>
      </c>
      <c r="L678" s="42">
        <v>4800</v>
      </c>
      <c r="M678" s="15">
        <v>2300</v>
      </c>
      <c r="N678" s="39">
        <f t="shared" si="30"/>
        <v>4800</v>
      </c>
      <c r="O678" s="39">
        <f t="shared" si="31"/>
        <v>2500</v>
      </c>
      <c r="P678" s="24" t="s">
        <v>2034</v>
      </c>
      <c r="Q678" s="24" t="s">
        <v>2016</v>
      </c>
      <c r="R678" s="1" t="s">
        <v>2013</v>
      </c>
      <c r="S678" s="15" t="s">
        <v>2082</v>
      </c>
      <c r="T678" s="15" t="s">
        <v>2442</v>
      </c>
      <c r="U678" s="25" t="s">
        <v>2089</v>
      </c>
      <c r="V678" s="25" t="s">
        <v>2434</v>
      </c>
      <c r="W678" s="80">
        <v>45205</v>
      </c>
      <c r="X678" s="21" t="s">
        <v>2821</v>
      </c>
    </row>
    <row r="679" spans="1:24" x14ac:dyDescent="0.2">
      <c r="A679" s="1">
        <v>673</v>
      </c>
      <c r="B679" s="1" t="s">
        <v>422</v>
      </c>
      <c r="C679" s="1" t="s">
        <v>2782</v>
      </c>
      <c r="D679" s="1" t="s">
        <v>2632</v>
      </c>
      <c r="E679" s="35" t="s">
        <v>828</v>
      </c>
      <c r="F679" s="66" t="s">
        <v>927</v>
      </c>
      <c r="G679" s="24" t="s">
        <v>2806</v>
      </c>
      <c r="H679" s="15" t="s">
        <v>2789</v>
      </c>
      <c r="I679" s="24">
        <v>56</v>
      </c>
      <c r="J679" s="16" t="str">
        <f t="shared" si="32"/>
        <v>Old</v>
      </c>
      <c r="K679" s="25">
        <v>5</v>
      </c>
      <c r="L679" s="42">
        <v>11850</v>
      </c>
      <c r="M679" s="15">
        <v>7100</v>
      </c>
      <c r="N679" s="39">
        <f t="shared" si="30"/>
        <v>59250</v>
      </c>
      <c r="O679" s="39">
        <f t="shared" si="31"/>
        <v>23750</v>
      </c>
      <c r="P679" s="24" t="s">
        <v>2026</v>
      </c>
      <c r="Q679" s="15" t="s">
        <v>2014</v>
      </c>
      <c r="R679" s="1" t="s">
        <v>2013</v>
      </c>
      <c r="S679" s="15" t="s">
        <v>2082</v>
      </c>
      <c r="T679" s="15" t="s">
        <v>2442</v>
      </c>
      <c r="U679" s="25" t="s">
        <v>2086</v>
      </c>
      <c r="V679" s="25" t="s">
        <v>2436</v>
      </c>
      <c r="W679" s="80">
        <v>44935</v>
      </c>
      <c r="X679" s="21" t="s">
        <v>2818</v>
      </c>
    </row>
    <row r="680" spans="1:24" x14ac:dyDescent="0.2">
      <c r="A680" s="1">
        <v>674</v>
      </c>
      <c r="B680" s="1" t="s">
        <v>306</v>
      </c>
      <c r="C680" s="1" t="s">
        <v>2782</v>
      </c>
      <c r="D680" s="1" t="s">
        <v>423</v>
      </c>
      <c r="E680" s="35" t="s">
        <v>823</v>
      </c>
      <c r="F680" s="67" t="s">
        <v>932</v>
      </c>
      <c r="G680" s="24" t="s">
        <v>2808</v>
      </c>
      <c r="H680" s="15" t="s">
        <v>2789</v>
      </c>
      <c r="I680" s="24">
        <v>42</v>
      </c>
      <c r="J680" s="16" t="str">
        <f t="shared" si="32"/>
        <v>Middle Age</v>
      </c>
      <c r="K680" s="25">
        <v>3</v>
      </c>
      <c r="L680" s="42">
        <f>4030+750</f>
        <v>4780</v>
      </c>
      <c r="M680" s="15">
        <f>2440-90+650</f>
        <v>3000</v>
      </c>
      <c r="N680" s="39">
        <f t="shared" si="30"/>
        <v>14340</v>
      </c>
      <c r="O680" s="39">
        <f t="shared" si="31"/>
        <v>5340</v>
      </c>
      <c r="P680" s="24" t="s">
        <v>2023</v>
      </c>
      <c r="Q680" s="15" t="s">
        <v>2828</v>
      </c>
      <c r="R680" s="1" t="s">
        <v>2013</v>
      </c>
      <c r="S680" s="15" t="s">
        <v>2082</v>
      </c>
      <c r="T680" s="15" t="s">
        <v>2442</v>
      </c>
      <c r="U680" s="25" t="s">
        <v>2089</v>
      </c>
      <c r="V680" s="25" t="s">
        <v>2437</v>
      </c>
      <c r="W680" s="80">
        <v>45106</v>
      </c>
      <c r="X680" s="21" t="s">
        <v>2814</v>
      </c>
    </row>
    <row r="681" spans="1:24" x14ac:dyDescent="0.2">
      <c r="A681" s="1">
        <v>675</v>
      </c>
      <c r="B681" s="1" t="s">
        <v>79</v>
      </c>
      <c r="C681" s="1" t="s">
        <v>2782</v>
      </c>
      <c r="D681" s="1" t="s">
        <v>2633</v>
      </c>
      <c r="E681" s="35" t="s">
        <v>823</v>
      </c>
      <c r="F681" s="66" t="s">
        <v>881</v>
      </c>
      <c r="G681" s="24" t="s">
        <v>2810</v>
      </c>
      <c r="H681" s="15" t="s">
        <v>2789</v>
      </c>
      <c r="I681" s="24">
        <v>34</v>
      </c>
      <c r="J681" s="16" t="str">
        <f t="shared" si="32"/>
        <v>Young</v>
      </c>
      <c r="K681" s="25">
        <v>2</v>
      </c>
      <c r="L681" s="42">
        <v>15000</v>
      </c>
      <c r="M681" s="15">
        <f>12500+500</f>
        <v>13000</v>
      </c>
      <c r="N681" s="39">
        <f t="shared" si="30"/>
        <v>30000</v>
      </c>
      <c r="O681" s="39">
        <f t="shared" si="31"/>
        <v>4000</v>
      </c>
      <c r="P681" s="24" t="s">
        <v>2050</v>
      </c>
      <c r="Q681" s="24" t="s">
        <v>2024</v>
      </c>
      <c r="R681" s="1" t="s">
        <v>2013</v>
      </c>
      <c r="S681" s="15" t="s">
        <v>2082</v>
      </c>
      <c r="T681" s="15" t="s">
        <v>2442</v>
      </c>
      <c r="U681" s="25" t="s">
        <v>2089</v>
      </c>
      <c r="V681" s="25" t="s">
        <v>2435</v>
      </c>
      <c r="W681" s="80">
        <v>45091</v>
      </c>
      <c r="X681" s="21" t="s">
        <v>2814</v>
      </c>
    </row>
    <row r="682" spans="1:24" x14ac:dyDescent="0.2">
      <c r="A682" s="1">
        <v>676</v>
      </c>
      <c r="B682" s="1" t="s">
        <v>425</v>
      </c>
      <c r="C682" s="1" t="s">
        <v>2782</v>
      </c>
      <c r="D682" s="1" t="s">
        <v>424</v>
      </c>
      <c r="E682" s="35" t="s">
        <v>863</v>
      </c>
      <c r="F682" s="66" t="s">
        <v>883</v>
      </c>
      <c r="G682" s="24" t="s">
        <v>2793</v>
      </c>
      <c r="H682" s="15" t="s">
        <v>2788</v>
      </c>
      <c r="I682" s="24">
        <v>23</v>
      </c>
      <c r="J682" s="16" t="str">
        <f t="shared" si="32"/>
        <v>Young</v>
      </c>
      <c r="K682" s="25">
        <v>4</v>
      </c>
      <c r="L682" s="42">
        <v>4900</v>
      </c>
      <c r="M682" s="15">
        <v>2900</v>
      </c>
      <c r="N682" s="39">
        <f t="shared" si="30"/>
        <v>19600</v>
      </c>
      <c r="O682" s="39">
        <f t="shared" si="31"/>
        <v>8000</v>
      </c>
      <c r="P682" s="24" t="s">
        <v>2058</v>
      </c>
      <c r="Q682" s="24" t="s">
        <v>2020</v>
      </c>
      <c r="R682" s="1" t="s">
        <v>2013</v>
      </c>
      <c r="S682" s="15" t="s">
        <v>2082</v>
      </c>
      <c r="T682" s="15" t="s">
        <v>2442</v>
      </c>
      <c r="U682" s="25" t="s">
        <v>2083</v>
      </c>
      <c r="V682" s="25" t="s">
        <v>2436</v>
      </c>
      <c r="W682" s="80">
        <v>45045</v>
      </c>
      <c r="X682" s="21" t="s">
        <v>2815</v>
      </c>
    </row>
    <row r="683" spans="1:24" x14ac:dyDescent="0.2">
      <c r="A683" s="1">
        <v>677</v>
      </c>
      <c r="B683" s="1" t="s">
        <v>427</v>
      </c>
      <c r="C683" s="1" t="s">
        <v>2782</v>
      </c>
      <c r="D683" s="1" t="s">
        <v>426</v>
      </c>
      <c r="E683" s="35" t="s">
        <v>822</v>
      </c>
      <c r="F683" s="66" t="s">
        <v>884</v>
      </c>
      <c r="G683" s="24" t="s">
        <v>2791</v>
      </c>
      <c r="H683" s="15" t="s">
        <v>2788</v>
      </c>
      <c r="I683" s="24">
        <v>56</v>
      </c>
      <c r="J683" s="16" t="str">
        <f t="shared" si="32"/>
        <v>Old</v>
      </c>
      <c r="K683" s="25">
        <v>1</v>
      </c>
      <c r="L683" s="42">
        <v>6350</v>
      </c>
      <c r="M683" s="15">
        <v>3550</v>
      </c>
      <c r="N683" s="39">
        <f t="shared" si="30"/>
        <v>6350</v>
      </c>
      <c r="O683" s="39">
        <f t="shared" si="31"/>
        <v>2800</v>
      </c>
      <c r="P683" s="24" t="s">
        <v>2048</v>
      </c>
      <c r="Q683" s="24" t="s">
        <v>2014</v>
      </c>
      <c r="R683" s="1" t="s">
        <v>2013</v>
      </c>
      <c r="S683" s="15" t="s">
        <v>2082</v>
      </c>
      <c r="T683" s="15" t="s">
        <v>2442</v>
      </c>
      <c r="U683" s="25" t="s">
        <v>2088</v>
      </c>
      <c r="V683" s="25" t="s">
        <v>2434</v>
      </c>
      <c r="W683" s="80">
        <v>45188</v>
      </c>
      <c r="X683" s="21" t="s">
        <v>2820</v>
      </c>
    </row>
    <row r="684" spans="1:24" x14ac:dyDescent="0.2">
      <c r="A684" s="1">
        <v>678</v>
      </c>
      <c r="B684" s="1" t="s">
        <v>555</v>
      </c>
      <c r="C684" s="1" t="s">
        <v>2782</v>
      </c>
      <c r="D684" s="1" t="s">
        <v>2634</v>
      </c>
      <c r="E684" s="35" t="s">
        <v>864</v>
      </c>
      <c r="F684" s="67" t="s">
        <v>931</v>
      </c>
      <c r="G684" s="24" t="s">
        <v>2795</v>
      </c>
      <c r="H684" s="15" t="s">
        <v>2788</v>
      </c>
      <c r="I684" s="24">
        <v>24</v>
      </c>
      <c r="J684" s="16" t="str">
        <f t="shared" si="32"/>
        <v>Young</v>
      </c>
      <c r="K684" s="25">
        <v>5</v>
      </c>
      <c r="L684" s="42">
        <v>1600</v>
      </c>
      <c r="M684" s="15">
        <v>840</v>
      </c>
      <c r="N684" s="39">
        <f t="shared" si="30"/>
        <v>8000</v>
      </c>
      <c r="O684" s="39">
        <f t="shared" si="31"/>
        <v>3800</v>
      </c>
      <c r="P684" s="24" t="s">
        <v>2030</v>
      </c>
      <c r="Q684" s="24" t="s">
        <v>2024</v>
      </c>
      <c r="R684" s="1" t="s">
        <v>2013</v>
      </c>
      <c r="S684" s="15" t="s">
        <v>2082</v>
      </c>
      <c r="T684" s="15" t="s">
        <v>2442</v>
      </c>
      <c r="U684" s="25" t="s">
        <v>2086</v>
      </c>
      <c r="V684" s="25" t="s">
        <v>2437</v>
      </c>
      <c r="W684" s="80">
        <v>44936</v>
      </c>
      <c r="X684" s="21" t="s">
        <v>2818</v>
      </c>
    </row>
    <row r="685" spans="1:24" x14ac:dyDescent="0.2">
      <c r="A685" s="1">
        <v>679</v>
      </c>
      <c r="B685" s="1" t="s">
        <v>555</v>
      </c>
      <c r="C685" s="1" t="s">
        <v>2782</v>
      </c>
      <c r="D685" s="1" t="s">
        <v>2635</v>
      </c>
      <c r="E685" s="35" t="s">
        <v>863</v>
      </c>
      <c r="F685" s="66" t="s">
        <v>929</v>
      </c>
      <c r="G685" s="24" t="s">
        <v>2797</v>
      </c>
      <c r="H685" s="15" t="s">
        <v>2789</v>
      </c>
      <c r="I685" s="24">
        <v>64</v>
      </c>
      <c r="J685" s="16" t="str">
        <f t="shared" si="32"/>
        <v>Old</v>
      </c>
      <c r="K685" s="25">
        <v>2</v>
      </c>
      <c r="L685" s="42">
        <v>500</v>
      </c>
      <c r="M685" s="15">
        <v>195</v>
      </c>
      <c r="N685" s="39">
        <f t="shared" si="30"/>
        <v>1000</v>
      </c>
      <c r="O685" s="39">
        <f t="shared" si="31"/>
        <v>610</v>
      </c>
      <c r="P685" s="24" t="s">
        <v>2044</v>
      </c>
      <c r="Q685" s="24" t="s">
        <v>2020</v>
      </c>
      <c r="R685" s="1" t="s">
        <v>2013</v>
      </c>
      <c r="S685" s="15" t="s">
        <v>2082</v>
      </c>
      <c r="T685" s="15" t="s">
        <v>2442</v>
      </c>
      <c r="U685" s="25" t="s">
        <v>2086</v>
      </c>
      <c r="V685" s="25" t="s">
        <v>2435</v>
      </c>
      <c r="W685" s="80">
        <v>45200</v>
      </c>
      <c r="X685" s="21" t="s">
        <v>2821</v>
      </c>
    </row>
    <row r="686" spans="1:24" x14ac:dyDescent="0.2">
      <c r="A686" s="1">
        <v>680</v>
      </c>
      <c r="B686" s="1" t="s">
        <v>79</v>
      </c>
      <c r="C686" s="1" t="s">
        <v>2782</v>
      </c>
      <c r="D686" s="1" t="s">
        <v>428</v>
      </c>
      <c r="E686" s="35" t="s">
        <v>864</v>
      </c>
      <c r="F686" s="66" t="s">
        <v>882</v>
      </c>
      <c r="G686" s="24" t="s">
        <v>2799</v>
      </c>
      <c r="H686" s="15" t="s">
        <v>2788</v>
      </c>
      <c r="I686" s="24">
        <v>64</v>
      </c>
      <c r="J686" s="16" t="str">
        <f t="shared" si="32"/>
        <v>Old</v>
      </c>
      <c r="K686" s="25">
        <v>3</v>
      </c>
      <c r="L686" s="42">
        <v>2550</v>
      </c>
      <c r="M686" s="15">
        <v>1600</v>
      </c>
      <c r="N686" s="39">
        <f t="shared" si="30"/>
        <v>7650</v>
      </c>
      <c r="O686" s="39">
        <f t="shared" si="31"/>
        <v>2850</v>
      </c>
      <c r="P686" s="24" t="s">
        <v>2058</v>
      </c>
      <c r="Q686" s="24" t="s">
        <v>2020</v>
      </c>
      <c r="R686" s="1" t="s">
        <v>2013</v>
      </c>
      <c r="S686" s="15" t="s">
        <v>2082</v>
      </c>
      <c r="T686" s="15" t="s">
        <v>2442</v>
      </c>
      <c r="U686" s="25" t="s">
        <v>2083</v>
      </c>
      <c r="V686" s="25" t="s">
        <v>2434</v>
      </c>
      <c r="W686" s="80">
        <v>45028</v>
      </c>
      <c r="X686" s="21" t="s">
        <v>2815</v>
      </c>
    </row>
    <row r="687" spans="1:24" x14ac:dyDescent="0.2">
      <c r="A687" s="1">
        <v>681</v>
      </c>
      <c r="B687" s="1" t="s">
        <v>430</v>
      </c>
      <c r="C687" s="1" t="s">
        <v>2782</v>
      </c>
      <c r="D687" s="1" t="s">
        <v>429</v>
      </c>
      <c r="E687" s="35" t="s">
        <v>822</v>
      </c>
      <c r="F687" s="66" t="s">
        <v>880</v>
      </c>
      <c r="G687" s="24" t="s">
        <v>2801</v>
      </c>
      <c r="H687" s="15" t="s">
        <v>2789</v>
      </c>
      <c r="I687" s="24">
        <v>23</v>
      </c>
      <c r="J687" s="16" t="str">
        <f t="shared" si="32"/>
        <v>Young</v>
      </c>
      <c r="K687" s="25">
        <v>4</v>
      </c>
      <c r="L687" s="42">
        <v>4290</v>
      </c>
      <c r="M687" s="15">
        <v>2090</v>
      </c>
      <c r="N687" s="39">
        <f t="shared" si="30"/>
        <v>17160</v>
      </c>
      <c r="O687" s="39">
        <f t="shared" si="31"/>
        <v>8800</v>
      </c>
      <c r="P687" s="24" t="s">
        <v>2044</v>
      </c>
      <c r="Q687" s="24" t="s">
        <v>2020</v>
      </c>
      <c r="R687" s="1" t="s">
        <v>2013</v>
      </c>
      <c r="S687" s="15" t="s">
        <v>2082</v>
      </c>
      <c r="T687" s="15" t="s">
        <v>2442</v>
      </c>
      <c r="U687" s="25" t="s">
        <v>2083</v>
      </c>
      <c r="V687" s="25" t="s">
        <v>2436</v>
      </c>
      <c r="W687" s="80">
        <v>45055</v>
      </c>
      <c r="X687" s="21" t="s">
        <v>2786</v>
      </c>
    </row>
    <row r="688" spans="1:24" x14ac:dyDescent="0.2">
      <c r="A688" s="1">
        <v>682</v>
      </c>
      <c r="B688" s="1" t="s">
        <v>431</v>
      </c>
      <c r="C688" s="1" t="s">
        <v>2782</v>
      </c>
      <c r="D688" s="1" t="s">
        <v>413</v>
      </c>
      <c r="E688" s="35" t="s">
        <v>863</v>
      </c>
      <c r="F688" s="66" t="s">
        <v>878</v>
      </c>
      <c r="G688" s="24" t="s">
        <v>2803</v>
      </c>
      <c r="H688" s="15" t="s">
        <v>2789</v>
      </c>
      <c r="I688" s="24">
        <v>19</v>
      </c>
      <c r="J688" s="16" t="str">
        <f t="shared" si="32"/>
        <v>Young</v>
      </c>
      <c r="K688" s="25">
        <v>3</v>
      </c>
      <c r="L688" s="42">
        <f>6750+750</f>
        <v>7500</v>
      </c>
      <c r="M688" s="15">
        <f>4050+650</f>
        <v>4700</v>
      </c>
      <c r="N688" s="39">
        <f t="shared" si="30"/>
        <v>22500</v>
      </c>
      <c r="O688" s="39">
        <f t="shared" si="31"/>
        <v>8400</v>
      </c>
      <c r="P688" s="24" t="s">
        <v>2034</v>
      </c>
      <c r="Q688" s="24" t="s">
        <v>2016</v>
      </c>
      <c r="R688" s="1" t="s">
        <v>2013</v>
      </c>
      <c r="S688" s="15" t="s">
        <v>2082</v>
      </c>
      <c r="T688" s="15" t="s">
        <v>2442</v>
      </c>
      <c r="U688" s="25" t="s">
        <v>2089</v>
      </c>
      <c r="V688" s="25" t="s">
        <v>2437</v>
      </c>
      <c r="W688" s="80">
        <v>45104</v>
      </c>
      <c r="X688" s="21" t="s">
        <v>2814</v>
      </c>
    </row>
    <row r="689" spans="1:24" x14ac:dyDescent="0.2">
      <c r="A689" s="1">
        <v>683</v>
      </c>
      <c r="B689" s="1" t="s">
        <v>555</v>
      </c>
      <c r="C689" s="1" t="s">
        <v>2782</v>
      </c>
      <c r="D689" s="1" t="s">
        <v>2636</v>
      </c>
      <c r="E689" s="35" t="s">
        <v>822</v>
      </c>
      <c r="F689" s="66" t="s">
        <v>879</v>
      </c>
      <c r="G689" s="24" t="s">
        <v>2805</v>
      </c>
      <c r="H689" s="15" t="s">
        <v>2788</v>
      </c>
      <c r="I689" s="24">
        <v>21</v>
      </c>
      <c r="J689" s="16" t="str">
        <f t="shared" si="32"/>
        <v>Young</v>
      </c>
      <c r="K689" s="25">
        <v>1</v>
      </c>
      <c r="L689" s="42">
        <v>500</v>
      </c>
      <c r="M689" s="15">
        <v>230</v>
      </c>
      <c r="N689" s="39">
        <f t="shared" si="30"/>
        <v>500</v>
      </c>
      <c r="O689" s="39">
        <f t="shared" si="31"/>
        <v>270</v>
      </c>
      <c r="P689" s="24" t="s">
        <v>2060</v>
      </c>
      <c r="Q689" s="24" t="s">
        <v>2024</v>
      </c>
      <c r="R689" s="1" t="s">
        <v>2013</v>
      </c>
      <c r="S689" s="15" t="s">
        <v>2082</v>
      </c>
      <c r="T689" s="15" t="s">
        <v>2442</v>
      </c>
      <c r="U689" s="25" t="s">
        <v>2088</v>
      </c>
      <c r="V689" s="25" t="s">
        <v>2435</v>
      </c>
      <c r="W689" s="80">
        <v>45163</v>
      </c>
      <c r="X689" s="21" t="s">
        <v>2819</v>
      </c>
    </row>
    <row r="690" spans="1:24" x14ac:dyDescent="0.2">
      <c r="A690" s="1">
        <v>684</v>
      </c>
      <c r="B690" s="1" t="s">
        <v>79</v>
      </c>
      <c r="C690" s="1" t="s">
        <v>2782</v>
      </c>
      <c r="D690" s="1" t="s">
        <v>432</v>
      </c>
      <c r="E690" s="35" t="s">
        <v>864</v>
      </c>
      <c r="F690" s="66" t="s">
        <v>880</v>
      </c>
      <c r="G690" s="24" t="s">
        <v>2807</v>
      </c>
      <c r="H690" s="15" t="s">
        <v>2789</v>
      </c>
      <c r="I690" s="24">
        <v>56</v>
      </c>
      <c r="J690" s="16" t="str">
        <f t="shared" si="32"/>
        <v>Old</v>
      </c>
      <c r="K690" s="25">
        <v>4</v>
      </c>
      <c r="L690" s="42">
        <v>2890</v>
      </c>
      <c r="M690" s="15">
        <v>1890</v>
      </c>
      <c r="N690" s="39">
        <f t="shared" si="30"/>
        <v>11560</v>
      </c>
      <c r="O690" s="39">
        <f t="shared" si="31"/>
        <v>4000</v>
      </c>
      <c r="P690" s="24" t="s">
        <v>2050</v>
      </c>
      <c r="Q690" s="24" t="s">
        <v>2024</v>
      </c>
      <c r="R690" s="1" t="s">
        <v>2013</v>
      </c>
      <c r="S690" s="15" t="s">
        <v>2082</v>
      </c>
      <c r="T690" s="15" t="s">
        <v>2442</v>
      </c>
      <c r="U690" s="25" t="s">
        <v>2088</v>
      </c>
      <c r="V690" s="25" t="s">
        <v>2436</v>
      </c>
      <c r="W690" s="80">
        <v>45019</v>
      </c>
      <c r="X690" s="21" t="s">
        <v>2815</v>
      </c>
    </row>
    <row r="691" spans="1:24" x14ac:dyDescent="0.2">
      <c r="A691" s="1">
        <v>685</v>
      </c>
      <c r="B691" s="1" t="s">
        <v>633</v>
      </c>
      <c r="C691" s="1" t="s">
        <v>2782</v>
      </c>
      <c r="D691" s="1" t="s">
        <v>2637</v>
      </c>
      <c r="E691" s="35" t="s">
        <v>863</v>
      </c>
      <c r="F691" s="66" t="s">
        <v>881</v>
      </c>
      <c r="G691" s="24" t="s">
        <v>2809</v>
      </c>
      <c r="H691" s="15" t="s">
        <v>2789</v>
      </c>
      <c r="I691" s="24">
        <v>34</v>
      </c>
      <c r="J691" s="16" t="str">
        <f t="shared" si="32"/>
        <v>Young</v>
      </c>
      <c r="K691" s="25">
        <v>5</v>
      </c>
      <c r="L691" s="42">
        <v>1530</v>
      </c>
      <c r="M691" s="15">
        <v>680</v>
      </c>
      <c r="N691" s="39">
        <f t="shared" si="30"/>
        <v>7650</v>
      </c>
      <c r="O691" s="39">
        <f t="shared" si="31"/>
        <v>4250</v>
      </c>
      <c r="P691" s="24" t="s">
        <v>2015</v>
      </c>
      <c r="Q691" s="24" t="s">
        <v>2014</v>
      </c>
      <c r="R691" s="1" t="s">
        <v>2013</v>
      </c>
      <c r="S691" s="15" t="s">
        <v>2082</v>
      </c>
      <c r="T691" s="15" t="s">
        <v>2442</v>
      </c>
      <c r="U691" s="25" t="s">
        <v>2086</v>
      </c>
      <c r="V691" s="25" t="s">
        <v>2434</v>
      </c>
      <c r="W691" s="80">
        <v>45111</v>
      </c>
      <c r="X691" s="21" t="s">
        <v>2813</v>
      </c>
    </row>
    <row r="692" spans="1:24" x14ac:dyDescent="0.2">
      <c r="A692" s="1">
        <v>686</v>
      </c>
      <c r="B692" s="1" t="s">
        <v>434</v>
      </c>
      <c r="C692" s="1" t="s">
        <v>2782</v>
      </c>
      <c r="D692" s="1" t="s">
        <v>433</v>
      </c>
      <c r="E692" s="35" t="s">
        <v>864</v>
      </c>
      <c r="F692" s="66" t="s">
        <v>882</v>
      </c>
      <c r="G692" s="24" t="s">
        <v>2794</v>
      </c>
      <c r="H692" s="15" t="s">
        <v>2788</v>
      </c>
      <c r="I692" s="24">
        <v>64</v>
      </c>
      <c r="J692" s="16" t="str">
        <f t="shared" si="32"/>
        <v>Old</v>
      </c>
      <c r="K692" s="25">
        <v>3</v>
      </c>
      <c r="L692" s="42">
        <v>4970</v>
      </c>
      <c r="M692" s="15">
        <v>2170</v>
      </c>
      <c r="N692" s="39">
        <f t="shared" si="30"/>
        <v>14910</v>
      </c>
      <c r="O692" s="39">
        <f t="shared" si="31"/>
        <v>8400</v>
      </c>
      <c r="P692" s="24" t="s">
        <v>2051</v>
      </c>
      <c r="Q692" s="15" t="s">
        <v>2828</v>
      </c>
      <c r="R692" s="1" t="s">
        <v>2013</v>
      </c>
      <c r="S692" s="15" t="s">
        <v>2082</v>
      </c>
      <c r="T692" s="15" t="s">
        <v>2442</v>
      </c>
      <c r="U692" s="25" t="s">
        <v>2085</v>
      </c>
      <c r="V692" s="25" t="s">
        <v>2437</v>
      </c>
      <c r="W692" s="80">
        <v>45004</v>
      </c>
      <c r="X692" s="21" t="s">
        <v>2816</v>
      </c>
    </row>
    <row r="693" spans="1:24" x14ac:dyDescent="0.2">
      <c r="A693" s="1">
        <v>687</v>
      </c>
      <c r="B693" s="1" t="s">
        <v>435</v>
      </c>
      <c r="C693" s="1" t="s">
        <v>2782</v>
      </c>
      <c r="D693" s="1" t="s">
        <v>2638</v>
      </c>
      <c r="E693" s="35" t="s">
        <v>822</v>
      </c>
      <c r="F693" s="66" t="s">
        <v>881</v>
      </c>
      <c r="G693" s="24" t="s">
        <v>2792</v>
      </c>
      <c r="H693" s="15" t="s">
        <v>2789</v>
      </c>
      <c r="I693" s="24">
        <v>78</v>
      </c>
      <c r="J693" s="16" t="str">
        <f t="shared" si="32"/>
        <v>Old</v>
      </c>
      <c r="K693" s="25">
        <v>2</v>
      </c>
      <c r="L693" s="42">
        <v>3950</v>
      </c>
      <c r="M693" s="15">
        <v>1950</v>
      </c>
      <c r="N693" s="39">
        <f t="shared" si="30"/>
        <v>7900</v>
      </c>
      <c r="O693" s="39">
        <f t="shared" si="31"/>
        <v>4000</v>
      </c>
      <c r="P693" s="24" t="s">
        <v>2060</v>
      </c>
      <c r="Q693" s="24" t="s">
        <v>2024</v>
      </c>
      <c r="R693" s="1" t="s">
        <v>2013</v>
      </c>
      <c r="S693" s="15" t="s">
        <v>2082</v>
      </c>
      <c r="T693" s="15" t="s">
        <v>2442</v>
      </c>
      <c r="U693" s="25" t="s">
        <v>2084</v>
      </c>
      <c r="V693" s="25" t="s">
        <v>2435</v>
      </c>
      <c r="W693" s="80">
        <v>45199</v>
      </c>
      <c r="X693" s="21" t="s">
        <v>2820</v>
      </c>
    </row>
    <row r="694" spans="1:24" x14ac:dyDescent="0.2">
      <c r="A694" s="1">
        <v>688</v>
      </c>
      <c r="B694" s="1" t="s">
        <v>437</v>
      </c>
      <c r="C694" s="1" t="s">
        <v>2782</v>
      </c>
      <c r="D694" s="1" t="s">
        <v>436</v>
      </c>
      <c r="E694" s="35" t="s">
        <v>863</v>
      </c>
      <c r="F694" s="66" t="s">
        <v>883</v>
      </c>
      <c r="G694" s="24" t="s">
        <v>2796</v>
      </c>
      <c r="H694" s="15" t="s">
        <v>2788</v>
      </c>
      <c r="I694" s="24">
        <v>54</v>
      </c>
      <c r="J694" s="16" t="str">
        <f t="shared" si="32"/>
        <v>Old</v>
      </c>
      <c r="K694" s="25">
        <v>4</v>
      </c>
      <c r="L694" s="42">
        <v>2900</v>
      </c>
      <c r="M694" s="15">
        <v>1200</v>
      </c>
      <c r="N694" s="39">
        <f t="shared" si="30"/>
        <v>11600</v>
      </c>
      <c r="O694" s="39">
        <f t="shared" si="31"/>
        <v>6800</v>
      </c>
      <c r="P694" s="24" t="s">
        <v>2030</v>
      </c>
      <c r="Q694" s="24" t="s">
        <v>2024</v>
      </c>
      <c r="R694" s="1" t="s">
        <v>2013</v>
      </c>
      <c r="S694" s="15" t="s">
        <v>2082</v>
      </c>
      <c r="T694" s="15" t="s">
        <v>2442</v>
      </c>
      <c r="U694" s="25" t="s">
        <v>2089</v>
      </c>
      <c r="V694" s="25" t="s">
        <v>2434</v>
      </c>
      <c r="W694" s="80">
        <v>45059</v>
      </c>
      <c r="X694" s="21" t="s">
        <v>2786</v>
      </c>
    </row>
    <row r="695" spans="1:24" x14ac:dyDescent="0.2">
      <c r="A695" s="1">
        <v>689</v>
      </c>
      <c r="B695" s="1" t="s">
        <v>439</v>
      </c>
      <c r="C695" s="1" t="s">
        <v>2782</v>
      </c>
      <c r="D695" s="1" t="s">
        <v>438</v>
      </c>
      <c r="E695" s="35" t="s">
        <v>822</v>
      </c>
      <c r="F695" s="66" t="s">
        <v>884</v>
      </c>
      <c r="G695" s="24" t="s">
        <v>2798</v>
      </c>
      <c r="H695" s="15" t="s">
        <v>2788</v>
      </c>
      <c r="I695" s="24">
        <v>32</v>
      </c>
      <c r="J695" s="16" t="str">
        <f t="shared" si="32"/>
        <v>Young</v>
      </c>
      <c r="K695" s="25">
        <v>1</v>
      </c>
      <c r="L695" s="42">
        <v>1920</v>
      </c>
      <c r="M695" s="15">
        <v>900</v>
      </c>
      <c r="N695" s="39">
        <f t="shared" si="30"/>
        <v>1920</v>
      </c>
      <c r="O695" s="39">
        <f t="shared" si="31"/>
        <v>1020</v>
      </c>
      <c r="P695" s="24" t="s">
        <v>2022</v>
      </c>
      <c r="Q695" s="24" t="s">
        <v>2016</v>
      </c>
      <c r="R695" s="1" t="s">
        <v>2013</v>
      </c>
      <c r="S695" s="15" t="s">
        <v>2082</v>
      </c>
      <c r="T695" s="15" t="s">
        <v>2442</v>
      </c>
      <c r="U695" s="25" t="s">
        <v>2086</v>
      </c>
      <c r="V695" s="25" t="s">
        <v>2436</v>
      </c>
      <c r="W695" s="80">
        <v>45147</v>
      </c>
      <c r="X695" s="21" t="s">
        <v>2819</v>
      </c>
    </row>
    <row r="696" spans="1:24" x14ac:dyDescent="0.2">
      <c r="A696" s="1">
        <v>690</v>
      </c>
      <c r="B696" s="1" t="s">
        <v>195</v>
      </c>
      <c r="C696" s="1" t="s">
        <v>2782</v>
      </c>
      <c r="D696" s="1" t="s">
        <v>440</v>
      </c>
      <c r="E696" s="35" t="s">
        <v>863</v>
      </c>
      <c r="F696" s="67" t="s">
        <v>931</v>
      </c>
      <c r="G696" s="24" t="s">
        <v>2800</v>
      </c>
      <c r="H696" s="15" t="s">
        <v>2788</v>
      </c>
      <c r="I696" s="16">
        <v>55</v>
      </c>
      <c r="J696" s="16" t="str">
        <f t="shared" si="32"/>
        <v>Old</v>
      </c>
      <c r="K696" s="25">
        <v>5</v>
      </c>
      <c r="L696" s="42">
        <v>4400</v>
      </c>
      <c r="M696" s="15">
        <v>2400</v>
      </c>
      <c r="N696" s="39">
        <f t="shared" si="30"/>
        <v>22000</v>
      </c>
      <c r="O696" s="39">
        <f t="shared" si="31"/>
        <v>10000</v>
      </c>
      <c r="P696" s="24" t="s">
        <v>2025</v>
      </c>
      <c r="Q696" s="24" t="s">
        <v>2024</v>
      </c>
      <c r="R696" s="1" t="s">
        <v>2013</v>
      </c>
      <c r="S696" s="15" t="s">
        <v>2082</v>
      </c>
      <c r="T696" s="15" t="s">
        <v>2442</v>
      </c>
      <c r="U696" s="25" t="s">
        <v>2090</v>
      </c>
      <c r="V696" s="25" t="s">
        <v>2437</v>
      </c>
      <c r="W696" s="80">
        <v>44976</v>
      </c>
      <c r="X696" s="21" t="s">
        <v>2817</v>
      </c>
    </row>
    <row r="697" spans="1:24" x14ac:dyDescent="0.2">
      <c r="A697" s="1">
        <v>691</v>
      </c>
      <c r="B697" s="1" t="s">
        <v>250</v>
      </c>
      <c r="C697" s="1" t="s">
        <v>2782</v>
      </c>
      <c r="D697" s="1" t="s">
        <v>441</v>
      </c>
      <c r="E697" s="35" t="s">
        <v>864</v>
      </c>
      <c r="F697" s="66" t="s">
        <v>929</v>
      </c>
      <c r="G697" s="24" t="s">
        <v>2802</v>
      </c>
      <c r="H697" s="15" t="s">
        <v>2789</v>
      </c>
      <c r="I697" s="16">
        <v>36</v>
      </c>
      <c r="J697" s="16" t="str">
        <f t="shared" si="32"/>
        <v>Middle Age</v>
      </c>
      <c r="K697" s="25">
        <v>2</v>
      </c>
      <c r="L697" s="42">
        <v>3300</v>
      </c>
      <c r="M697" s="15">
        <v>1800</v>
      </c>
      <c r="N697" s="39">
        <f t="shared" si="30"/>
        <v>6600</v>
      </c>
      <c r="O697" s="39">
        <f t="shared" si="31"/>
        <v>3000</v>
      </c>
      <c r="P697" s="24" t="s">
        <v>2019</v>
      </c>
      <c r="Q697" s="24" t="s">
        <v>2014</v>
      </c>
      <c r="R697" s="1" t="s">
        <v>2013</v>
      </c>
      <c r="S697" s="15" t="s">
        <v>2082</v>
      </c>
      <c r="T697" s="15" t="s">
        <v>2442</v>
      </c>
      <c r="U697" s="25" t="s">
        <v>2089</v>
      </c>
      <c r="V697" s="25" t="s">
        <v>2435</v>
      </c>
      <c r="W697" s="80">
        <v>44956</v>
      </c>
      <c r="X697" s="21" t="s">
        <v>2818</v>
      </c>
    </row>
    <row r="698" spans="1:24" x14ac:dyDescent="0.2">
      <c r="A698" s="1">
        <v>692</v>
      </c>
      <c r="B698" s="1" t="s">
        <v>443</v>
      </c>
      <c r="C698" s="1" t="s">
        <v>2782</v>
      </c>
      <c r="D698" s="1" t="s">
        <v>442</v>
      </c>
      <c r="E698" s="35" t="s">
        <v>822</v>
      </c>
      <c r="F698" s="66" t="s">
        <v>882</v>
      </c>
      <c r="G698" s="24" t="s">
        <v>2804</v>
      </c>
      <c r="H698" s="15" t="s">
        <v>2788</v>
      </c>
      <c r="I698" s="16">
        <v>28</v>
      </c>
      <c r="J698" s="16" t="str">
        <f t="shared" si="32"/>
        <v>Young</v>
      </c>
      <c r="K698" s="25">
        <v>3</v>
      </c>
      <c r="L698" s="42">
        <v>3050</v>
      </c>
      <c r="M698" s="15">
        <v>1550</v>
      </c>
      <c r="N698" s="39">
        <f t="shared" si="30"/>
        <v>9150</v>
      </c>
      <c r="O698" s="39">
        <f t="shared" si="31"/>
        <v>4500</v>
      </c>
      <c r="P698" s="24" t="s">
        <v>2060</v>
      </c>
      <c r="Q698" s="24" t="s">
        <v>2024</v>
      </c>
      <c r="R698" s="1" t="s">
        <v>2013</v>
      </c>
      <c r="S698" s="15" t="s">
        <v>2082</v>
      </c>
      <c r="T698" s="15" t="s">
        <v>2442</v>
      </c>
      <c r="U698" s="25" t="s">
        <v>2090</v>
      </c>
      <c r="V698" s="25" t="s">
        <v>2436</v>
      </c>
      <c r="W698" s="80">
        <v>45062</v>
      </c>
      <c r="X698" s="21" t="s">
        <v>2786</v>
      </c>
    </row>
    <row r="699" spans="1:24" x14ac:dyDescent="0.2">
      <c r="A699" s="1">
        <v>693</v>
      </c>
      <c r="B699" s="1" t="s">
        <v>444</v>
      </c>
      <c r="C699" s="1" t="s">
        <v>2782</v>
      </c>
      <c r="D699" s="11" t="s">
        <v>2639</v>
      </c>
      <c r="E699" s="35" t="s">
        <v>863</v>
      </c>
      <c r="F699" s="66" t="s">
        <v>930</v>
      </c>
      <c r="G699" s="24" t="s">
        <v>2806</v>
      </c>
      <c r="H699" s="15" t="s">
        <v>2788</v>
      </c>
      <c r="I699" s="16">
        <v>50</v>
      </c>
      <c r="J699" s="16" t="str">
        <f t="shared" si="32"/>
        <v>Old</v>
      </c>
      <c r="K699" s="25">
        <v>4</v>
      </c>
      <c r="L699" s="42">
        <v>3850</v>
      </c>
      <c r="M699" s="15">
        <v>2300</v>
      </c>
      <c r="N699" s="39">
        <f t="shared" si="30"/>
        <v>15400</v>
      </c>
      <c r="O699" s="39">
        <f t="shared" si="31"/>
        <v>6200</v>
      </c>
      <c r="P699" s="24" t="s">
        <v>2043</v>
      </c>
      <c r="Q699" s="24" t="s">
        <v>2016</v>
      </c>
      <c r="R699" s="1" t="s">
        <v>2013</v>
      </c>
      <c r="S699" s="15" t="s">
        <v>2082</v>
      </c>
      <c r="T699" s="15" t="s">
        <v>2442</v>
      </c>
      <c r="U699" s="25" t="s">
        <v>2083</v>
      </c>
      <c r="V699" s="25" t="s">
        <v>2434</v>
      </c>
      <c r="W699" s="80">
        <v>44962</v>
      </c>
      <c r="X699" s="21" t="s">
        <v>2817</v>
      </c>
    </row>
    <row r="700" spans="1:24" x14ac:dyDescent="0.2">
      <c r="A700" s="1">
        <v>694</v>
      </c>
      <c r="B700" s="1" t="s">
        <v>446</v>
      </c>
      <c r="C700" s="1" t="s">
        <v>2782</v>
      </c>
      <c r="D700" s="11" t="s">
        <v>445</v>
      </c>
      <c r="E700" s="35" t="s">
        <v>828</v>
      </c>
      <c r="F700" s="67" t="s">
        <v>915</v>
      </c>
      <c r="G700" s="24" t="s">
        <v>2808</v>
      </c>
      <c r="H700" s="15" t="s">
        <v>2788</v>
      </c>
      <c r="I700" s="16">
        <v>39</v>
      </c>
      <c r="J700" s="16" t="str">
        <f t="shared" si="32"/>
        <v>Middle Age</v>
      </c>
      <c r="K700" s="25">
        <v>1</v>
      </c>
      <c r="L700" s="42">
        <v>5715</v>
      </c>
      <c r="M700" s="15">
        <v>2280</v>
      </c>
      <c r="N700" s="39">
        <f t="shared" si="30"/>
        <v>5715</v>
      </c>
      <c r="O700" s="39">
        <f t="shared" si="31"/>
        <v>3435</v>
      </c>
      <c r="P700" s="24" t="s">
        <v>2055</v>
      </c>
      <c r="Q700" s="24" t="s">
        <v>2014</v>
      </c>
      <c r="R700" s="1" t="s">
        <v>2013</v>
      </c>
      <c r="S700" s="15" t="s">
        <v>2082</v>
      </c>
      <c r="T700" s="15" t="s">
        <v>2442</v>
      </c>
      <c r="U700" s="25" t="s">
        <v>2084</v>
      </c>
      <c r="V700" s="25" t="s">
        <v>2437</v>
      </c>
      <c r="W700" s="80">
        <v>45053</v>
      </c>
      <c r="X700" s="21" t="s">
        <v>2786</v>
      </c>
    </row>
    <row r="701" spans="1:24" x14ac:dyDescent="0.2">
      <c r="A701" s="1">
        <v>695</v>
      </c>
      <c r="B701" s="1" t="s">
        <v>448</v>
      </c>
      <c r="C701" s="1" t="s">
        <v>2782</v>
      </c>
      <c r="D701" s="11" t="s">
        <v>447</v>
      </c>
      <c r="E701" s="35" t="s">
        <v>823</v>
      </c>
      <c r="F701" s="66" t="s">
        <v>920</v>
      </c>
      <c r="G701" s="24" t="s">
        <v>2810</v>
      </c>
      <c r="H701" s="15" t="s">
        <v>2789</v>
      </c>
      <c r="I701" s="16">
        <v>31</v>
      </c>
      <c r="J701" s="16" t="str">
        <f t="shared" si="32"/>
        <v>Young</v>
      </c>
      <c r="K701" s="25">
        <v>5</v>
      </c>
      <c r="L701" s="42">
        <v>3780</v>
      </c>
      <c r="M701" s="15">
        <v>2280</v>
      </c>
      <c r="N701" s="39">
        <f t="shared" si="30"/>
        <v>18900</v>
      </c>
      <c r="O701" s="39">
        <f t="shared" si="31"/>
        <v>7500</v>
      </c>
      <c r="P701" s="24" t="s">
        <v>2019</v>
      </c>
      <c r="Q701" s="24" t="s">
        <v>2014</v>
      </c>
      <c r="R701" s="1" t="s">
        <v>2013</v>
      </c>
      <c r="S701" s="15" t="s">
        <v>2082</v>
      </c>
      <c r="T701" s="15" t="s">
        <v>2442</v>
      </c>
      <c r="U701" s="25" t="s">
        <v>2088</v>
      </c>
      <c r="V701" s="25" t="s">
        <v>2435</v>
      </c>
      <c r="W701" s="80">
        <v>45187</v>
      </c>
      <c r="X701" s="21" t="s">
        <v>2820</v>
      </c>
    </row>
    <row r="702" spans="1:24" x14ac:dyDescent="0.2">
      <c r="A702" s="1">
        <v>696</v>
      </c>
      <c r="B702" s="1" t="s">
        <v>450</v>
      </c>
      <c r="C702" s="1" t="s">
        <v>2782</v>
      </c>
      <c r="D702" s="11" t="s">
        <v>449</v>
      </c>
      <c r="E702" s="35" t="s">
        <v>823</v>
      </c>
      <c r="F702" s="67" t="s">
        <v>921</v>
      </c>
      <c r="G702" s="24" t="s">
        <v>2793</v>
      </c>
      <c r="H702" s="15" t="s">
        <v>2789</v>
      </c>
      <c r="I702" s="16">
        <v>44</v>
      </c>
      <c r="J702" s="16" t="str">
        <f t="shared" si="32"/>
        <v>Middle Age</v>
      </c>
      <c r="K702" s="25">
        <v>3</v>
      </c>
      <c r="L702" s="42">
        <v>3090</v>
      </c>
      <c r="M702" s="15">
        <v>1670</v>
      </c>
      <c r="N702" s="39">
        <f t="shared" si="30"/>
        <v>9270</v>
      </c>
      <c r="O702" s="39">
        <f t="shared" si="31"/>
        <v>4260</v>
      </c>
      <c r="P702" s="24" t="s">
        <v>2025</v>
      </c>
      <c r="Q702" s="24" t="s">
        <v>2024</v>
      </c>
      <c r="R702" s="1" t="s">
        <v>2013</v>
      </c>
      <c r="S702" s="15" t="s">
        <v>2082</v>
      </c>
      <c r="T702" s="15" t="s">
        <v>2442</v>
      </c>
      <c r="U702" s="25" t="s">
        <v>2086</v>
      </c>
      <c r="V702" s="25" t="s">
        <v>2434</v>
      </c>
      <c r="W702" s="80">
        <v>45175</v>
      </c>
      <c r="X702" s="21" t="s">
        <v>2820</v>
      </c>
    </row>
    <row r="703" spans="1:24" x14ac:dyDescent="0.2">
      <c r="A703" s="1">
        <v>697</v>
      </c>
      <c r="B703" s="1" t="s">
        <v>452</v>
      </c>
      <c r="C703" s="1" t="s">
        <v>2782</v>
      </c>
      <c r="D703" s="11" t="s">
        <v>451</v>
      </c>
      <c r="E703" s="35" t="s">
        <v>863</v>
      </c>
      <c r="F703" s="66" t="s">
        <v>930</v>
      </c>
      <c r="G703" s="24" t="s">
        <v>2791</v>
      </c>
      <c r="H703" s="15" t="s">
        <v>2788</v>
      </c>
      <c r="I703" s="16">
        <v>26</v>
      </c>
      <c r="J703" s="16" t="str">
        <f t="shared" si="32"/>
        <v>Young</v>
      </c>
      <c r="K703" s="25">
        <v>2</v>
      </c>
      <c r="L703" s="42">
        <v>3180</v>
      </c>
      <c r="M703" s="15">
        <v>1260</v>
      </c>
      <c r="N703" s="39">
        <f t="shared" si="30"/>
        <v>6360</v>
      </c>
      <c r="O703" s="39">
        <f t="shared" si="31"/>
        <v>3840</v>
      </c>
      <c r="P703" s="24" t="s">
        <v>2060</v>
      </c>
      <c r="Q703" s="24" t="s">
        <v>2024</v>
      </c>
      <c r="R703" s="1" t="s">
        <v>2013</v>
      </c>
      <c r="S703" s="15" t="s">
        <v>2082</v>
      </c>
      <c r="T703" s="15" t="s">
        <v>2442</v>
      </c>
      <c r="U703" s="25" t="s">
        <v>2086</v>
      </c>
      <c r="V703" s="25" t="s">
        <v>2436</v>
      </c>
      <c r="W703" s="80">
        <v>44987</v>
      </c>
      <c r="X703" s="21" t="s">
        <v>2816</v>
      </c>
    </row>
    <row r="704" spans="1:24" x14ac:dyDescent="0.2">
      <c r="A704" s="1">
        <v>698</v>
      </c>
      <c r="B704" s="1" t="s">
        <v>453</v>
      </c>
      <c r="C704" s="1" t="s">
        <v>2782</v>
      </c>
      <c r="D704" s="1" t="s">
        <v>2640</v>
      </c>
      <c r="E704" s="35" t="s">
        <v>822</v>
      </c>
      <c r="F704" s="67" t="s">
        <v>915</v>
      </c>
      <c r="G704" s="24" t="s">
        <v>2795</v>
      </c>
      <c r="H704" s="15" t="s">
        <v>2788</v>
      </c>
      <c r="I704" s="16">
        <v>48</v>
      </c>
      <c r="J704" s="16" t="str">
        <f t="shared" si="32"/>
        <v>Middle Age</v>
      </c>
      <c r="K704" s="25">
        <v>4</v>
      </c>
      <c r="L704" s="42">
        <v>2600</v>
      </c>
      <c r="M704" s="15">
        <v>1200</v>
      </c>
      <c r="N704" s="39">
        <f t="shared" si="30"/>
        <v>10400</v>
      </c>
      <c r="O704" s="39">
        <f t="shared" si="31"/>
        <v>5600</v>
      </c>
      <c r="P704" s="24" t="s">
        <v>2034</v>
      </c>
      <c r="Q704" s="24" t="s">
        <v>2016</v>
      </c>
      <c r="R704" s="1" t="s">
        <v>2013</v>
      </c>
      <c r="S704" s="15" t="s">
        <v>2082</v>
      </c>
      <c r="T704" s="15" t="s">
        <v>2442</v>
      </c>
      <c r="U704" s="25" t="s">
        <v>2088</v>
      </c>
      <c r="V704" s="25" t="s">
        <v>2437</v>
      </c>
      <c r="W704" s="80">
        <v>45158</v>
      </c>
      <c r="X704" s="21" t="s">
        <v>2819</v>
      </c>
    </row>
    <row r="705" spans="1:24" x14ac:dyDescent="0.2">
      <c r="A705" s="1">
        <v>699</v>
      </c>
      <c r="B705" s="1" t="s">
        <v>454</v>
      </c>
      <c r="C705" s="1" t="s">
        <v>2782</v>
      </c>
      <c r="D705" s="1" t="s">
        <v>2641</v>
      </c>
      <c r="E705" s="35" t="s">
        <v>822</v>
      </c>
      <c r="F705" s="66" t="s">
        <v>920</v>
      </c>
      <c r="G705" s="24" t="s">
        <v>2797</v>
      </c>
      <c r="H705" s="15" t="s">
        <v>2789</v>
      </c>
      <c r="I705" s="16">
        <v>53</v>
      </c>
      <c r="J705" s="16" t="str">
        <f t="shared" si="32"/>
        <v>Old</v>
      </c>
      <c r="K705" s="25">
        <v>1</v>
      </c>
      <c r="L705" s="42">
        <v>2150</v>
      </c>
      <c r="M705" s="15">
        <v>1150</v>
      </c>
      <c r="N705" s="39">
        <f t="shared" si="30"/>
        <v>2150</v>
      </c>
      <c r="O705" s="39">
        <f t="shared" si="31"/>
        <v>1000</v>
      </c>
      <c r="P705" s="24" t="s">
        <v>2036</v>
      </c>
      <c r="Q705" s="24" t="s">
        <v>2014</v>
      </c>
      <c r="R705" s="1" t="s">
        <v>2013</v>
      </c>
      <c r="S705" s="15" t="s">
        <v>2082</v>
      </c>
      <c r="T705" s="15" t="s">
        <v>2442</v>
      </c>
      <c r="U705" s="25" t="s">
        <v>2090</v>
      </c>
      <c r="V705" s="25" t="s">
        <v>2435</v>
      </c>
      <c r="W705" s="80">
        <v>45136</v>
      </c>
      <c r="X705" s="21" t="s">
        <v>2813</v>
      </c>
    </row>
    <row r="706" spans="1:24" x14ac:dyDescent="0.2">
      <c r="A706" s="1">
        <v>700</v>
      </c>
      <c r="B706" s="1" t="s">
        <v>859</v>
      </c>
      <c r="C706" s="1" t="s">
        <v>2782</v>
      </c>
      <c r="D706" s="1" t="s">
        <v>2642</v>
      </c>
      <c r="E706" s="35" t="s">
        <v>864</v>
      </c>
      <c r="F706" s="67" t="s">
        <v>921</v>
      </c>
      <c r="G706" s="24" t="s">
        <v>2799</v>
      </c>
      <c r="H706" s="15" t="s">
        <v>2789</v>
      </c>
      <c r="I706" s="16">
        <v>30</v>
      </c>
      <c r="J706" s="16" t="str">
        <f t="shared" si="32"/>
        <v>Young</v>
      </c>
      <c r="K706" s="25">
        <v>5</v>
      </c>
      <c r="L706" s="42">
        <v>1700</v>
      </c>
      <c r="M706" s="15">
        <v>1200</v>
      </c>
      <c r="N706" s="39">
        <f t="shared" ref="N706:N769" si="33">L706*K706</f>
        <v>8500</v>
      </c>
      <c r="O706" s="39">
        <f t="shared" ref="O706:O769" si="34">N706-(M706*K706)</f>
        <v>2500</v>
      </c>
      <c r="P706" s="24" t="s">
        <v>2032</v>
      </c>
      <c r="Q706" s="15" t="s">
        <v>2016</v>
      </c>
      <c r="R706" s="1" t="s">
        <v>2013</v>
      </c>
      <c r="S706" s="15" t="s">
        <v>2082</v>
      </c>
      <c r="T706" s="15" t="s">
        <v>2442</v>
      </c>
      <c r="U706" s="25" t="s">
        <v>2085</v>
      </c>
      <c r="V706" s="25" t="s">
        <v>2436</v>
      </c>
      <c r="W706" s="80">
        <v>45038</v>
      </c>
      <c r="X706" s="21" t="s">
        <v>2815</v>
      </c>
    </row>
    <row r="707" spans="1:24" x14ac:dyDescent="0.2">
      <c r="A707" s="1">
        <v>701</v>
      </c>
      <c r="B707" s="1" t="s">
        <v>455</v>
      </c>
      <c r="C707" s="1" t="s">
        <v>2782</v>
      </c>
      <c r="D707" s="1" t="s">
        <v>413</v>
      </c>
      <c r="E707" s="35" t="s">
        <v>863</v>
      </c>
      <c r="F707" s="67" t="s">
        <v>922</v>
      </c>
      <c r="G707" s="24" t="s">
        <v>2801</v>
      </c>
      <c r="H707" s="15" t="s">
        <v>2788</v>
      </c>
      <c r="I707" s="16">
        <v>37</v>
      </c>
      <c r="J707" s="16" t="str">
        <f t="shared" ref="J707:J770" si="35">IF(I707&lt;=35,"Young",IF(I707&lt;=49,"Middle Age",IF(I707&gt;=50,"Old")))</f>
        <v>Middle Age</v>
      </c>
      <c r="K707" s="25">
        <v>2</v>
      </c>
      <c r="L707" s="42">
        <f>7720+750</f>
        <v>8470</v>
      </c>
      <c r="M707" s="15">
        <f>4750+650</f>
        <v>5400</v>
      </c>
      <c r="N707" s="39">
        <f t="shared" si="33"/>
        <v>16940</v>
      </c>
      <c r="O707" s="39">
        <f t="shared" si="34"/>
        <v>6140</v>
      </c>
      <c r="P707" s="24" t="s">
        <v>2054</v>
      </c>
      <c r="Q707" s="24" t="s">
        <v>2016</v>
      </c>
      <c r="R707" s="1" t="s">
        <v>2013</v>
      </c>
      <c r="S707" s="15" t="s">
        <v>2082</v>
      </c>
      <c r="T707" s="15" t="s">
        <v>2442</v>
      </c>
      <c r="U707" s="25" t="s">
        <v>2089</v>
      </c>
      <c r="V707" s="25" t="s">
        <v>2434</v>
      </c>
      <c r="W707" s="80">
        <v>45028</v>
      </c>
      <c r="X707" s="21" t="s">
        <v>2815</v>
      </c>
    </row>
    <row r="708" spans="1:24" x14ac:dyDescent="0.2">
      <c r="A708" s="1">
        <v>702</v>
      </c>
      <c r="B708" s="1" t="s">
        <v>457</v>
      </c>
      <c r="C708" s="1" t="s">
        <v>2782</v>
      </c>
      <c r="D708" s="1" t="s">
        <v>456</v>
      </c>
      <c r="E708" s="35" t="s">
        <v>864</v>
      </c>
      <c r="F708" s="67" t="s">
        <v>923</v>
      </c>
      <c r="G708" s="24" t="s">
        <v>2803</v>
      </c>
      <c r="H708" s="15" t="s">
        <v>2788</v>
      </c>
      <c r="I708" s="16">
        <v>42</v>
      </c>
      <c r="J708" s="16" t="str">
        <f t="shared" si="35"/>
        <v>Middle Age</v>
      </c>
      <c r="K708" s="25">
        <v>3</v>
      </c>
      <c r="L708" s="42">
        <v>2270</v>
      </c>
      <c r="M708" s="15">
        <v>1100</v>
      </c>
      <c r="N708" s="39">
        <f t="shared" si="33"/>
        <v>6810</v>
      </c>
      <c r="O708" s="39">
        <f t="shared" si="34"/>
        <v>3510</v>
      </c>
      <c r="P708" s="24" t="s">
        <v>2030</v>
      </c>
      <c r="Q708" s="24" t="s">
        <v>2024</v>
      </c>
      <c r="R708" s="1" t="s">
        <v>2013</v>
      </c>
      <c r="S708" s="15" t="s">
        <v>2082</v>
      </c>
      <c r="T708" s="15" t="s">
        <v>2442</v>
      </c>
      <c r="U708" s="25" t="s">
        <v>2088</v>
      </c>
      <c r="V708" s="25" t="s">
        <v>2437</v>
      </c>
      <c r="W708" s="80">
        <v>45077</v>
      </c>
      <c r="X708" s="21" t="s">
        <v>2786</v>
      </c>
    </row>
    <row r="709" spans="1:24" x14ac:dyDescent="0.2">
      <c r="A709" s="1">
        <v>703</v>
      </c>
      <c r="B709" s="1" t="s">
        <v>458</v>
      </c>
      <c r="C709" s="1" t="s">
        <v>2782</v>
      </c>
      <c r="D709" s="1" t="s">
        <v>413</v>
      </c>
      <c r="E709" s="35" t="s">
        <v>822</v>
      </c>
      <c r="F709" s="67" t="s">
        <v>924</v>
      </c>
      <c r="G709" s="24" t="s">
        <v>2805</v>
      </c>
      <c r="H709" s="15" t="s">
        <v>2789</v>
      </c>
      <c r="I709" s="16">
        <v>24</v>
      </c>
      <c r="J709" s="16" t="str">
        <f t="shared" si="35"/>
        <v>Young</v>
      </c>
      <c r="K709" s="25">
        <v>4</v>
      </c>
      <c r="L709" s="42">
        <f>7070+750</f>
        <v>7820</v>
      </c>
      <c r="M709" s="15">
        <f>4100+650</f>
        <v>4750</v>
      </c>
      <c r="N709" s="39">
        <f t="shared" si="33"/>
        <v>31280</v>
      </c>
      <c r="O709" s="39">
        <f t="shared" si="34"/>
        <v>12280</v>
      </c>
      <c r="P709" s="24" t="s">
        <v>2019</v>
      </c>
      <c r="Q709" s="24" t="s">
        <v>2014</v>
      </c>
      <c r="R709" s="1" t="s">
        <v>2013</v>
      </c>
      <c r="S709" s="15" t="s">
        <v>2082</v>
      </c>
      <c r="T709" s="15" t="s">
        <v>2442</v>
      </c>
      <c r="U709" s="25" t="s">
        <v>2086</v>
      </c>
      <c r="V709" s="25" t="s">
        <v>2435</v>
      </c>
      <c r="W709" s="80">
        <v>45114</v>
      </c>
      <c r="X709" s="21" t="s">
        <v>2813</v>
      </c>
    </row>
    <row r="710" spans="1:24" x14ac:dyDescent="0.2">
      <c r="A710" s="1">
        <v>704</v>
      </c>
      <c r="B710" s="1" t="s">
        <v>138</v>
      </c>
      <c r="C710" s="1" t="s">
        <v>2782</v>
      </c>
      <c r="D710" s="1" t="s">
        <v>2643</v>
      </c>
      <c r="E710" s="35" t="s">
        <v>863</v>
      </c>
      <c r="F710" s="67" t="s">
        <v>925</v>
      </c>
      <c r="G710" s="24" t="s">
        <v>2807</v>
      </c>
      <c r="H710" s="15" t="s">
        <v>2788</v>
      </c>
      <c r="I710" s="16">
        <v>57</v>
      </c>
      <c r="J710" s="16" t="str">
        <f t="shared" si="35"/>
        <v>Old</v>
      </c>
      <c r="K710" s="25">
        <v>1</v>
      </c>
      <c r="L710" s="42">
        <v>3820</v>
      </c>
      <c r="M710" s="15">
        <v>1800</v>
      </c>
      <c r="N710" s="39">
        <f t="shared" si="33"/>
        <v>3820</v>
      </c>
      <c r="O710" s="39">
        <f t="shared" si="34"/>
        <v>2020</v>
      </c>
      <c r="P710" s="24" t="s">
        <v>2039</v>
      </c>
      <c r="Q710" s="24" t="s">
        <v>2014</v>
      </c>
      <c r="R710" s="1" t="s">
        <v>2013</v>
      </c>
      <c r="S710" s="15" t="s">
        <v>2082</v>
      </c>
      <c r="T710" s="15" t="s">
        <v>2442</v>
      </c>
      <c r="U710" s="25" t="s">
        <v>2086</v>
      </c>
      <c r="V710" s="25" t="s">
        <v>2434</v>
      </c>
      <c r="W710" s="80">
        <v>45171</v>
      </c>
      <c r="X710" s="21" t="s">
        <v>2820</v>
      </c>
    </row>
    <row r="711" spans="1:24" x14ac:dyDescent="0.2">
      <c r="A711" s="1">
        <v>705</v>
      </c>
      <c r="B711" s="1" t="s">
        <v>138</v>
      </c>
      <c r="C711" s="1" t="s">
        <v>2782</v>
      </c>
      <c r="D711" s="1" t="s">
        <v>2644</v>
      </c>
      <c r="E711" s="35" t="s">
        <v>864</v>
      </c>
      <c r="F711" s="69" t="s">
        <v>904</v>
      </c>
      <c r="G711" s="24" t="s">
        <v>2809</v>
      </c>
      <c r="H711" s="15" t="s">
        <v>2788</v>
      </c>
      <c r="I711" s="16">
        <v>35</v>
      </c>
      <c r="J711" s="16" t="str">
        <f t="shared" si="35"/>
        <v>Young</v>
      </c>
      <c r="K711" s="25">
        <v>5</v>
      </c>
      <c r="L711" s="42">
        <v>4920</v>
      </c>
      <c r="M711" s="15">
        <v>2000</v>
      </c>
      <c r="N711" s="39">
        <f t="shared" si="33"/>
        <v>24600</v>
      </c>
      <c r="O711" s="39">
        <f t="shared" si="34"/>
        <v>14600</v>
      </c>
      <c r="P711" s="24" t="s">
        <v>2053</v>
      </c>
      <c r="Q711" s="24" t="s">
        <v>2014</v>
      </c>
      <c r="R711" s="1" t="s">
        <v>2013</v>
      </c>
      <c r="S711" s="15" t="s">
        <v>2082</v>
      </c>
      <c r="T711" s="15" t="s">
        <v>2442</v>
      </c>
      <c r="U711" s="25" t="s">
        <v>2090</v>
      </c>
      <c r="V711" s="25" t="s">
        <v>2436</v>
      </c>
      <c r="W711" s="80">
        <v>44984</v>
      </c>
      <c r="X711" s="21" t="s">
        <v>2817</v>
      </c>
    </row>
    <row r="712" spans="1:24" x14ac:dyDescent="0.2">
      <c r="A712" s="1">
        <v>706</v>
      </c>
      <c r="B712" s="1" t="s">
        <v>460</v>
      </c>
      <c r="C712" s="1" t="s">
        <v>2782</v>
      </c>
      <c r="D712" s="1" t="s">
        <v>459</v>
      </c>
      <c r="E712" s="35" t="s">
        <v>822</v>
      </c>
      <c r="F712" s="66" t="s">
        <v>926</v>
      </c>
      <c r="G712" s="24" t="s">
        <v>2794</v>
      </c>
      <c r="H712" s="15" t="s">
        <v>2788</v>
      </c>
      <c r="I712" s="16">
        <v>40</v>
      </c>
      <c r="J712" s="16" t="str">
        <f t="shared" si="35"/>
        <v>Middle Age</v>
      </c>
      <c r="K712" s="25">
        <v>3</v>
      </c>
      <c r="L712" s="42">
        <v>4500</v>
      </c>
      <c r="M712" s="15">
        <v>1600</v>
      </c>
      <c r="N712" s="39">
        <f t="shared" si="33"/>
        <v>13500</v>
      </c>
      <c r="O712" s="39">
        <f t="shared" si="34"/>
        <v>8700</v>
      </c>
      <c r="P712" s="24" t="s">
        <v>2038</v>
      </c>
      <c r="Q712" s="15" t="s">
        <v>2016</v>
      </c>
      <c r="R712" s="1" t="s">
        <v>2013</v>
      </c>
      <c r="S712" s="15" t="s">
        <v>2082</v>
      </c>
      <c r="T712" s="15" t="s">
        <v>2442</v>
      </c>
      <c r="U712" s="25" t="s">
        <v>2087</v>
      </c>
      <c r="V712" s="25" t="s">
        <v>2437</v>
      </c>
      <c r="W712" s="80">
        <v>45092</v>
      </c>
      <c r="X712" s="21" t="s">
        <v>2814</v>
      </c>
    </row>
    <row r="713" spans="1:24" x14ac:dyDescent="0.2">
      <c r="A713" s="1">
        <v>707</v>
      </c>
      <c r="B713" s="1" t="s">
        <v>461</v>
      </c>
      <c r="C713" s="1" t="s">
        <v>2782</v>
      </c>
      <c r="D713" s="1" t="s">
        <v>2645</v>
      </c>
      <c r="E713" s="35" t="s">
        <v>863</v>
      </c>
      <c r="F713" s="66" t="s">
        <v>927</v>
      </c>
      <c r="G713" s="24" t="s">
        <v>2792</v>
      </c>
      <c r="H713" s="15" t="s">
        <v>2789</v>
      </c>
      <c r="I713" s="16">
        <v>21</v>
      </c>
      <c r="J713" s="16" t="str">
        <f t="shared" si="35"/>
        <v>Young</v>
      </c>
      <c r="K713" s="25">
        <v>2</v>
      </c>
      <c r="L713" s="42">
        <v>1940</v>
      </c>
      <c r="M713" s="15">
        <v>840</v>
      </c>
      <c r="N713" s="39">
        <f t="shared" si="33"/>
        <v>3880</v>
      </c>
      <c r="O713" s="39">
        <f t="shared" si="34"/>
        <v>2200</v>
      </c>
      <c r="P713" s="24" t="s">
        <v>2027</v>
      </c>
      <c r="Q713" s="24" t="s">
        <v>2014</v>
      </c>
      <c r="R713" s="1" t="s">
        <v>2013</v>
      </c>
      <c r="S713" s="15" t="s">
        <v>2082</v>
      </c>
      <c r="T713" s="15" t="s">
        <v>2442</v>
      </c>
      <c r="U713" s="25" t="s">
        <v>2083</v>
      </c>
      <c r="V713" s="25" t="s">
        <v>2435</v>
      </c>
      <c r="W713" s="80">
        <v>45107</v>
      </c>
      <c r="X713" s="21" t="s">
        <v>2814</v>
      </c>
    </row>
    <row r="714" spans="1:24" x14ac:dyDescent="0.2">
      <c r="A714" s="1">
        <v>708</v>
      </c>
      <c r="B714" s="1" t="s">
        <v>463</v>
      </c>
      <c r="C714" s="1" t="s">
        <v>2782</v>
      </c>
      <c r="D714" s="1" t="s">
        <v>462</v>
      </c>
      <c r="E714" s="35" t="s">
        <v>864</v>
      </c>
      <c r="F714" s="67" t="s">
        <v>932</v>
      </c>
      <c r="G714" s="24" t="s">
        <v>2796</v>
      </c>
      <c r="H714" s="15" t="s">
        <v>2789</v>
      </c>
      <c r="I714" s="16">
        <v>36</v>
      </c>
      <c r="J714" s="16" t="str">
        <f t="shared" si="35"/>
        <v>Middle Age</v>
      </c>
      <c r="K714" s="25">
        <v>4</v>
      </c>
      <c r="L714" s="42">
        <v>5940</v>
      </c>
      <c r="M714" s="15">
        <v>3400</v>
      </c>
      <c r="N714" s="39">
        <f t="shared" si="33"/>
        <v>23760</v>
      </c>
      <c r="O714" s="39">
        <f t="shared" si="34"/>
        <v>10160</v>
      </c>
      <c r="P714" s="24" t="s">
        <v>2048</v>
      </c>
      <c r="Q714" s="24" t="s">
        <v>2014</v>
      </c>
      <c r="R714" s="1" t="s">
        <v>2013</v>
      </c>
      <c r="S714" s="15" t="s">
        <v>2082</v>
      </c>
      <c r="T714" s="15" t="s">
        <v>2442</v>
      </c>
      <c r="U714" s="25" t="s">
        <v>2087</v>
      </c>
      <c r="V714" s="25" t="s">
        <v>2436</v>
      </c>
      <c r="W714" s="80">
        <v>44960</v>
      </c>
      <c r="X714" s="21" t="s">
        <v>2817</v>
      </c>
    </row>
    <row r="715" spans="1:24" x14ac:dyDescent="0.2">
      <c r="A715" s="1">
        <v>709</v>
      </c>
      <c r="B715" s="2" t="s">
        <v>464</v>
      </c>
      <c r="C715" s="2" t="s">
        <v>2782</v>
      </c>
      <c r="D715" s="2" t="s">
        <v>2646</v>
      </c>
      <c r="E715" s="35" t="s">
        <v>822</v>
      </c>
      <c r="F715" s="67" t="s">
        <v>922</v>
      </c>
      <c r="G715" s="24" t="s">
        <v>2798</v>
      </c>
      <c r="H715" s="15" t="s">
        <v>2788</v>
      </c>
      <c r="I715" s="16">
        <v>28</v>
      </c>
      <c r="J715" s="16" t="str">
        <f t="shared" si="35"/>
        <v>Young</v>
      </c>
      <c r="K715" s="25">
        <v>1</v>
      </c>
      <c r="L715" s="42">
        <v>6741</v>
      </c>
      <c r="M715" s="15">
        <v>2890</v>
      </c>
      <c r="N715" s="39">
        <f t="shared" si="33"/>
        <v>6741</v>
      </c>
      <c r="O715" s="39">
        <f t="shared" si="34"/>
        <v>3851</v>
      </c>
      <c r="P715" s="24" t="s">
        <v>2022</v>
      </c>
      <c r="Q715" s="24" t="s">
        <v>2016</v>
      </c>
      <c r="R715" s="1" t="s">
        <v>2013</v>
      </c>
      <c r="S715" s="15" t="s">
        <v>2082</v>
      </c>
      <c r="T715" s="15" t="s">
        <v>2442</v>
      </c>
      <c r="U715" s="25" t="s">
        <v>2083</v>
      </c>
      <c r="V715" s="25" t="s">
        <v>2434</v>
      </c>
      <c r="W715" s="80">
        <v>45188</v>
      </c>
      <c r="X715" s="21" t="s">
        <v>2820</v>
      </c>
    </row>
    <row r="716" spans="1:24" x14ac:dyDescent="0.2">
      <c r="A716" s="1">
        <v>710</v>
      </c>
      <c r="B716" s="1" t="s">
        <v>466</v>
      </c>
      <c r="C716" s="1" t="s">
        <v>2782</v>
      </c>
      <c r="D716" s="1" t="s">
        <v>465</v>
      </c>
      <c r="E716" s="35" t="s">
        <v>863</v>
      </c>
      <c r="F716" s="67" t="s">
        <v>923</v>
      </c>
      <c r="G716" s="24" t="s">
        <v>2800</v>
      </c>
      <c r="H716" s="15" t="s">
        <v>2788</v>
      </c>
      <c r="I716" s="16">
        <v>50</v>
      </c>
      <c r="J716" s="16" t="str">
        <f t="shared" si="35"/>
        <v>Old</v>
      </c>
      <c r="K716" s="25">
        <v>5</v>
      </c>
      <c r="L716" s="42">
        <v>6360</v>
      </c>
      <c r="M716" s="15">
        <v>3270</v>
      </c>
      <c r="N716" s="39">
        <f t="shared" si="33"/>
        <v>31800</v>
      </c>
      <c r="O716" s="39">
        <f t="shared" si="34"/>
        <v>15450</v>
      </c>
      <c r="P716" s="24" t="s">
        <v>2040</v>
      </c>
      <c r="Q716" s="15" t="s">
        <v>2014</v>
      </c>
      <c r="R716" s="1" t="s">
        <v>2013</v>
      </c>
      <c r="S716" s="15" t="s">
        <v>2082</v>
      </c>
      <c r="T716" s="15" t="s">
        <v>2442</v>
      </c>
      <c r="U716" s="25" t="s">
        <v>2088</v>
      </c>
      <c r="V716" s="25" t="s">
        <v>2437</v>
      </c>
      <c r="W716" s="80">
        <v>45284</v>
      </c>
      <c r="X716" s="21" t="s">
        <v>2822</v>
      </c>
    </row>
    <row r="717" spans="1:24" x14ac:dyDescent="0.2">
      <c r="A717" s="1">
        <v>711</v>
      </c>
      <c r="B717" s="1" t="s">
        <v>467</v>
      </c>
      <c r="C717" s="1" t="s">
        <v>2782</v>
      </c>
      <c r="D717" s="1" t="s">
        <v>2605</v>
      </c>
      <c r="E717" s="35" t="s">
        <v>822</v>
      </c>
      <c r="F717" s="67" t="s">
        <v>924</v>
      </c>
      <c r="G717" s="24" t="s">
        <v>2802</v>
      </c>
      <c r="H717" s="15" t="s">
        <v>2789</v>
      </c>
      <c r="I717" s="16">
        <v>39</v>
      </c>
      <c r="J717" s="16" t="str">
        <f t="shared" si="35"/>
        <v>Middle Age</v>
      </c>
      <c r="K717" s="25">
        <v>2</v>
      </c>
      <c r="L717" s="42">
        <v>6590</v>
      </c>
      <c r="M717" s="15">
        <v>3590</v>
      </c>
      <c r="N717" s="39">
        <f t="shared" si="33"/>
        <v>13180</v>
      </c>
      <c r="O717" s="39">
        <f t="shared" si="34"/>
        <v>6000</v>
      </c>
      <c r="P717" s="24" t="s">
        <v>2035</v>
      </c>
      <c r="Q717" s="24" t="s">
        <v>2020</v>
      </c>
      <c r="R717" s="1" t="s">
        <v>2013</v>
      </c>
      <c r="S717" s="15" t="s">
        <v>2082</v>
      </c>
      <c r="T717" s="15" t="s">
        <v>2442</v>
      </c>
      <c r="U717" s="25" t="s">
        <v>2084</v>
      </c>
      <c r="V717" s="25" t="s">
        <v>2435</v>
      </c>
      <c r="W717" s="80">
        <v>44972</v>
      </c>
      <c r="X717" s="21" t="s">
        <v>2817</v>
      </c>
    </row>
    <row r="718" spans="1:24" x14ac:dyDescent="0.2">
      <c r="A718" s="1">
        <v>712</v>
      </c>
      <c r="B718" s="1" t="s">
        <v>26</v>
      </c>
      <c r="C718" s="1" t="s">
        <v>2782</v>
      </c>
      <c r="D718" s="1" t="s">
        <v>468</v>
      </c>
      <c r="E718" s="35" t="s">
        <v>864</v>
      </c>
      <c r="F718" s="67" t="s">
        <v>925</v>
      </c>
      <c r="G718" s="24" t="s">
        <v>2804</v>
      </c>
      <c r="H718" s="15" t="s">
        <v>2788</v>
      </c>
      <c r="I718" s="16">
        <v>31</v>
      </c>
      <c r="J718" s="16" t="str">
        <f t="shared" si="35"/>
        <v>Young</v>
      </c>
      <c r="K718" s="25">
        <v>3</v>
      </c>
      <c r="L718" s="42">
        <v>6230</v>
      </c>
      <c r="M718" s="15">
        <v>4000</v>
      </c>
      <c r="N718" s="39">
        <f t="shared" si="33"/>
        <v>18690</v>
      </c>
      <c r="O718" s="39">
        <f t="shared" si="34"/>
        <v>6690</v>
      </c>
      <c r="P718" s="24" t="s">
        <v>2042</v>
      </c>
      <c r="Q718" s="15" t="s">
        <v>2828</v>
      </c>
      <c r="R718" s="1" t="s">
        <v>2013</v>
      </c>
      <c r="S718" s="15" t="s">
        <v>2082</v>
      </c>
      <c r="T718" s="15" t="s">
        <v>2442</v>
      </c>
      <c r="U718" s="25" t="s">
        <v>2086</v>
      </c>
      <c r="V718" s="25" t="s">
        <v>2434</v>
      </c>
      <c r="W718" s="80">
        <v>45072</v>
      </c>
      <c r="X718" s="21" t="s">
        <v>2786</v>
      </c>
    </row>
    <row r="719" spans="1:24" x14ac:dyDescent="0.2">
      <c r="A719" s="1">
        <v>713</v>
      </c>
      <c r="B719" s="1" t="s">
        <v>469</v>
      </c>
      <c r="C719" s="1" t="s">
        <v>2782</v>
      </c>
      <c r="D719" s="1" t="s">
        <v>2647</v>
      </c>
      <c r="E719" s="35" t="s">
        <v>822</v>
      </c>
      <c r="F719" s="66" t="s">
        <v>929</v>
      </c>
      <c r="G719" s="24" t="s">
        <v>2806</v>
      </c>
      <c r="H719" s="15" t="s">
        <v>2789</v>
      </c>
      <c r="I719" s="16">
        <v>44</v>
      </c>
      <c r="J719" s="16" t="str">
        <f t="shared" si="35"/>
        <v>Middle Age</v>
      </c>
      <c r="K719" s="25">
        <v>4</v>
      </c>
      <c r="L719" s="42">
        <v>7455</v>
      </c>
      <c r="M719" s="15">
        <v>3000</v>
      </c>
      <c r="N719" s="39">
        <f t="shared" si="33"/>
        <v>29820</v>
      </c>
      <c r="O719" s="39">
        <f t="shared" si="34"/>
        <v>17820</v>
      </c>
      <c r="P719" s="24" t="s">
        <v>2056</v>
      </c>
      <c r="Q719" s="24" t="s">
        <v>2024</v>
      </c>
      <c r="R719" s="1" t="s">
        <v>2013</v>
      </c>
      <c r="S719" s="15" t="s">
        <v>2082</v>
      </c>
      <c r="T719" s="15" t="s">
        <v>2442</v>
      </c>
      <c r="U719" s="25" t="s">
        <v>2089</v>
      </c>
      <c r="V719" s="25" t="s">
        <v>2436</v>
      </c>
      <c r="W719" s="80">
        <v>45134</v>
      </c>
      <c r="X719" s="21" t="s">
        <v>2813</v>
      </c>
    </row>
    <row r="720" spans="1:24" x14ac:dyDescent="0.2">
      <c r="A720" s="1">
        <v>714</v>
      </c>
      <c r="B720" s="1" t="s">
        <v>79</v>
      </c>
      <c r="C720" s="1" t="s">
        <v>2782</v>
      </c>
      <c r="D720" s="1" t="s">
        <v>470</v>
      </c>
      <c r="E720" s="35" t="s">
        <v>863</v>
      </c>
      <c r="F720" s="66" t="s">
        <v>882</v>
      </c>
      <c r="G720" s="24" t="s">
        <v>2808</v>
      </c>
      <c r="H720" s="15" t="s">
        <v>2788</v>
      </c>
      <c r="I720" s="16">
        <v>26</v>
      </c>
      <c r="J720" s="16" t="str">
        <f t="shared" si="35"/>
        <v>Young</v>
      </c>
      <c r="K720" s="25">
        <v>5</v>
      </c>
      <c r="L720" s="42">
        <v>2150</v>
      </c>
      <c r="M720" s="15">
        <v>1150</v>
      </c>
      <c r="N720" s="39">
        <f t="shared" si="33"/>
        <v>10750</v>
      </c>
      <c r="O720" s="39">
        <f t="shared" si="34"/>
        <v>5000</v>
      </c>
      <c r="P720" s="24" t="s">
        <v>2037</v>
      </c>
      <c r="Q720" s="24" t="s">
        <v>2014</v>
      </c>
      <c r="R720" s="1" t="s">
        <v>2013</v>
      </c>
      <c r="S720" s="15" t="s">
        <v>2082</v>
      </c>
      <c r="T720" s="15" t="s">
        <v>2442</v>
      </c>
      <c r="U720" s="25" t="s">
        <v>2087</v>
      </c>
      <c r="V720" s="25" t="s">
        <v>2437</v>
      </c>
      <c r="W720" s="80">
        <v>45122</v>
      </c>
      <c r="X720" s="21" t="s">
        <v>2813</v>
      </c>
    </row>
    <row r="721" spans="1:24" x14ac:dyDescent="0.2">
      <c r="A721" s="1">
        <v>715</v>
      </c>
      <c r="B721" s="1" t="s">
        <v>472</v>
      </c>
      <c r="C721" s="1" t="s">
        <v>2782</v>
      </c>
      <c r="D721" s="1" t="s">
        <v>471</v>
      </c>
      <c r="E721" s="35" t="s">
        <v>822</v>
      </c>
      <c r="F721" s="66" t="s">
        <v>930</v>
      </c>
      <c r="G721" s="24" t="s">
        <v>2810</v>
      </c>
      <c r="H721" s="15" t="s">
        <v>2788</v>
      </c>
      <c r="I721" s="16">
        <v>48</v>
      </c>
      <c r="J721" s="16" t="str">
        <f t="shared" si="35"/>
        <v>Middle Age</v>
      </c>
      <c r="K721" s="25">
        <v>2</v>
      </c>
      <c r="L721" s="42">
        <v>2740</v>
      </c>
      <c r="M721" s="15">
        <v>1240</v>
      </c>
      <c r="N721" s="39">
        <f t="shared" si="33"/>
        <v>5480</v>
      </c>
      <c r="O721" s="39">
        <f t="shared" si="34"/>
        <v>3000</v>
      </c>
      <c r="P721" s="24" t="s">
        <v>2019</v>
      </c>
      <c r="Q721" s="24" t="s">
        <v>2014</v>
      </c>
      <c r="R721" s="1" t="s">
        <v>2013</v>
      </c>
      <c r="S721" s="15" t="s">
        <v>2082</v>
      </c>
      <c r="T721" s="15" t="s">
        <v>2442</v>
      </c>
      <c r="U721" s="25" t="s">
        <v>2085</v>
      </c>
      <c r="V721" s="25" t="s">
        <v>2435</v>
      </c>
      <c r="W721" s="80">
        <v>44953</v>
      </c>
      <c r="X721" s="21" t="s">
        <v>2818</v>
      </c>
    </row>
    <row r="722" spans="1:24" x14ac:dyDescent="0.2">
      <c r="A722" s="1">
        <v>716</v>
      </c>
      <c r="B722" s="1" t="s">
        <v>473</v>
      </c>
      <c r="C722" s="1" t="s">
        <v>2782</v>
      </c>
      <c r="D722" s="1" t="s">
        <v>384</v>
      </c>
      <c r="E722" s="35" t="s">
        <v>863</v>
      </c>
      <c r="F722" s="67" t="s">
        <v>915</v>
      </c>
      <c r="G722" s="24" t="s">
        <v>2793</v>
      </c>
      <c r="H722" s="15" t="s">
        <v>2788</v>
      </c>
      <c r="I722" s="16">
        <v>53</v>
      </c>
      <c r="J722" s="16" t="str">
        <f t="shared" si="35"/>
        <v>Old</v>
      </c>
      <c r="K722" s="25">
        <v>3</v>
      </c>
      <c r="L722" s="42">
        <v>3610</v>
      </c>
      <c r="M722" s="15">
        <v>1640</v>
      </c>
      <c r="N722" s="39">
        <f t="shared" si="33"/>
        <v>10830</v>
      </c>
      <c r="O722" s="39">
        <f t="shared" si="34"/>
        <v>5910</v>
      </c>
      <c r="P722" s="24" t="s">
        <v>2034</v>
      </c>
      <c r="Q722" s="24" t="s">
        <v>2016</v>
      </c>
      <c r="R722" s="1" t="s">
        <v>2013</v>
      </c>
      <c r="S722" s="15" t="s">
        <v>2082</v>
      </c>
      <c r="T722" s="15" t="s">
        <v>2442</v>
      </c>
      <c r="U722" s="25" t="s">
        <v>2083</v>
      </c>
      <c r="V722" s="25" t="s">
        <v>2436</v>
      </c>
      <c r="W722" s="80">
        <v>44978</v>
      </c>
      <c r="X722" s="21" t="s">
        <v>2817</v>
      </c>
    </row>
    <row r="723" spans="1:24" x14ac:dyDescent="0.2">
      <c r="A723" s="1">
        <v>717</v>
      </c>
      <c r="B723" s="1" t="s">
        <v>8</v>
      </c>
      <c r="C723" s="1" t="s">
        <v>2781</v>
      </c>
      <c r="D723" s="1" t="s">
        <v>869</v>
      </c>
      <c r="E723" s="35" t="s">
        <v>817</v>
      </c>
      <c r="F723" s="66" t="s">
        <v>920</v>
      </c>
      <c r="G723" s="24" t="s">
        <v>2791</v>
      </c>
      <c r="H723" s="15" t="s">
        <v>2789</v>
      </c>
      <c r="I723" s="16">
        <v>30</v>
      </c>
      <c r="J723" s="16" t="str">
        <f t="shared" si="35"/>
        <v>Young</v>
      </c>
      <c r="K723" s="25">
        <v>4</v>
      </c>
      <c r="L723" s="42">
        <v>1090</v>
      </c>
      <c r="M723" s="15">
        <v>600</v>
      </c>
      <c r="N723" s="39">
        <f t="shared" si="33"/>
        <v>4360</v>
      </c>
      <c r="O723" s="39">
        <f t="shared" si="34"/>
        <v>1960</v>
      </c>
      <c r="P723" s="24" t="s">
        <v>2055</v>
      </c>
      <c r="Q723" s="24" t="s">
        <v>2014</v>
      </c>
      <c r="R723" s="1" t="s">
        <v>2013</v>
      </c>
      <c r="S723" s="15" t="s">
        <v>2082</v>
      </c>
      <c r="T723" s="15" t="s">
        <v>2442</v>
      </c>
      <c r="U723" s="25" t="s">
        <v>2086</v>
      </c>
      <c r="V723" s="25" t="s">
        <v>2434</v>
      </c>
      <c r="W723" s="80">
        <v>45122</v>
      </c>
      <c r="X723" s="21" t="s">
        <v>2813</v>
      </c>
    </row>
    <row r="724" spans="1:24" x14ac:dyDescent="0.2">
      <c r="A724" s="1">
        <v>718</v>
      </c>
      <c r="B724" s="1" t="s">
        <v>475</v>
      </c>
      <c r="C724" s="1" t="s">
        <v>2782</v>
      </c>
      <c r="D724" s="11" t="s">
        <v>474</v>
      </c>
      <c r="E724" s="35" t="s">
        <v>822</v>
      </c>
      <c r="F724" s="67" t="s">
        <v>921</v>
      </c>
      <c r="G724" s="24" t="s">
        <v>2795</v>
      </c>
      <c r="H724" s="15" t="s">
        <v>2789</v>
      </c>
      <c r="I724" s="16">
        <v>37</v>
      </c>
      <c r="J724" s="16" t="str">
        <f t="shared" si="35"/>
        <v>Middle Age</v>
      </c>
      <c r="K724" s="25">
        <v>3</v>
      </c>
      <c r="L724" s="42">
        <v>4650</v>
      </c>
      <c r="M724" s="15">
        <v>2350</v>
      </c>
      <c r="N724" s="39">
        <f t="shared" si="33"/>
        <v>13950</v>
      </c>
      <c r="O724" s="39">
        <f t="shared" si="34"/>
        <v>6900</v>
      </c>
      <c r="P724" s="24" t="s">
        <v>2041</v>
      </c>
      <c r="Q724" s="24" t="s">
        <v>2016</v>
      </c>
      <c r="R724" s="1" t="s">
        <v>2013</v>
      </c>
      <c r="S724" s="15" t="s">
        <v>2082</v>
      </c>
      <c r="T724" s="15" t="s">
        <v>2442</v>
      </c>
      <c r="U724" s="25" t="s">
        <v>2087</v>
      </c>
      <c r="V724" s="25" t="s">
        <v>2437</v>
      </c>
      <c r="W724" s="80">
        <v>45003</v>
      </c>
      <c r="X724" s="21" t="s">
        <v>2816</v>
      </c>
    </row>
    <row r="725" spans="1:24" x14ac:dyDescent="0.2">
      <c r="A725" s="1">
        <v>719</v>
      </c>
      <c r="B725" s="1" t="s">
        <v>117</v>
      </c>
      <c r="C725" s="1" t="s">
        <v>2782</v>
      </c>
      <c r="D725" s="11" t="s">
        <v>476</v>
      </c>
      <c r="E725" s="35" t="s">
        <v>864</v>
      </c>
      <c r="F725" s="67" t="s">
        <v>922</v>
      </c>
      <c r="G725" s="24" t="s">
        <v>2797</v>
      </c>
      <c r="H725" s="15" t="s">
        <v>2788</v>
      </c>
      <c r="I725" s="16">
        <v>42</v>
      </c>
      <c r="J725" s="16" t="str">
        <f t="shared" si="35"/>
        <v>Middle Age</v>
      </c>
      <c r="K725" s="25">
        <v>1</v>
      </c>
      <c r="L725" s="42">
        <v>2270</v>
      </c>
      <c r="M725" s="15">
        <v>1070</v>
      </c>
      <c r="N725" s="39">
        <f t="shared" si="33"/>
        <v>2270</v>
      </c>
      <c r="O725" s="39">
        <f t="shared" si="34"/>
        <v>1200</v>
      </c>
      <c r="P725" s="24" t="s">
        <v>2043</v>
      </c>
      <c r="Q725" s="24" t="s">
        <v>2016</v>
      </c>
      <c r="R725" s="1" t="s">
        <v>2013</v>
      </c>
      <c r="S725" s="15" t="s">
        <v>2082</v>
      </c>
      <c r="T725" s="15" t="s">
        <v>2442</v>
      </c>
      <c r="U725" s="25" t="s">
        <v>2084</v>
      </c>
      <c r="V725" s="25" t="s">
        <v>2435</v>
      </c>
      <c r="W725" s="80">
        <v>44954</v>
      </c>
      <c r="X725" s="21" t="s">
        <v>2818</v>
      </c>
    </row>
    <row r="726" spans="1:24" x14ac:dyDescent="0.2">
      <c r="A726" s="1">
        <v>720</v>
      </c>
      <c r="B726" s="1" t="s">
        <v>478</v>
      </c>
      <c r="C726" s="1" t="s">
        <v>2782</v>
      </c>
      <c r="D726" s="11" t="s">
        <v>477</v>
      </c>
      <c r="E726" s="35" t="s">
        <v>863</v>
      </c>
      <c r="F726" s="67" t="s">
        <v>923</v>
      </c>
      <c r="G726" s="24" t="s">
        <v>2799</v>
      </c>
      <c r="H726" s="15" t="s">
        <v>2788</v>
      </c>
      <c r="I726" s="16">
        <v>24</v>
      </c>
      <c r="J726" s="16" t="str">
        <f t="shared" si="35"/>
        <v>Young</v>
      </c>
      <c r="K726" s="25">
        <v>4</v>
      </c>
      <c r="L726" s="42">
        <v>3020</v>
      </c>
      <c r="M726" s="15">
        <v>1520</v>
      </c>
      <c r="N726" s="39">
        <f t="shared" si="33"/>
        <v>12080</v>
      </c>
      <c r="O726" s="39">
        <f t="shared" si="34"/>
        <v>6000</v>
      </c>
      <c r="P726" s="24" t="s">
        <v>2026</v>
      </c>
      <c r="Q726" s="15" t="s">
        <v>2014</v>
      </c>
      <c r="R726" s="1" t="s">
        <v>2013</v>
      </c>
      <c r="S726" s="15" t="s">
        <v>2082</v>
      </c>
      <c r="T726" s="15" t="s">
        <v>2442</v>
      </c>
      <c r="U726" s="25" t="s">
        <v>2088</v>
      </c>
      <c r="V726" s="25" t="s">
        <v>2434</v>
      </c>
      <c r="W726" s="80">
        <v>45114</v>
      </c>
      <c r="X726" s="21" t="s">
        <v>2813</v>
      </c>
    </row>
    <row r="727" spans="1:24" x14ac:dyDescent="0.2">
      <c r="A727" s="1">
        <v>721</v>
      </c>
      <c r="B727" s="1" t="s">
        <v>480</v>
      </c>
      <c r="C727" s="1" t="s">
        <v>2782</v>
      </c>
      <c r="D727" s="11" t="s">
        <v>479</v>
      </c>
      <c r="E727" s="35" t="s">
        <v>864</v>
      </c>
      <c r="F727" s="67" t="s">
        <v>924</v>
      </c>
      <c r="G727" s="24" t="s">
        <v>2801</v>
      </c>
      <c r="H727" s="15" t="s">
        <v>2789</v>
      </c>
      <c r="I727" s="16">
        <v>57</v>
      </c>
      <c r="J727" s="16" t="str">
        <f t="shared" si="35"/>
        <v>Old</v>
      </c>
      <c r="K727" s="25">
        <v>5</v>
      </c>
      <c r="L727" s="42">
        <v>1800</v>
      </c>
      <c r="M727" s="15">
        <v>850</v>
      </c>
      <c r="N727" s="39">
        <f t="shared" si="33"/>
        <v>9000</v>
      </c>
      <c r="O727" s="39">
        <f t="shared" si="34"/>
        <v>4750</v>
      </c>
      <c r="P727" s="24" t="s">
        <v>2036</v>
      </c>
      <c r="Q727" s="24" t="s">
        <v>2014</v>
      </c>
      <c r="R727" s="1" t="s">
        <v>2013</v>
      </c>
      <c r="S727" s="15" t="s">
        <v>2082</v>
      </c>
      <c r="T727" s="15" t="s">
        <v>2442</v>
      </c>
      <c r="U727" s="25" t="s">
        <v>2087</v>
      </c>
      <c r="V727" s="25" t="s">
        <v>2436</v>
      </c>
      <c r="W727" s="80">
        <v>45141</v>
      </c>
      <c r="X727" s="21" t="s">
        <v>2819</v>
      </c>
    </row>
    <row r="728" spans="1:24" x14ac:dyDescent="0.2">
      <c r="A728" s="1">
        <v>722</v>
      </c>
      <c r="B728" s="1" t="s">
        <v>8</v>
      </c>
      <c r="C728" s="1" t="s">
        <v>2782</v>
      </c>
      <c r="D728" s="11" t="s">
        <v>481</v>
      </c>
      <c r="E728" s="35" t="s">
        <v>822</v>
      </c>
      <c r="F728" s="67" t="s">
        <v>925</v>
      </c>
      <c r="G728" s="24" t="s">
        <v>2803</v>
      </c>
      <c r="H728" s="15" t="s">
        <v>2788</v>
      </c>
      <c r="I728" s="16">
        <v>35</v>
      </c>
      <c r="J728" s="16" t="str">
        <f t="shared" si="35"/>
        <v>Young</v>
      </c>
      <c r="K728" s="25">
        <v>3</v>
      </c>
      <c r="L728" s="42">
        <v>1450</v>
      </c>
      <c r="M728" s="15">
        <v>550</v>
      </c>
      <c r="N728" s="39">
        <f t="shared" si="33"/>
        <v>4350</v>
      </c>
      <c r="O728" s="39">
        <f t="shared" si="34"/>
        <v>2700</v>
      </c>
      <c r="P728" s="24" t="s">
        <v>2049</v>
      </c>
      <c r="Q728" s="24" t="s">
        <v>2016</v>
      </c>
      <c r="R728" s="1" t="s">
        <v>2013</v>
      </c>
      <c r="S728" s="15" t="s">
        <v>2082</v>
      </c>
      <c r="T728" s="15" t="s">
        <v>2442</v>
      </c>
      <c r="U728" s="25" t="s">
        <v>2087</v>
      </c>
      <c r="V728" s="25" t="s">
        <v>2437</v>
      </c>
      <c r="W728" s="80">
        <v>44996</v>
      </c>
      <c r="X728" s="21" t="s">
        <v>2816</v>
      </c>
    </row>
    <row r="729" spans="1:24" x14ac:dyDescent="0.2">
      <c r="A729" s="1">
        <v>723</v>
      </c>
      <c r="B729" s="1" t="s">
        <v>397</v>
      </c>
      <c r="C729" s="1" t="s">
        <v>2782</v>
      </c>
      <c r="D729" s="11" t="s">
        <v>482</v>
      </c>
      <c r="E729" s="35" t="s">
        <v>863</v>
      </c>
      <c r="F729" s="69" t="s">
        <v>904</v>
      </c>
      <c r="G729" s="24" t="s">
        <v>2805</v>
      </c>
      <c r="H729" s="15" t="s">
        <v>2788</v>
      </c>
      <c r="I729" s="16">
        <v>40</v>
      </c>
      <c r="J729" s="16" t="str">
        <f t="shared" si="35"/>
        <v>Middle Age</v>
      </c>
      <c r="K729" s="25">
        <v>2</v>
      </c>
      <c r="L729" s="42">
        <v>2610</v>
      </c>
      <c r="M729" s="15">
        <v>1070</v>
      </c>
      <c r="N729" s="39">
        <f t="shared" si="33"/>
        <v>5220</v>
      </c>
      <c r="O729" s="39">
        <f t="shared" si="34"/>
        <v>3080</v>
      </c>
      <c r="P729" s="24" t="s">
        <v>2058</v>
      </c>
      <c r="Q729" s="24" t="s">
        <v>2020</v>
      </c>
      <c r="R729" s="1" t="s">
        <v>2013</v>
      </c>
      <c r="S729" s="15" t="s">
        <v>2082</v>
      </c>
      <c r="T729" s="15" t="s">
        <v>2442</v>
      </c>
      <c r="U729" s="25" t="s">
        <v>2086</v>
      </c>
      <c r="V729" s="25" t="s">
        <v>2435</v>
      </c>
      <c r="W729" s="80">
        <v>44941</v>
      </c>
      <c r="X729" s="21" t="s">
        <v>2818</v>
      </c>
    </row>
    <row r="730" spans="1:24" x14ac:dyDescent="0.2">
      <c r="A730" s="1">
        <v>724</v>
      </c>
      <c r="B730" s="1" t="s">
        <v>484</v>
      </c>
      <c r="C730" s="1" t="s">
        <v>2782</v>
      </c>
      <c r="D730" s="11" t="s">
        <v>483</v>
      </c>
      <c r="E730" s="35" t="s">
        <v>864</v>
      </c>
      <c r="F730" s="66" t="s">
        <v>926</v>
      </c>
      <c r="G730" s="24" t="s">
        <v>2807</v>
      </c>
      <c r="H730" s="15" t="s">
        <v>2788</v>
      </c>
      <c r="I730" s="16">
        <v>21</v>
      </c>
      <c r="J730" s="16" t="str">
        <f t="shared" si="35"/>
        <v>Young</v>
      </c>
      <c r="K730" s="25">
        <v>4</v>
      </c>
      <c r="L730" s="42">
        <v>4400</v>
      </c>
      <c r="M730" s="15">
        <v>1900</v>
      </c>
      <c r="N730" s="39">
        <f t="shared" si="33"/>
        <v>17600</v>
      </c>
      <c r="O730" s="39">
        <f t="shared" si="34"/>
        <v>10000</v>
      </c>
      <c r="P730" s="24" t="s">
        <v>2027</v>
      </c>
      <c r="Q730" s="24" t="s">
        <v>2014</v>
      </c>
      <c r="R730" s="1" t="s">
        <v>2013</v>
      </c>
      <c r="S730" s="15" t="s">
        <v>2082</v>
      </c>
      <c r="T730" s="15" t="s">
        <v>2442</v>
      </c>
      <c r="U730" s="25" t="s">
        <v>2084</v>
      </c>
      <c r="V730" s="25" t="s">
        <v>2436</v>
      </c>
      <c r="W730" s="80">
        <v>44940</v>
      </c>
      <c r="X730" s="21" t="s">
        <v>2818</v>
      </c>
    </row>
    <row r="731" spans="1:24" x14ac:dyDescent="0.2">
      <c r="A731" s="1">
        <v>725</v>
      </c>
      <c r="B731" s="1" t="s">
        <v>353</v>
      </c>
      <c r="C731" s="1" t="s">
        <v>2782</v>
      </c>
      <c r="D731" s="11" t="s">
        <v>485</v>
      </c>
      <c r="E731" s="35" t="s">
        <v>822</v>
      </c>
      <c r="F731" s="66" t="s">
        <v>927</v>
      </c>
      <c r="G731" s="24" t="s">
        <v>2809</v>
      </c>
      <c r="H731" s="15" t="s">
        <v>2789</v>
      </c>
      <c r="I731" s="16">
        <v>59</v>
      </c>
      <c r="J731" s="16" t="str">
        <f t="shared" si="35"/>
        <v>Old</v>
      </c>
      <c r="K731" s="25">
        <v>1</v>
      </c>
      <c r="L731" s="42">
        <v>2450</v>
      </c>
      <c r="M731" s="15">
        <v>900</v>
      </c>
      <c r="N731" s="39">
        <f t="shared" si="33"/>
        <v>2450</v>
      </c>
      <c r="O731" s="39">
        <f t="shared" si="34"/>
        <v>1550</v>
      </c>
      <c r="P731" s="24" t="s">
        <v>2052</v>
      </c>
      <c r="Q731" s="15" t="s">
        <v>2016</v>
      </c>
      <c r="R731" s="1" t="s">
        <v>2013</v>
      </c>
      <c r="S731" s="15" t="s">
        <v>2082</v>
      </c>
      <c r="T731" s="15" t="s">
        <v>2442</v>
      </c>
      <c r="U731" s="25" t="s">
        <v>2085</v>
      </c>
      <c r="V731" s="25" t="s">
        <v>2434</v>
      </c>
      <c r="W731" s="80">
        <v>45203</v>
      </c>
      <c r="X731" s="21" t="s">
        <v>2821</v>
      </c>
    </row>
    <row r="732" spans="1:24" x14ac:dyDescent="0.2">
      <c r="A732" s="1">
        <v>726</v>
      </c>
      <c r="B732" s="1" t="s">
        <v>6</v>
      </c>
      <c r="C732" s="1" t="s">
        <v>2781</v>
      </c>
      <c r="D732" s="11" t="s">
        <v>869</v>
      </c>
      <c r="E732" s="35" t="s">
        <v>818</v>
      </c>
      <c r="F732" s="66" t="s">
        <v>877</v>
      </c>
      <c r="G732" s="24" t="s">
        <v>2794</v>
      </c>
      <c r="H732" s="15" t="s">
        <v>2789</v>
      </c>
      <c r="I732" s="16">
        <v>32</v>
      </c>
      <c r="J732" s="16" t="str">
        <f t="shared" si="35"/>
        <v>Young</v>
      </c>
      <c r="K732" s="25">
        <v>5</v>
      </c>
      <c r="L732" s="42">
        <v>1890</v>
      </c>
      <c r="M732" s="15">
        <v>1000</v>
      </c>
      <c r="N732" s="39">
        <f t="shared" si="33"/>
        <v>9450</v>
      </c>
      <c r="O732" s="39">
        <f t="shared" si="34"/>
        <v>4450</v>
      </c>
      <c r="P732" s="24" t="s">
        <v>2028</v>
      </c>
      <c r="Q732" s="15" t="s">
        <v>2024</v>
      </c>
      <c r="R732" s="1" t="s">
        <v>2013</v>
      </c>
      <c r="S732" s="15" t="s">
        <v>2082</v>
      </c>
      <c r="T732" s="15" t="s">
        <v>2442</v>
      </c>
      <c r="U732" s="25" t="s">
        <v>2090</v>
      </c>
      <c r="V732" s="25" t="s">
        <v>2437</v>
      </c>
      <c r="W732" s="80">
        <v>44994</v>
      </c>
      <c r="X732" s="21" t="s">
        <v>2816</v>
      </c>
    </row>
    <row r="733" spans="1:24" x14ac:dyDescent="0.2">
      <c r="A733" s="1">
        <v>727</v>
      </c>
      <c r="B733" s="1" t="s">
        <v>487</v>
      </c>
      <c r="C733" s="1" t="s">
        <v>2782</v>
      </c>
      <c r="D733" s="11" t="s">
        <v>486</v>
      </c>
      <c r="E733" s="35" t="s">
        <v>864</v>
      </c>
      <c r="F733" s="66" t="s">
        <v>878</v>
      </c>
      <c r="G733" s="24" t="s">
        <v>2792</v>
      </c>
      <c r="H733" s="15" t="s">
        <v>2789</v>
      </c>
      <c r="I733" s="16">
        <v>46</v>
      </c>
      <c r="J733" s="16" t="str">
        <f t="shared" si="35"/>
        <v>Middle Age</v>
      </c>
      <c r="K733" s="25">
        <v>2</v>
      </c>
      <c r="L733" s="42">
        <v>2150</v>
      </c>
      <c r="M733" s="15">
        <v>950</v>
      </c>
      <c r="N733" s="39">
        <f t="shared" si="33"/>
        <v>4300</v>
      </c>
      <c r="O733" s="39">
        <f t="shared" si="34"/>
        <v>2400</v>
      </c>
      <c r="P733" s="24" t="s">
        <v>2027</v>
      </c>
      <c r="Q733" s="24" t="s">
        <v>2014</v>
      </c>
      <c r="R733" s="1" t="s">
        <v>2013</v>
      </c>
      <c r="S733" s="15" t="s">
        <v>2082</v>
      </c>
      <c r="T733" s="15" t="s">
        <v>2442</v>
      </c>
      <c r="U733" s="25" t="s">
        <v>2085</v>
      </c>
      <c r="V733" s="25" t="s">
        <v>2435</v>
      </c>
      <c r="W733" s="80">
        <v>45036</v>
      </c>
      <c r="X733" s="21" t="s">
        <v>2815</v>
      </c>
    </row>
    <row r="734" spans="1:24" x14ac:dyDescent="0.2">
      <c r="A734" s="1">
        <v>728</v>
      </c>
      <c r="B734" s="1" t="s">
        <v>489</v>
      </c>
      <c r="C734" s="1" t="s">
        <v>2782</v>
      </c>
      <c r="D734" s="11" t="s">
        <v>488</v>
      </c>
      <c r="E734" s="35" t="s">
        <v>822</v>
      </c>
      <c r="F734" s="66" t="s">
        <v>879</v>
      </c>
      <c r="G734" s="24" t="s">
        <v>2796</v>
      </c>
      <c r="H734" s="15" t="s">
        <v>2788</v>
      </c>
      <c r="I734" s="16">
        <v>54</v>
      </c>
      <c r="J734" s="16" t="str">
        <f t="shared" si="35"/>
        <v>Old</v>
      </c>
      <c r="K734" s="25">
        <v>3</v>
      </c>
      <c r="L734" s="42">
        <v>2670</v>
      </c>
      <c r="M734" s="15">
        <v>1370</v>
      </c>
      <c r="N734" s="39">
        <f t="shared" si="33"/>
        <v>8010</v>
      </c>
      <c r="O734" s="39">
        <f t="shared" si="34"/>
        <v>3900</v>
      </c>
      <c r="P734" s="24" t="s">
        <v>2046</v>
      </c>
      <c r="Q734" s="24" t="s">
        <v>2016</v>
      </c>
      <c r="R734" s="1" t="s">
        <v>2013</v>
      </c>
      <c r="S734" s="15" t="s">
        <v>2082</v>
      </c>
      <c r="T734" s="15" t="s">
        <v>2442</v>
      </c>
      <c r="U734" s="25" t="s">
        <v>2086</v>
      </c>
      <c r="V734" s="25" t="s">
        <v>2434</v>
      </c>
      <c r="W734" s="80">
        <v>45278</v>
      </c>
      <c r="X734" s="21" t="s">
        <v>2822</v>
      </c>
    </row>
    <row r="735" spans="1:24" x14ac:dyDescent="0.2">
      <c r="A735" s="1">
        <v>729</v>
      </c>
      <c r="B735" s="1" t="s">
        <v>93</v>
      </c>
      <c r="C735" s="1" t="s">
        <v>2782</v>
      </c>
      <c r="D735" s="11" t="s">
        <v>490</v>
      </c>
      <c r="E735" s="35" t="s">
        <v>863</v>
      </c>
      <c r="F735" s="66" t="s">
        <v>880</v>
      </c>
      <c r="G735" s="24" t="s">
        <v>2798</v>
      </c>
      <c r="H735" s="15" t="s">
        <v>2789</v>
      </c>
      <c r="I735" s="16">
        <v>25</v>
      </c>
      <c r="J735" s="16" t="str">
        <f t="shared" si="35"/>
        <v>Young</v>
      </c>
      <c r="K735" s="25">
        <v>4</v>
      </c>
      <c r="L735" s="42">
        <v>6950</v>
      </c>
      <c r="M735" s="15">
        <v>3950</v>
      </c>
      <c r="N735" s="39">
        <f t="shared" si="33"/>
        <v>27800</v>
      </c>
      <c r="O735" s="39">
        <f t="shared" si="34"/>
        <v>12000</v>
      </c>
      <c r="P735" s="24" t="s">
        <v>2041</v>
      </c>
      <c r="Q735" s="24" t="s">
        <v>2016</v>
      </c>
      <c r="R735" s="1" t="s">
        <v>2013</v>
      </c>
      <c r="S735" s="15" t="s">
        <v>2082</v>
      </c>
      <c r="T735" s="15" t="s">
        <v>2442</v>
      </c>
      <c r="U735" s="25" t="s">
        <v>2086</v>
      </c>
      <c r="V735" s="25" t="s">
        <v>2436</v>
      </c>
      <c r="W735" s="80">
        <v>45012</v>
      </c>
      <c r="X735" s="21" t="s">
        <v>2816</v>
      </c>
    </row>
    <row r="736" spans="1:24" x14ac:dyDescent="0.2">
      <c r="A736" s="1">
        <v>730</v>
      </c>
      <c r="B736" s="1" t="s">
        <v>492</v>
      </c>
      <c r="C736" s="1" t="s">
        <v>2782</v>
      </c>
      <c r="D736" s="11" t="s">
        <v>491</v>
      </c>
      <c r="E736" s="35" t="s">
        <v>822</v>
      </c>
      <c r="F736" s="66" t="s">
        <v>878</v>
      </c>
      <c r="G736" s="24" t="s">
        <v>2800</v>
      </c>
      <c r="H736" s="15" t="s">
        <v>2789</v>
      </c>
      <c r="I736" s="16">
        <v>43</v>
      </c>
      <c r="J736" s="16" t="str">
        <f t="shared" si="35"/>
        <v>Middle Age</v>
      </c>
      <c r="K736" s="25">
        <v>1</v>
      </c>
      <c r="L736" s="42">
        <v>7490</v>
      </c>
      <c r="M736" s="15">
        <v>2900</v>
      </c>
      <c r="N736" s="39">
        <f t="shared" si="33"/>
        <v>7490</v>
      </c>
      <c r="O736" s="39">
        <f t="shared" si="34"/>
        <v>4590</v>
      </c>
      <c r="P736" s="24" t="s">
        <v>2056</v>
      </c>
      <c r="Q736" s="24" t="s">
        <v>2024</v>
      </c>
      <c r="R736" s="1" t="s">
        <v>2013</v>
      </c>
      <c r="S736" s="15" t="s">
        <v>2082</v>
      </c>
      <c r="T736" s="15" t="s">
        <v>2442</v>
      </c>
      <c r="U736" s="25" t="s">
        <v>2083</v>
      </c>
      <c r="V736" s="25" t="s">
        <v>2437</v>
      </c>
      <c r="W736" s="80">
        <v>45168</v>
      </c>
      <c r="X736" s="21" t="s">
        <v>2819</v>
      </c>
    </row>
    <row r="737" spans="1:24" x14ac:dyDescent="0.2">
      <c r="A737" s="1">
        <v>731</v>
      </c>
      <c r="B737" s="1" t="s">
        <v>493</v>
      </c>
      <c r="C737" s="1" t="s">
        <v>2782</v>
      </c>
      <c r="D737" s="11" t="s">
        <v>2648</v>
      </c>
      <c r="E737" s="35" t="s">
        <v>864</v>
      </c>
      <c r="F737" s="66" t="s">
        <v>926</v>
      </c>
      <c r="G737" s="24" t="s">
        <v>2802</v>
      </c>
      <c r="H737" s="15" t="s">
        <v>2788</v>
      </c>
      <c r="I737" s="16">
        <v>58</v>
      </c>
      <c r="J737" s="16" t="str">
        <f t="shared" si="35"/>
        <v>Old</v>
      </c>
      <c r="K737" s="25">
        <v>5</v>
      </c>
      <c r="L737" s="42">
        <v>3350</v>
      </c>
      <c r="M737" s="15">
        <v>1950</v>
      </c>
      <c r="N737" s="39">
        <f t="shared" si="33"/>
        <v>16750</v>
      </c>
      <c r="O737" s="39">
        <f t="shared" si="34"/>
        <v>7000</v>
      </c>
      <c r="P737" s="24" t="s">
        <v>2019</v>
      </c>
      <c r="Q737" s="24" t="s">
        <v>2014</v>
      </c>
      <c r="R737" s="1" t="s">
        <v>2013</v>
      </c>
      <c r="S737" s="15" t="s">
        <v>2082</v>
      </c>
      <c r="T737" s="15" t="s">
        <v>2442</v>
      </c>
      <c r="U737" s="25" t="s">
        <v>2089</v>
      </c>
      <c r="V737" s="25" t="s">
        <v>2435</v>
      </c>
      <c r="W737" s="80">
        <v>45123</v>
      </c>
      <c r="X737" s="21" t="s">
        <v>2813</v>
      </c>
    </row>
    <row r="738" spans="1:24" x14ac:dyDescent="0.2">
      <c r="A738" s="1">
        <v>732</v>
      </c>
      <c r="B738" s="1" t="s">
        <v>494</v>
      </c>
      <c r="C738" s="1" t="s">
        <v>2782</v>
      </c>
      <c r="D738" s="11" t="s">
        <v>2649</v>
      </c>
      <c r="E738" s="35" t="s">
        <v>822</v>
      </c>
      <c r="F738" s="66" t="s">
        <v>927</v>
      </c>
      <c r="G738" s="24" t="s">
        <v>2804</v>
      </c>
      <c r="H738" s="15" t="s">
        <v>2789</v>
      </c>
      <c r="I738" s="16">
        <v>20</v>
      </c>
      <c r="J738" s="16" t="str">
        <f t="shared" si="35"/>
        <v>Young</v>
      </c>
      <c r="K738" s="25">
        <v>3</v>
      </c>
      <c r="L738" s="42">
        <v>3120</v>
      </c>
      <c r="M738" s="15">
        <v>1920</v>
      </c>
      <c r="N738" s="39">
        <f t="shared" si="33"/>
        <v>9360</v>
      </c>
      <c r="O738" s="39">
        <f t="shared" si="34"/>
        <v>3600</v>
      </c>
      <c r="P738" s="24" t="s">
        <v>2051</v>
      </c>
      <c r="Q738" s="15" t="s">
        <v>2828</v>
      </c>
      <c r="R738" s="1" t="s">
        <v>2013</v>
      </c>
      <c r="S738" s="15" t="s">
        <v>2082</v>
      </c>
      <c r="T738" s="15" t="s">
        <v>2442</v>
      </c>
      <c r="U738" s="25" t="s">
        <v>2084</v>
      </c>
      <c r="V738" s="25" t="s">
        <v>2436</v>
      </c>
      <c r="W738" s="80">
        <v>44964</v>
      </c>
      <c r="X738" s="21" t="s">
        <v>2817</v>
      </c>
    </row>
    <row r="739" spans="1:24" x14ac:dyDescent="0.2">
      <c r="A739" s="1">
        <v>733</v>
      </c>
      <c r="B739" s="1" t="s">
        <v>496</v>
      </c>
      <c r="C739" s="1" t="s">
        <v>2782</v>
      </c>
      <c r="D739" s="11" t="s">
        <v>495</v>
      </c>
      <c r="E739" s="35" t="s">
        <v>863</v>
      </c>
      <c r="F739" s="66" t="s">
        <v>877</v>
      </c>
      <c r="G739" s="24" t="s">
        <v>2806</v>
      </c>
      <c r="H739" s="15" t="s">
        <v>2789</v>
      </c>
      <c r="I739" s="16">
        <v>49</v>
      </c>
      <c r="J739" s="16" t="str">
        <f t="shared" si="35"/>
        <v>Middle Age</v>
      </c>
      <c r="K739" s="25">
        <v>5</v>
      </c>
      <c r="L739" s="42">
        <v>3050</v>
      </c>
      <c r="M739" s="15">
        <v>1450</v>
      </c>
      <c r="N739" s="39">
        <f t="shared" si="33"/>
        <v>15250</v>
      </c>
      <c r="O739" s="39">
        <f t="shared" si="34"/>
        <v>8000</v>
      </c>
      <c r="P739" s="24" t="s">
        <v>2057</v>
      </c>
      <c r="Q739" s="24" t="s">
        <v>2020</v>
      </c>
      <c r="R739" s="1" t="s">
        <v>2013</v>
      </c>
      <c r="S739" s="15" t="s">
        <v>2082</v>
      </c>
      <c r="T739" s="15" t="s">
        <v>2442</v>
      </c>
      <c r="U739" s="25" t="s">
        <v>2089</v>
      </c>
      <c r="V739" s="25" t="s">
        <v>2434</v>
      </c>
      <c r="W739" s="80">
        <v>45000</v>
      </c>
      <c r="X739" s="21" t="s">
        <v>2816</v>
      </c>
    </row>
    <row r="740" spans="1:24" x14ac:dyDescent="0.2">
      <c r="A740" s="1">
        <v>734</v>
      </c>
      <c r="B740" s="1" t="s">
        <v>496</v>
      </c>
      <c r="C740" s="1" t="s">
        <v>2782</v>
      </c>
      <c r="D740" s="11" t="s">
        <v>497</v>
      </c>
      <c r="E740" s="35" t="s">
        <v>822</v>
      </c>
      <c r="F740" s="66" t="s">
        <v>878</v>
      </c>
      <c r="G740" s="24" t="s">
        <v>2808</v>
      </c>
      <c r="H740" s="15" t="s">
        <v>2789</v>
      </c>
      <c r="I740" s="16">
        <v>34</v>
      </c>
      <c r="J740" s="16" t="str">
        <f t="shared" si="35"/>
        <v>Young</v>
      </c>
      <c r="K740" s="25">
        <v>2</v>
      </c>
      <c r="L740" s="42">
        <v>2640</v>
      </c>
      <c r="M740" s="15">
        <v>1300</v>
      </c>
      <c r="N740" s="39">
        <f t="shared" si="33"/>
        <v>5280</v>
      </c>
      <c r="O740" s="39">
        <f t="shared" si="34"/>
        <v>2680</v>
      </c>
      <c r="P740" s="24" t="s">
        <v>2053</v>
      </c>
      <c r="Q740" s="24" t="s">
        <v>2014</v>
      </c>
      <c r="R740" s="1" t="s">
        <v>2013</v>
      </c>
      <c r="S740" s="15" t="s">
        <v>2082</v>
      </c>
      <c r="T740" s="15" t="s">
        <v>2442</v>
      </c>
      <c r="U740" s="25" t="s">
        <v>2084</v>
      </c>
      <c r="V740" s="25" t="s">
        <v>2437</v>
      </c>
      <c r="W740" s="80">
        <v>44985</v>
      </c>
      <c r="X740" s="21" t="s">
        <v>2817</v>
      </c>
    </row>
    <row r="741" spans="1:24" x14ac:dyDescent="0.2">
      <c r="A741" s="1">
        <v>735</v>
      </c>
      <c r="B741" s="1" t="s">
        <v>498</v>
      </c>
      <c r="C741" s="1" t="s">
        <v>2782</v>
      </c>
      <c r="D741" s="13" t="s">
        <v>2650</v>
      </c>
      <c r="E741" s="35" t="s">
        <v>864</v>
      </c>
      <c r="F741" s="66" t="s">
        <v>879</v>
      </c>
      <c r="G741" s="24" t="s">
        <v>2810</v>
      </c>
      <c r="H741" s="15" t="s">
        <v>2788</v>
      </c>
      <c r="I741" s="16">
        <v>27</v>
      </c>
      <c r="J741" s="16" t="str">
        <f t="shared" si="35"/>
        <v>Young</v>
      </c>
      <c r="K741" s="25">
        <v>1</v>
      </c>
      <c r="L741" s="42">
        <v>4199</v>
      </c>
      <c r="M741" s="15">
        <v>2200</v>
      </c>
      <c r="N741" s="39">
        <f t="shared" si="33"/>
        <v>4199</v>
      </c>
      <c r="O741" s="39">
        <f t="shared" si="34"/>
        <v>1999</v>
      </c>
      <c r="P741" s="24" t="s">
        <v>2049</v>
      </c>
      <c r="Q741" s="24" t="s">
        <v>2016</v>
      </c>
      <c r="R741" s="1" t="s">
        <v>2013</v>
      </c>
      <c r="S741" s="15" t="s">
        <v>2082</v>
      </c>
      <c r="T741" s="15" t="s">
        <v>2442</v>
      </c>
      <c r="U741" s="25" t="s">
        <v>2089</v>
      </c>
      <c r="V741" s="25" t="s">
        <v>2435</v>
      </c>
      <c r="W741" s="80">
        <v>45226</v>
      </c>
      <c r="X741" s="21" t="s">
        <v>2821</v>
      </c>
    </row>
    <row r="742" spans="1:24" x14ac:dyDescent="0.2">
      <c r="A742" s="1">
        <v>736</v>
      </c>
      <c r="B742" s="1" t="s">
        <v>499</v>
      </c>
      <c r="C742" s="1" t="s">
        <v>2782</v>
      </c>
      <c r="D742" s="11" t="s">
        <v>2651</v>
      </c>
      <c r="E742" s="35" t="s">
        <v>822</v>
      </c>
      <c r="F742" s="66" t="s">
        <v>880</v>
      </c>
      <c r="G742" s="24" t="s">
        <v>2793</v>
      </c>
      <c r="H742" s="15" t="s">
        <v>2789</v>
      </c>
      <c r="I742" s="16">
        <v>45</v>
      </c>
      <c r="J742" s="16" t="str">
        <f t="shared" si="35"/>
        <v>Middle Age</v>
      </c>
      <c r="K742" s="25">
        <v>3</v>
      </c>
      <c r="L742" s="42">
        <v>4670</v>
      </c>
      <c r="M742" s="15">
        <v>2100</v>
      </c>
      <c r="N742" s="39">
        <f t="shared" si="33"/>
        <v>14010</v>
      </c>
      <c r="O742" s="39">
        <f t="shared" si="34"/>
        <v>7710</v>
      </c>
      <c r="P742" s="24" t="s">
        <v>2060</v>
      </c>
      <c r="Q742" s="24" t="s">
        <v>2024</v>
      </c>
      <c r="R742" s="1" t="s">
        <v>2013</v>
      </c>
      <c r="S742" s="15" t="s">
        <v>2082</v>
      </c>
      <c r="T742" s="15" t="s">
        <v>2442</v>
      </c>
      <c r="U742" s="25" t="s">
        <v>2086</v>
      </c>
      <c r="V742" s="25" t="s">
        <v>2434</v>
      </c>
      <c r="W742" s="80">
        <v>45253</v>
      </c>
      <c r="X742" s="21" t="s">
        <v>2823</v>
      </c>
    </row>
    <row r="743" spans="1:24" x14ac:dyDescent="0.2">
      <c r="A743" s="1">
        <v>737</v>
      </c>
      <c r="B743" s="1" t="s">
        <v>501</v>
      </c>
      <c r="C743" s="1" t="s">
        <v>2782</v>
      </c>
      <c r="D743" s="11" t="s">
        <v>500</v>
      </c>
      <c r="E743" s="35" t="s">
        <v>863</v>
      </c>
      <c r="F743" s="66" t="s">
        <v>878</v>
      </c>
      <c r="G743" s="24" t="s">
        <v>2791</v>
      </c>
      <c r="H743" s="15" t="s">
        <v>2789</v>
      </c>
      <c r="I743" s="16">
        <v>52</v>
      </c>
      <c r="J743" s="16" t="str">
        <f t="shared" si="35"/>
        <v>Old</v>
      </c>
      <c r="K743" s="25">
        <v>4</v>
      </c>
      <c r="L743" s="42">
        <v>3130</v>
      </c>
      <c r="M743" s="15">
        <v>1750</v>
      </c>
      <c r="N743" s="39">
        <f t="shared" si="33"/>
        <v>12520</v>
      </c>
      <c r="O743" s="39">
        <f t="shared" si="34"/>
        <v>5520</v>
      </c>
      <c r="P743" s="24" t="s">
        <v>2039</v>
      </c>
      <c r="Q743" s="24" t="s">
        <v>2014</v>
      </c>
      <c r="R743" s="1" t="s">
        <v>2013</v>
      </c>
      <c r="S743" s="15" t="s">
        <v>2082</v>
      </c>
      <c r="T743" s="15" t="s">
        <v>2442</v>
      </c>
      <c r="U743" s="25" t="s">
        <v>2089</v>
      </c>
      <c r="V743" s="25" t="s">
        <v>2436</v>
      </c>
      <c r="W743" s="80">
        <v>45003</v>
      </c>
      <c r="X743" s="21" t="s">
        <v>2816</v>
      </c>
    </row>
    <row r="744" spans="1:24" x14ac:dyDescent="0.2">
      <c r="A744" s="1">
        <v>738</v>
      </c>
      <c r="B744" s="1" t="s">
        <v>503</v>
      </c>
      <c r="C744" s="1" t="s">
        <v>2782</v>
      </c>
      <c r="D744" s="11" t="s">
        <v>502</v>
      </c>
      <c r="E744" s="35" t="s">
        <v>822</v>
      </c>
      <c r="F744" s="66" t="s">
        <v>879</v>
      </c>
      <c r="G744" s="24" t="s">
        <v>2795</v>
      </c>
      <c r="H744" s="15" t="s">
        <v>2788</v>
      </c>
      <c r="I744" s="16">
        <v>23</v>
      </c>
      <c r="J744" s="16" t="str">
        <f t="shared" si="35"/>
        <v>Young</v>
      </c>
      <c r="K744" s="25">
        <v>5</v>
      </c>
      <c r="L744" s="42">
        <v>2590</v>
      </c>
      <c r="M744" s="15">
        <v>1190</v>
      </c>
      <c r="N744" s="39">
        <f t="shared" si="33"/>
        <v>12950</v>
      </c>
      <c r="O744" s="39">
        <f t="shared" si="34"/>
        <v>7000</v>
      </c>
      <c r="P744" s="24" t="s">
        <v>2042</v>
      </c>
      <c r="Q744" s="15" t="s">
        <v>2828</v>
      </c>
      <c r="R744" s="1" t="s">
        <v>2013</v>
      </c>
      <c r="S744" s="15" t="s">
        <v>2082</v>
      </c>
      <c r="T744" s="15" t="s">
        <v>2442</v>
      </c>
      <c r="U744" s="25" t="s">
        <v>2088</v>
      </c>
      <c r="V744" s="25" t="s">
        <v>2437</v>
      </c>
      <c r="W744" s="80">
        <v>45284</v>
      </c>
      <c r="X744" s="21" t="s">
        <v>2822</v>
      </c>
    </row>
    <row r="745" spans="1:24" x14ac:dyDescent="0.2">
      <c r="A745" s="1">
        <v>739</v>
      </c>
      <c r="B745" s="1" t="s">
        <v>505</v>
      </c>
      <c r="C745" s="1" t="s">
        <v>2782</v>
      </c>
      <c r="D745" s="11" t="s">
        <v>504</v>
      </c>
      <c r="E745" s="35" t="s">
        <v>863</v>
      </c>
      <c r="F745" s="66" t="s">
        <v>880</v>
      </c>
      <c r="G745" s="24" t="s">
        <v>2797</v>
      </c>
      <c r="H745" s="15" t="s">
        <v>2789</v>
      </c>
      <c r="I745" s="16">
        <v>38</v>
      </c>
      <c r="J745" s="16" t="str">
        <f t="shared" si="35"/>
        <v>Middle Age</v>
      </c>
      <c r="K745" s="25">
        <v>2</v>
      </c>
      <c r="L745" s="42">
        <v>2460</v>
      </c>
      <c r="M745" s="15">
        <v>1260</v>
      </c>
      <c r="N745" s="39">
        <f t="shared" si="33"/>
        <v>4920</v>
      </c>
      <c r="O745" s="39">
        <f t="shared" si="34"/>
        <v>2400</v>
      </c>
      <c r="P745" s="24" t="s">
        <v>2034</v>
      </c>
      <c r="Q745" s="24" t="s">
        <v>2016</v>
      </c>
      <c r="R745" s="1" t="s">
        <v>2013</v>
      </c>
      <c r="S745" s="15" t="s">
        <v>2082</v>
      </c>
      <c r="T745" s="15" t="s">
        <v>2442</v>
      </c>
      <c r="U745" s="25" t="s">
        <v>2089</v>
      </c>
      <c r="V745" s="25" t="s">
        <v>2435</v>
      </c>
      <c r="W745" s="80">
        <v>44970</v>
      </c>
      <c r="X745" s="21" t="s">
        <v>2817</v>
      </c>
    </row>
    <row r="746" spans="1:24" x14ac:dyDescent="0.2">
      <c r="A746" s="1">
        <v>740</v>
      </c>
      <c r="B746" s="1" t="s">
        <v>507</v>
      </c>
      <c r="C746" s="1" t="s">
        <v>2782</v>
      </c>
      <c r="D746" s="11" t="s">
        <v>506</v>
      </c>
      <c r="E746" s="35" t="s">
        <v>828</v>
      </c>
      <c r="F746" s="66" t="s">
        <v>881</v>
      </c>
      <c r="G746" s="24" t="s">
        <v>2799</v>
      </c>
      <c r="H746" s="15" t="s">
        <v>2789</v>
      </c>
      <c r="I746" s="16">
        <v>41</v>
      </c>
      <c r="J746" s="16" t="str">
        <f t="shared" si="35"/>
        <v>Middle Age</v>
      </c>
      <c r="K746" s="25">
        <v>3</v>
      </c>
      <c r="L746" s="42">
        <v>3250</v>
      </c>
      <c r="M746" s="15">
        <v>2250</v>
      </c>
      <c r="N746" s="39">
        <f t="shared" si="33"/>
        <v>9750</v>
      </c>
      <c r="O746" s="39">
        <f t="shared" si="34"/>
        <v>3000</v>
      </c>
      <c r="P746" s="24" t="s">
        <v>2058</v>
      </c>
      <c r="Q746" s="24" t="s">
        <v>2020</v>
      </c>
      <c r="R746" s="1" t="s">
        <v>2013</v>
      </c>
      <c r="S746" s="15" t="s">
        <v>2082</v>
      </c>
      <c r="T746" s="15" t="s">
        <v>2442</v>
      </c>
      <c r="U746" s="25" t="s">
        <v>2089</v>
      </c>
      <c r="V746" s="25" t="s">
        <v>2436</v>
      </c>
      <c r="W746" s="80">
        <v>44994</v>
      </c>
      <c r="X746" s="21" t="s">
        <v>2816</v>
      </c>
    </row>
    <row r="747" spans="1:24" x14ac:dyDescent="0.2">
      <c r="A747" s="1">
        <v>741</v>
      </c>
      <c r="B747" s="1" t="s">
        <v>508</v>
      </c>
      <c r="C747" s="1" t="s">
        <v>2782</v>
      </c>
      <c r="D747" s="11" t="s">
        <v>2652</v>
      </c>
      <c r="E747" s="35" t="s">
        <v>823</v>
      </c>
      <c r="F747" s="66" t="s">
        <v>882</v>
      </c>
      <c r="G747" s="24" t="s">
        <v>2801</v>
      </c>
      <c r="H747" s="15" t="s">
        <v>2788</v>
      </c>
      <c r="I747" s="16">
        <v>29</v>
      </c>
      <c r="J747" s="16" t="str">
        <f t="shared" si="35"/>
        <v>Young</v>
      </c>
      <c r="K747" s="25">
        <v>1</v>
      </c>
      <c r="L747" s="42">
        <v>5240</v>
      </c>
      <c r="M747" s="15">
        <v>1640</v>
      </c>
      <c r="N747" s="39">
        <f t="shared" si="33"/>
        <v>5240</v>
      </c>
      <c r="O747" s="39">
        <f t="shared" si="34"/>
        <v>3600</v>
      </c>
      <c r="P747" s="24" t="s">
        <v>2055</v>
      </c>
      <c r="Q747" s="24" t="s">
        <v>2014</v>
      </c>
      <c r="R747" s="1" t="s">
        <v>2013</v>
      </c>
      <c r="S747" s="15" t="s">
        <v>2082</v>
      </c>
      <c r="T747" s="15" t="s">
        <v>2442</v>
      </c>
      <c r="U747" s="25" t="s">
        <v>2084</v>
      </c>
      <c r="V747" s="25" t="s">
        <v>2434</v>
      </c>
      <c r="W747" s="80">
        <v>45119</v>
      </c>
      <c r="X747" s="21" t="s">
        <v>2813</v>
      </c>
    </row>
    <row r="748" spans="1:24" x14ac:dyDescent="0.2">
      <c r="A748" s="1">
        <v>742</v>
      </c>
      <c r="B748" s="1" t="s">
        <v>509</v>
      </c>
      <c r="C748" s="1" t="s">
        <v>2782</v>
      </c>
      <c r="D748" s="11" t="s">
        <v>2653</v>
      </c>
      <c r="E748" s="35" t="s">
        <v>823</v>
      </c>
      <c r="F748" s="66" t="s">
        <v>881</v>
      </c>
      <c r="G748" s="24" t="s">
        <v>2803</v>
      </c>
      <c r="H748" s="15" t="s">
        <v>2789</v>
      </c>
      <c r="I748" s="16">
        <v>60</v>
      </c>
      <c r="J748" s="16" t="str">
        <f t="shared" si="35"/>
        <v>Old</v>
      </c>
      <c r="K748" s="25">
        <v>2</v>
      </c>
      <c r="L748" s="42">
        <v>4750</v>
      </c>
      <c r="M748" s="15">
        <v>2550</v>
      </c>
      <c r="N748" s="39">
        <f t="shared" si="33"/>
        <v>9500</v>
      </c>
      <c r="O748" s="39">
        <f t="shared" si="34"/>
        <v>4400</v>
      </c>
      <c r="P748" s="24" t="s">
        <v>2046</v>
      </c>
      <c r="Q748" s="24" t="s">
        <v>2016</v>
      </c>
      <c r="R748" s="1" t="s">
        <v>2013</v>
      </c>
      <c r="S748" s="15" t="s">
        <v>2082</v>
      </c>
      <c r="T748" s="15" t="s">
        <v>2442</v>
      </c>
      <c r="U748" s="25" t="s">
        <v>2090</v>
      </c>
      <c r="V748" s="25" t="s">
        <v>2437</v>
      </c>
      <c r="W748" s="80">
        <v>45093</v>
      </c>
      <c r="X748" s="21" t="s">
        <v>2814</v>
      </c>
    </row>
    <row r="749" spans="1:24" x14ac:dyDescent="0.2">
      <c r="A749" s="1">
        <v>743</v>
      </c>
      <c r="B749" s="1" t="s">
        <v>510</v>
      </c>
      <c r="C749" s="1" t="s">
        <v>2782</v>
      </c>
      <c r="D749" s="11" t="s">
        <v>2654</v>
      </c>
      <c r="E749" s="35" t="s">
        <v>863</v>
      </c>
      <c r="F749" s="66" t="s">
        <v>883</v>
      </c>
      <c r="G749" s="24" t="s">
        <v>2805</v>
      </c>
      <c r="H749" s="15" t="s">
        <v>2788</v>
      </c>
      <c r="I749" s="16">
        <v>33</v>
      </c>
      <c r="J749" s="16" t="str">
        <f t="shared" si="35"/>
        <v>Young</v>
      </c>
      <c r="K749" s="25">
        <v>4</v>
      </c>
      <c r="L749" s="42">
        <v>2200</v>
      </c>
      <c r="M749" s="15">
        <f>900+95</f>
        <v>995</v>
      </c>
      <c r="N749" s="39">
        <f t="shared" si="33"/>
        <v>8800</v>
      </c>
      <c r="O749" s="39">
        <f t="shared" si="34"/>
        <v>4820</v>
      </c>
      <c r="P749" s="24" t="s">
        <v>2028</v>
      </c>
      <c r="Q749" s="15" t="s">
        <v>2024</v>
      </c>
      <c r="R749" s="1" t="s">
        <v>2013</v>
      </c>
      <c r="S749" s="15" t="s">
        <v>2082</v>
      </c>
      <c r="T749" s="15" t="s">
        <v>2442</v>
      </c>
      <c r="U749" s="25" t="s">
        <v>2089</v>
      </c>
      <c r="V749" s="25" t="s">
        <v>2435</v>
      </c>
      <c r="W749" s="80">
        <v>45000</v>
      </c>
      <c r="X749" s="21" t="s">
        <v>2816</v>
      </c>
    </row>
    <row r="750" spans="1:24" x14ac:dyDescent="0.2">
      <c r="A750" s="1">
        <v>744</v>
      </c>
      <c r="B750" s="1" t="s">
        <v>511</v>
      </c>
      <c r="C750" s="1" t="s">
        <v>2782</v>
      </c>
      <c r="D750" s="11" t="s">
        <v>2655</v>
      </c>
      <c r="E750" s="35" t="s">
        <v>822</v>
      </c>
      <c r="F750" s="66" t="s">
        <v>884</v>
      </c>
      <c r="G750" s="24" t="s">
        <v>2807</v>
      </c>
      <c r="H750" s="15" t="s">
        <v>2788</v>
      </c>
      <c r="I750" s="16">
        <v>22</v>
      </c>
      <c r="J750" s="16" t="str">
        <f t="shared" si="35"/>
        <v>Young</v>
      </c>
      <c r="K750" s="25">
        <v>5</v>
      </c>
      <c r="L750" s="42">
        <v>2290</v>
      </c>
      <c r="M750" s="15">
        <f>980+95</f>
        <v>1075</v>
      </c>
      <c r="N750" s="39">
        <f t="shared" si="33"/>
        <v>11450</v>
      </c>
      <c r="O750" s="39">
        <f t="shared" si="34"/>
        <v>6075</v>
      </c>
      <c r="P750" s="24" t="s">
        <v>2030</v>
      </c>
      <c r="Q750" s="24" t="s">
        <v>2024</v>
      </c>
      <c r="R750" s="1" t="s">
        <v>2013</v>
      </c>
      <c r="S750" s="15" t="s">
        <v>2082</v>
      </c>
      <c r="T750" s="15" t="s">
        <v>2442</v>
      </c>
      <c r="U750" s="25" t="s">
        <v>2085</v>
      </c>
      <c r="V750" s="25" t="s">
        <v>2434</v>
      </c>
      <c r="W750" s="80">
        <v>45258</v>
      </c>
      <c r="X750" s="21" t="s">
        <v>2823</v>
      </c>
    </row>
    <row r="751" spans="1:24" x14ac:dyDescent="0.2">
      <c r="A751" s="1">
        <v>745</v>
      </c>
      <c r="B751" s="1" t="s">
        <v>513</v>
      </c>
      <c r="C751" s="1" t="s">
        <v>2782</v>
      </c>
      <c r="D751" s="11" t="s">
        <v>512</v>
      </c>
      <c r="E751" s="35" t="s">
        <v>822</v>
      </c>
      <c r="F751" s="67" t="s">
        <v>931</v>
      </c>
      <c r="G751" s="24" t="s">
        <v>2809</v>
      </c>
      <c r="H751" s="15" t="s">
        <v>2788</v>
      </c>
      <c r="I751" s="16">
        <v>47</v>
      </c>
      <c r="J751" s="16" t="str">
        <f t="shared" si="35"/>
        <v>Middle Age</v>
      </c>
      <c r="K751" s="25">
        <v>2</v>
      </c>
      <c r="L751" s="42">
        <v>4970</v>
      </c>
      <c r="M751" s="15">
        <v>2000</v>
      </c>
      <c r="N751" s="39">
        <f t="shared" si="33"/>
        <v>9940</v>
      </c>
      <c r="O751" s="39">
        <f t="shared" si="34"/>
        <v>5940</v>
      </c>
      <c r="P751" s="24" t="s">
        <v>2040</v>
      </c>
      <c r="Q751" s="15" t="s">
        <v>2014</v>
      </c>
      <c r="R751" s="1" t="s">
        <v>2013</v>
      </c>
      <c r="S751" s="15" t="s">
        <v>2082</v>
      </c>
      <c r="T751" s="15" t="s">
        <v>2442</v>
      </c>
      <c r="U751" s="25" t="s">
        <v>2087</v>
      </c>
      <c r="V751" s="25" t="s">
        <v>2436</v>
      </c>
      <c r="W751" s="80">
        <v>45147</v>
      </c>
      <c r="X751" s="21" t="s">
        <v>2819</v>
      </c>
    </row>
    <row r="752" spans="1:24" x14ac:dyDescent="0.2">
      <c r="A752" s="1">
        <v>746</v>
      </c>
      <c r="B752" s="1" t="s">
        <v>515</v>
      </c>
      <c r="C752" s="1" t="s">
        <v>2782</v>
      </c>
      <c r="D752" s="11" t="s">
        <v>514</v>
      </c>
      <c r="E752" s="35" t="s">
        <v>864</v>
      </c>
      <c r="F752" s="66" t="s">
        <v>929</v>
      </c>
      <c r="G752" s="24" t="s">
        <v>2794</v>
      </c>
      <c r="H752" s="15" t="s">
        <v>2789</v>
      </c>
      <c r="I752" s="16">
        <v>55</v>
      </c>
      <c r="J752" s="16" t="str">
        <f t="shared" si="35"/>
        <v>Old</v>
      </c>
      <c r="K752" s="25">
        <v>3</v>
      </c>
      <c r="L752" s="42">
        <v>1850</v>
      </c>
      <c r="M752" s="15">
        <v>650</v>
      </c>
      <c r="N752" s="39">
        <f t="shared" si="33"/>
        <v>5550</v>
      </c>
      <c r="O752" s="39">
        <f t="shared" si="34"/>
        <v>3600</v>
      </c>
      <c r="P752" s="24" t="s">
        <v>2036</v>
      </c>
      <c r="Q752" s="24" t="s">
        <v>2014</v>
      </c>
      <c r="R752" s="1" t="s">
        <v>2013</v>
      </c>
      <c r="S752" s="15" t="s">
        <v>2082</v>
      </c>
      <c r="T752" s="15" t="s">
        <v>2442</v>
      </c>
      <c r="U752" s="25" t="s">
        <v>2086</v>
      </c>
      <c r="V752" s="25" t="s">
        <v>2437</v>
      </c>
      <c r="W752" s="80">
        <v>45171</v>
      </c>
      <c r="X752" s="21" t="s">
        <v>2820</v>
      </c>
    </row>
    <row r="753" spans="1:24" x14ac:dyDescent="0.2">
      <c r="A753" s="1">
        <v>747</v>
      </c>
      <c r="B753" s="1" t="s">
        <v>200</v>
      </c>
      <c r="C753" s="1" t="s">
        <v>2782</v>
      </c>
      <c r="D753" s="11" t="s">
        <v>516</v>
      </c>
      <c r="E753" s="35" t="s">
        <v>863</v>
      </c>
      <c r="F753" s="66" t="s">
        <v>882</v>
      </c>
      <c r="G753" s="24" t="s">
        <v>2792</v>
      </c>
      <c r="H753" s="15" t="s">
        <v>2788</v>
      </c>
      <c r="I753" s="16">
        <v>36</v>
      </c>
      <c r="J753" s="16" t="str">
        <f t="shared" si="35"/>
        <v>Middle Age</v>
      </c>
      <c r="K753" s="25">
        <v>1</v>
      </c>
      <c r="L753" s="42">
        <v>4980</v>
      </c>
      <c r="M753" s="15">
        <v>1750</v>
      </c>
      <c r="N753" s="39">
        <f t="shared" si="33"/>
        <v>4980</v>
      </c>
      <c r="O753" s="39">
        <f t="shared" si="34"/>
        <v>3230</v>
      </c>
      <c r="P753" s="24" t="s">
        <v>2031</v>
      </c>
      <c r="Q753" s="24" t="s">
        <v>2016</v>
      </c>
      <c r="R753" s="1" t="s">
        <v>2013</v>
      </c>
      <c r="S753" s="15" t="s">
        <v>2082</v>
      </c>
      <c r="T753" s="15" t="s">
        <v>2442</v>
      </c>
      <c r="U753" s="25" t="s">
        <v>2088</v>
      </c>
      <c r="V753" s="25" t="s">
        <v>2435</v>
      </c>
      <c r="W753" s="80">
        <v>45252</v>
      </c>
      <c r="X753" s="21" t="s">
        <v>2823</v>
      </c>
    </row>
    <row r="754" spans="1:24" x14ac:dyDescent="0.2">
      <c r="A754" s="1">
        <v>748</v>
      </c>
      <c r="B754" s="1" t="s">
        <v>517</v>
      </c>
      <c r="C754" s="1" t="s">
        <v>2782</v>
      </c>
      <c r="D754" s="11" t="s">
        <v>2656</v>
      </c>
      <c r="E754" s="35" t="s">
        <v>864</v>
      </c>
      <c r="F754" s="66" t="s">
        <v>930</v>
      </c>
      <c r="G754" s="24" t="s">
        <v>2796</v>
      </c>
      <c r="H754" s="15" t="s">
        <v>2788</v>
      </c>
      <c r="I754" s="16">
        <v>28</v>
      </c>
      <c r="J754" s="16" t="str">
        <f t="shared" si="35"/>
        <v>Young</v>
      </c>
      <c r="K754" s="25">
        <v>4</v>
      </c>
      <c r="L754" s="42">
        <f>3090+220</f>
        <v>3310</v>
      </c>
      <c r="M754" s="15">
        <f>1390+95</f>
        <v>1485</v>
      </c>
      <c r="N754" s="39">
        <f t="shared" si="33"/>
        <v>13240</v>
      </c>
      <c r="O754" s="39">
        <f t="shared" si="34"/>
        <v>7300</v>
      </c>
      <c r="P754" s="24" t="s">
        <v>2062</v>
      </c>
      <c r="Q754" s="15" t="s">
        <v>2828</v>
      </c>
      <c r="R754" s="1" t="s">
        <v>2013</v>
      </c>
      <c r="S754" s="15" t="s">
        <v>2082</v>
      </c>
      <c r="T754" s="15" t="s">
        <v>2442</v>
      </c>
      <c r="U754" s="25" t="s">
        <v>2084</v>
      </c>
      <c r="V754" s="25" t="s">
        <v>2436</v>
      </c>
      <c r="W754" s="80">
        <v>45160</v>
      </c>
      <c r="X754" s="21" t="s">
        <v>2819</v>
      </c>
    </row>
    <row r="755" spans="1:24" x14ac:dyDescent="0.2">
      <c r="A755" s="1">
        <v>749</v>
      </c>
      <c r="B755" s="1" t="s">
        <v>183</v>
      </c>
      <c r="C755" s="1" t="s">
        <v>2782</v>
      </c>
      <c r="D755" s="11" t="s">
        <v>2657</v>
      </c>
      <c r="E755" s="35" t="s">
        <v>822</v>
      </c>
      <c r="F755" s="67" t="s">
        <v>915</v>
      </c>
      <c r="G755" s="24" t="s">
        <v>2798</v>
      </c>
      <c r="H755" s="15" t="s">
        <v>2788</v>
      </c>
      <c r="I755" s="16">
        <v>50</v>
      </c>
      <c r="J755" s="16" t="str">
        <f t="shared" si="35"/>
        <v>Old</v>
      </c>
      <c r="K755" s="25">
        <v>5</v>
      </c>
      <c r="L755" s="42">
        <v>2700</v>
      </c>
      <c r="M755" s="15">
        <v>1200</v>
      </c>
      <c r="N755" s="39">
        <f t="shared" si="33"/>
        <v>13500</v>
      </c>
      <c r="O755" s="39">
        <f t="shared" si="34"/>
        <v>7500</v>
      </c>
      <c r="P755" s="24" t="s">
        <v>2027</v>
      </c>
      <c r="Q755" s="24" t="s">
        <v>2014</v>
      </c>
      <c r="R755" s="1" t="s">
        <v>2013</v>
      </c>
      <c r="S755" s="15" t="s">
        <v>2082</v>
      </c>
      <c r="T755" s="15" t="s">
        <v>2442</v>
      </c>
      <c r="U755" s="25" t="s">
        <v>2084</v>
      </c>
      <c r="V755" s="25" t="s">
        <v>2434</v>
      </c>
      <c r="W755" s="80">
        <v>44980</v>
      </c>
      <c r="X755" s="21" t="s">
        <v>2817</v>
      </c>
    </row>
    <row r="756" spans="1:24" x14ac:dyDescent="0.2">
      <c r="A756" s="1">
        <v>750</v>
      </c>
      <c r="B756" s="1" t="s">
        <v>519</v>
      </c>
      <c r="C756" s="1" t="s">
        <v>2782</v>
      </c>
      <c r="D756" s="11" t="s">
        <v>518</v>
      </c>
      <c r="E756" s="35" t="s">
        <v>863</v>
      </c>
      <c r="F756" s="66" t="s">
        <v>920</v>
      </c>
      <c r="G756" s="24" t="s">
        <v>2800</v>
      </c>
      <c r="H756" s="15" t="s">
        <v>2789</v>
      </c>
      <c r="I756" s="16">
        <v>39</v>
      </c>
      <c r="J756" s="16" t="str">
        <f t="shared" si="35"/>
        <v>Middle Age</v>
      </c>
      <c r="K756" s="25">
        <v>3</v>
      </c>
      <c r="L756" s="42">
        <v>3340</v>
      </c>
      <c r="M756" s="15">
        <v>1240</v>
      </c>
      <c r="N756" s="39">
        <f t="shared" si="33"/>
        <v>10020</v>
      </c>
      <c r="O756" s="39">
        <f t="shared" si="34"/>
        <v>6300</v>
      </c>
      <c r="P756" s="24" t="s">
        <v>2037</v>
      </c>
      <c r="Q756" s="24" t="s">
        <v>2014</v>
      </c>
      <c r="R756" s="1" t="s">
        <v>2013</v>
      </c>
      <c r="S756" s="15" t="s">
        <v>2082</v>
      </c>
      <c r="T756" s="15" t="s">
        <v>2442</v>
      </c>
      <c r="U756" s="25" t="s">
        <v>2087</v>
      </c>
      <c r="V756" s="25" t="s">
        <v>2437</v>
      </c>
      <c r="W756" s="80">
        <v>45241</v>
      </c>
      <c r="X756" s="21" t="s">
        <v>2823</v>
      </c>
    </row>
    <row r="757" spans="1:24" x14ac:dyDescent="0.2">
      <c r="A757" s="1">
        <v>751</v>
      </c>
      <c r="B757" s="1" t="s">
        <v>521</v>
      </c>
      <c r="C757" s="1" t="s">
        <v>2782</v>
      </c>
      <c r="D757" s="11" t="s">
        <v>520</v>
      </c>
      <c r="E757" s="35" t="s">
        <v>864</v>
      </c>
      <c r="F757" s="67" t="s">
        <v>921</v>
      </c>
      <c r="G757" s="24" t="s">
        <v>2802</v>
      </c>
      <c r="H757" s="15" t="s">
        <v>2789</v>
      </c>
      <c r="I757" s="16">
        <v>31</v>
      </c>
      <c r="J757" s="16" t="str">
        <f t="shared" si="35"/>
        <v>Young</v>
      </c>
      <c r="K757" s="25">
        <v>2</v>
      </c>
      <c r="L757" s="42">
        <v>3450</v>
      </c>
      <c r="M757" s="15">
        <v>1470</v>
      </c>
      <c r="N757" s="39">
        <f t="shared" si="33"/>
        <v>6900</v>
      </c>
      <c r="O757" s="39">
        <f t="shared" si="34"/>
        <v>3960</v>
      </c>
      <c r="P757" s="24" t="s">
        <v>2032</v>
      </c>
      <c r="Q757" s="15" t="s">
        <v>2016</v>
      </c>
      <c r="R757" s="1" t="s">
        <v>2013</v>
      </c>
      <c r="S757" s="15" t="s">
        <v>2082</v>
      </c>
      <c r="T757" s="15" t="s">
        <v>2442</v>
      </c>
      <c r="U757" s="25" t="s">
        <v>2088</v>
      </c>
      <c r="V757" s="25" t="s">
        <v>2435</v>
      </c>
      <c r="W757" s="80">
        <v>45086</v>
      </c>
      <c r="X757" s="21" t="s">
        <v>2814</v>
      </c>
    </row>
    <row r="758" spans="1:24" x14ac:dyDescent="0.2">
      <c r="A758" s="1">
        <v>752</v>
      </c>
      <c r="B758" s="1" t="s">
        <v>67</v>
      </c>
      <c r="C758" s="1" t="s">
        <v>2782</v>
      </c>
      <c r="D758" s="11" t="s">
        <v>522</v>
      </c>
      <c r="E758" s="35" t="s">
        <v>822</v>
      </c>
      <c r="F758" s="67" t="s">
        <v>922</v>
      </c>
      <c r="G758" s="24" t="s">
        <v>2804</v>
      </c>
      <c r="H758" s="15" t="s">
        <v>2788</v>
      </c>
      <c r="I758" s="16">
        <v>44</v>
      </c>
      <c r="J758" s="16" t="str">
        <f t="shared" si="35"/>
        <v>Middle Age</v>
      </c>
      <c r="K758" s="25">
        <v>4</v>
      </c>
      <c r="L758" s="42">
        <f>4950+220</f>
        <v>5170</v>
      </c>
      <c r="M758" s="15">
        <f>1950+95</f>
        <v>2045</v>
      </c>
      <c r="N758" s="39">
        <f t="shared" si="33"/>
        <v>20680</v>
      </c>
      <c r="O758" s="39">
        <f t="shared" si="34"/>
        <v>12500</v>
      </c>
      <c r="P758" s="24" t="s">
        <v>2040</v>
      </c>
      <c r="Q758" s="15" t="s">
        <v>2014</v>
      </c>
      <c r="R758" s="1" t="s">
        <v>2013</v>
      </c>
      <c r="S758" s="15" t="s">
        <v>2082</v>
      </c>
      <c r="T758" s="15" t="s">
        <v>2442</v>
      </c>
      <c r="U758" s="25" t="s">
        <v>2087</v>
      </c>
      <c r="V758" s="25" t="s">
        <v>2434</v>
      </c>
      <c r="W758" s="80">
        <v>45233</v>
      </c>
      <c r="X758" s="21" t="s">
        <v>2823</v>
      </c>
    </row>
    <row r="759" spans="1:24" x14ac:dyDescent="0.2">
      <c r="A759" s="1">
        <v>753</v>
      </c>
      <c r="B759" s="1" t="s">
        <v>524</v>
      </c>
      <c r="C759" s="1" t="s">
        <v>2782</v>
      </c>
      <c r="D759" s="11" t="s">
        <v>523</v>
      </c>
      <c r="E759" s="35" t="s">
        <v>863</v>
      </c>
      <c r="F759" s="67" t="s">
        <v>923</v>
      </c>
      <c r="G759" s="24" t="s">
        <v>2806</v>
      </c>
      <c r="H759" s="15" t="s">
        <v>2788</v>
      </c>
      <c r="I759" s="16">
        <v>26</v>
      </c>
      <c r="J759" s="16" t="str">
        <f t="shared" si="35"/>
        <v>Young</v>
      </c>
      <c r="K759" s="25">
        <v>1</v>
      </c>
      <c r="L759" s="42">
        <v>2750</v>
      </c>
      <c r="M759" s="15">
        <v>1150</v>
      </c>
      <c r="N759" s="39">
        <f t="shared" si="33"/>
        <v>2750</v>
      </c>
      <c r="O759" s="39">
        <f t="shared" si="34"/>
        <v>1600</v>
      </c>
      <c r="P759" s="24" t="s">
        <v>2028</v>
      </c>
      <c r="Q759" s="15" t="s">
        <v>2024</v>
      </c>
      <c r="R759" s="1" t="s">
        <v>2013</v>
      </c>
      <c r="S759" s="15" t="s">
        <v>2082</v>
      </c>
      <c r="T759" s="15" t="s">
        <v>2442</v>
      </c>
      <c r="U759" s="25" t="s">
        <v>2085</v>
      </c>
      <c r="V759" s="25" t="s">
        <v>2436</v>
      </c>
      <c r="W759" s="80">
        <v>45120</v>
      </c>
      <c r="X759" s="21" t="s">
        <v>2813</v>
      </c>
    </row>
    <row r="760" spans="1:24" x14ac:dyDescent="0.2">
      <c r="A760" s="1">
        <v>754</v>
      </c>
      <c r="B760" s="1" t="s">
        <v>12</v>
      </c>
      <c r="C760" s="1" t="s">
        <v>2781</v>
      </c>
      <c r="D760" s="11" t="s">
        <v>869</v>
      </c>
      <c r="E760" s="35" t="s">
        <v>817</v>
      </c>
      <c r="F760" s="67" t="s">
        <v>924</v>
      </c>
      <c r="G760" s="24" t="s">
        <v>2808</v>
      </c>
      <c r="H760" s="15" t="s">
        <v>2789</v>
      </c>
      <c r="I760" s="16">
        <v>48</v>
      </c>
      <c r="J760" s="16" t="str">
        <f t="shared" si="35"/>
        <v>Middle Age</v>
      </c>
      <c r="K760" s="25">
        <v>5</v>
      </c>
      <c r="L760" s="42">
        <v>1290</v>
      </c>
      <c r="M760" s="15">
        <v>700</v>
      </c>
      <c r="N760" s="39">
        <f t="shared" si="33"/>
        <v>6450</v>
      </c>
      <c r="O760" s="39">
        <f t="shared" si="34"/>
        <v>2950</v>
      </c>
      <c r="P760" s="24" t="s">
        <v>2057</v>
      </c>
      <c r="Q760" s="24" t="s">
        <v>2020</v>
      </c>
      <c r="R760" s="1" t="s">
        <v>2013</v>
      </c>
      <c r="S760" s="15" t="s">
        <v>2082</v>
      </c>
      <c r="T760" s="15" t="s">
        <v>2442</v>
      </c>
      <c r="U760" s="25" t="s">
        <v>2083</v>
      </c>
      <c r="V760" s="25" t="s">
        <v>2437</v>
      </c>
      <c r="W760" s="80">
        <v>44942</v>
      </c>
      <c r="X760" s="21" t="s">
        <v>2818</v>
      </c>
    </row>
    <row r="761" spans="1:24" x14ac:dyDescent="0.2">
      <c r="A761" s="1">
        <v>755</v>
      </c>
      <c r="B761" s="1" t="s">
        <v>525</v>
      </c>
      <c r="C761" s="1" t="s">
        <v>2782</v>
      </c>
      <c r="D761" s="11" t="s">
        <v>2658</v>
      </c>
      <c r="E761" s="35" t="s">
        <v>822</v>
      </c>
      <c r="F761" s="67" t="s">
        <v>925</v>
      </c>
      <c r="G761" s="24" t="s">
        <v>2810</v>
      </c>
      <c r="H761" s="15" t="s">
        <v>2788</v>
      </c>
      <c r="I761" s="16">
        <v>53</v>
      </c>
      <c r="J761" s="16" t="str">
        <f t="shared" si="35"/>
        <v>Old</v>
      </c>
      <c r="K761" s="25">
        <v>2</v>
      </c>
      <c r="L761" s="42">
        <v>3090</v>
      </c>
      <c r="M761" s="15">
        <v>1590</v>
      </c>
      <c r="N761" s="39">
        <f t="shared" si="33"/>
        <v>6180</v>
      </c>
      <c r="O761" s="39">
        <f t="shared" si="34"/>
        <v>3000</v>
      </c>
      <c r="P761" s="24" t="s">
        <v>2045</v>
      </c>
      <c r="Q761" s="24" t="s">
        <v>2014</v>
      </c>
      <c r="R761" s="1" t="s">
        <v>2013</v>
      </c>
      <c r="S761" s="15" t="s">
        <v>2082</v>
      </c>
      <c r="T761" s="15" t="s">
        <v>2442</v>
      </c>
      <c r="U761" s="25" t="s">
        <v>2087</v>
      </c>
      <c r="V761" s="25" t="s">
        <v>2435</v>
      </c>
      <c r="W761" s="80">
        <v>44999</v>
      </c>
      <c r="X761" s="21" t="s">
        <v>2816</v>
      </c>
    </row>
    <row r="762" spans="1:24" x14ac:dyDescent="0.2">
      <c r="A762" s="1">
        <v>756</v>
      </c>
      <c r="B762" s="1" t="s">
        <v>526</v>
      </c>
      <c r="C762" s="1" t="s">
        <v>2782</v>
      </c>
      <c r="D762" s="11" t="s">
        <v>2659</v>
      </c>
      <c r="E762" s="35" t="s">
        <v>863</v>
      </c>
      <c r="F762" s="69" t="s">
        <v>904</v>
      </c>
      <c r="G762" s="24" t="s">
        <v>2793</v>
      </c>
      <c r="H762" s="15" t="s">
        <v>2788</v>
      </c>
      <c r="I762" s="16">
        <v>30</v>
      </c>
      <c r="J762" s="16" t="str">
        <f t="shared" si="35"/>
        <v>Young</v>
      </c>
      <c r="K762" s="25">
        <v>3</v>
      </c>
      <c r="L762" s="42">
        <v>6480</v>
      </c>
      <c r="M762" s="15">
        <v>3800</v>
      </c>
      <c r="N762" s="39">
        <f t="shared" si="33"/>
        <v>19440</v>
      </c>
      <c r="O762" s="39">
        <f t="shared" si="34"/>
        <v>8040</v>
      </c>
      <c r="P762" s="24" t="s">
        <v>2045</v>
      </c>
      <c r="Q762" s="24" t="s">
        <v>2014</v>
      </c>
      <c r="R762" s="1" t="s">
        <v>2013</v>
      </c>
      <c r="S762" s="15" t="s">
        <v>2082</v>
      </c>
      <c r="T762" s="15" t="s">
        <v>2442</v>
      </c>
      <c r="U762" s="25" t="s">
        <v>2085</v>
      </c>
      <c r="V762" s="25" t="s">
        <v>2436</v>
      </c>
      <c r="W762" s="80">
        <v>44990</v>
      </c>
      <c r="X762" s="21" t="s">
        <v>2816</v>
      </c>
    </row>
    <row r="763" spans="1:24" x14ac:dyDescent="0.2">
      <c r="A763" s="1">
        <v>757</v>
      </c>
      <c r="B763" s="1" t="s">
        <v>526</v>
      </c>
      <c r="C763" s="1" t="s">
        <v>2782</v>
      </c>
      <c r="D763" s="11" t="s">
        <v>2659</v>
      </c>
      <c r="E763" s="35" t="s">
        <v>822</v>
      </c>
      <c r="F763" s="66" t="s">
        <v>926</v>
      </c>
      <c r="G763" s="24" t="s">
        <v>2791</v>
      </c>
      <c r="H763" s="15" t="s">
        <v>2788</v>
      </c>
      <c r="I763" s="16">
        <v>37</v>
      </c>
      <c r="J763" s="16" t="str">
        <f t="shared" si="35"/>
        <v>Middle Age</v>
      </c>
      <c r="K763" s="25">
        <v>4</v>
      </c>
      <c r="L763" s="42">
        <v>6480</v>
      </c>
      <c r="M763" s="15">
        <v>3800</v>
      </c>
      <c r="N763" s="39">
        <f t="shared" si="33"/>
        <v>25920</v>
      </c>
      <c r="O763" s="39">
        <f t="shared" si="34"/>
        <v>10720</v>
      </c>
      <c r="P763" s="24" t="s">
        <v>2029</v>
      </c>
      <c r="Q763" s="24" t="s">
        <v>2016</v>
      </c>
      <c r="R763" s="1" t="s">
        <v>2013</v>
      </c>
      <c r="S763" s="15" t="s">
        <v>2082</v>
      </c>
      <c r="T763" s="15" t="s">
        <v>2442</v>
      </c>
      <c r="U763" s="25" t="s">
        <v>2089</v>
      </c>
      <c r="V763" s="25" t="s">
        <v>2434</v>
      </c>
      <c r="W763" s="80">
        <v>45042</v>
      </c>
      <c r="X763" s="21" t="s">
        <v>2815</v>
      </c>
    </row>
    <row r="764" spans="1:24" x14ac:dyDescent="0.2">
      <c r="A764" s="1">
        <v>758</v>
      </c>
      <c r="B764" s="1" t="s">
        <v>528</v>
      </c>
      <c r="C764" s="1" t="s">
        <v>2782</v>
      </c>
      <c r="D764" s="11" t="s">
        <v>527</v>
      </c>
      <c r="E764" s="35" t="s">
        <v>864</v>
      </c>
      <c r="F764" s="66" t="s">
        <v>927</v>
      </c>
      <c r="G764" s="24" t="s">
        <v>2795</v>
      </c>
      <c r="H764" s="15" t="s">
        <v>2789</v>
      </c>
      <c r="I764" s="16">
        <v>42</v>
      </c>
      <c r="J764" s="16" t="str">
        <f t="shared" si="35"/>
        <v>Middle Age</v>
      </c>
      <c r="K764" s="25">
        <v>1</v>
      </c>
      <c r="L764" s="42">
        <v>5220</v>
      </c>
      <c r="M764" s="15">
        <v>2120</v>
      </c>
      <c r="N764" s="39">
        <f t="shared" si="33"/>
        <v>5220</v>
      </c>
      <c r="O764" s="39">
        <f t="shared" si="34"/>
        <v>3100</v>
      </c>
      <c r="P764" s="24" t="s">
        <v>2025</v>
      </c>
      <c r="Q764" s="24" t="s">
        <v>2024</v>
      </c>
      <c r="R764" s="1" t="s">
        <v>2013</v>
      </c>
      <c r="S764" s="15" t="s">
        <v>2082</v>
      </c>
      <c r="T764" s="15" t="s">
        <v>2442</v>
      </c>
      <c r="U764" s="25" t="s">
        <v>2090</v>
      </c>
      <c r="V764" s="25" t="s">
        <v>2437</v>
      </c>
      <c r="W764" s="80">
        <v>44992</v>
      </c>
      <c r="X764" s="21" t="s">
        <v>2816</v>
      </c>
    </row>
    <row r="765" spans="1:24" x14ac:dyDescent="0.2">
      <c r="A765" s="1">
        <v>759</v>
      </c>
      <c r="B765" s="1" t="s">
        <v>530</v>
      </c>
      <c r="C765" s="1" t="s">
        <v>2782</v>
      </c>
      <c r="D765" s="11" t="s">
        <v>529</v>
      </c>
      <c r="E765" s="35" t="s">
        <v>822</v>
      </c>
      <c r="F765" s="67" t="s">
        <v>932</v>
      </c>
      <c r="G765" s="24" t="s">
        <v>2797</v>
      </c>
      <c r="H765" s="15" t="s">
        <v>2789</v>
      </c>
      <c r="I765" s="16">
        <v>24</v>
      </c>
      <c r="J765" s="16" t="str">
        <f t="shared" si="35"/>
        <v>Young</v>
      </c>
      <c r="K765" s="25">
        <v>5</v>
      </c>
      <c r="L765" s="42">
        <v>2470</v>
      </c>
      <c r="M765" s="15">
        <v>1170</v>
      </c>
      <c r="N765" s="39">
        <f t="shared" si="33"/>
        <v>12350</v>
      </c>
      <c r="O765" s="39">
        <f t="shared" si="34"/>
        <v>6500</v>
      </c>
      <c r="P765" s="24" t="s">
        <v>2051</v>
      </c>
      <c r="Q765" s="15" t="s">
        <v>2828</v>
      </c>
      <c r="R765" s="1" t="s">
        <v>2013</v>
      </c>
      <c r="S765" s="15" t="s">
        <v>2082</v>
      </c>
      <c r="T765" s="15" t="s">
        <v>2442</v>
      </c>
      <c r="U765" s="25" t="s">
        <v>2084</v>
      </c>
      <c r="V765" s="25" t="s">
        <v>2435</v>
      </c>
      <c r="W765" s="80">
        <v>45279</v>
      </c>
      <c r="X765" s="21" t="s">
        <v>2822</v>
      </c>
    </row>
    <row r="766" spans="1:24" x14ac:dyDescent="0.2">
      <c r="A766" s="1">
        <v>760</v>
      </c>
      <c r="B766" s="1" t="s">
        <v>532</v>
      </c>
      <c r="C766" s="1" t="s">
        <v>2782</v>
      </c>
      <c r="D766" s="11" t="s">
        <v>531</v>
      </c>
      <c r="E766" s="35" t="s">
        <v>863</v>
      </c>
      <c r="F766" s="66" t="s">
        <v>933</v>
      </c>
      <c r="G766" s="24" t="s">
        <v>2799</v>
      </c>
      <c r="H766" s="15" t="s">
        <v>2789</v>
      </c>
      <c r="I766" s="16">
        <v>28</v>
      </c>
      <c r="J766" s="16" t="str">
        <f t="shared" si="35"/>
        <v>Young</v>
      </c>
      <c r="K766" s="25">
        <v>3</v>
      </c>
      <c r="L766" s="42">
        <v>4180</v>
      </c>
      <c r="M766" s="15">
        <v>1680</v>
      </c>
      <c r="N766" s="39">
        <f t="shared" si="33"/>
        <v>12540</v>
      </c>
      <c r="O766" s="39">
        <f t="shared" si="34"/>
        <v>7500</v>
      </c>
      <c r="P766" s="24" t="s">
        <v>2041</v>
      </c>
      <c r="Q766" s="24" t="s">
        <v>2016</v>
      </c>
      <c r="R766" s="1" t="s">
        <v>2013</v>
      </c>
      <c r="S766" s="15" t="s">
        <v>2082</v>
      </c>
      <c r="T766" s="15" t="s">
        <v>2442</v>
      </c>
      <c r="U766" s="25" t="s">
        <v>2087</v>
      </c>
      <c r="V766" s="25" t="s">
        <v>2434</v>
      </c>
      <c r="W766" s="80">
        <v>44936</v>
      </c>
      <c r="X766" s="21" t="s">
        <v>2818</v>
      </c>
    </row>
    <row r="767" spans="1:24" x14ac:dyDescent="0.2">
      <c r="A767" s="1">
        <v>761</v>
      </c>
      <c r="B767" s="1" t="s">
        <v>533</v>
      </c>
      <c r="C767" s="1" t="s">
        <v>2782</v>
      </c>
      <c r="D767" s="11" t="s">
        <v>2660</v>
      </c>
      <c r="E767" s="35" t="s">
        <v>822</v>
      </c>
      <c r="F767" s="67" t="s">
        <v>934</v>
      </c>
      <c r="G767" s="24" t="s">
        <v>2801</v>
      </c>
      <c r="H767" s="15" t="s">
        <v>2789</v>
      </c>
      <c r="I767" s="16">
        <v>50</v>
      </c>
      <c r="J767" s="16" t="str">
        <f t="shared" si="35"/>
        <v>Old</v>
      </c>
      <c r="K767" s="25">
        <v>2</v>
      </c>
      <c r="L767" s="42">
        <v>5980</v>
      </c>
      <c r="M767" s="15">
        <v>2750</v>
      </c>
      <c r="N767" s="39">
        <f t="shared" si="33"/>
        <v>11960</v>
      </c>
      <c r="O767" s="39">
        <f t="shared" si="34"/>
        <v>6460</v>
      </c>
      <c r="P767" s="24" t="s">
        <v>2047</v>
      </c>
      <c r="Q767" s="24" t="s">
        <v>2024</v>
      </c>
      <c r="R767" s="1" t="s">
        <v>2013</v>
      </c>
      <c r="S767" s="15" t="s">
        <v>2082</v>
      </c>
      <c r="T767" s="15" t="s">
        <v>2442</v>
      </c>
      <c r="U767" s="25" t="s">
        <v>2087</v>
      </c>
      <c r="V767" s="25" t="s">
        <v>2436</v>
      </c>
      <c r="W767" s="80">
        <v>45056</v>
      </c>
      <c r="X767" s="21" t="s">
        <v>2786</v>
      </c>
    </row>
    <row r="768" spans="1:24" x14ac:dyDescent="0.2">
      <c r="A768" s="1">
        <v>762</v>
      </c>
      <c r="B768" s="1" t="s">
        <v>534</v>
      </c>
      <c r="C768" s="1" t="s">
        <v>2782</v>
      </c>
      <c r="D768" s="11" t="s">
        <v>2661</v>
      </c>
      <c r="E768" s="35" t="s">
        <v>863</v>
      </c>
      <c r="F768" s="67" t="s">
        <v>935</v>
      </c>
      <c r="G768" s="24" t="s">
        <v>2803</v>
      </c>
      <c r="H768" s="15" t="s">
        <v>2788</v>
      </c>
      <c r="I768" s="16">
        <v>39</v>
      </c>
      <c r="J768" s="16" t="str">
        <f t="shared" si="35"/>
        <v>Middle Age</v>
      </c>
      <c r="K768" s="25">
        <v>4</v>
      </c>
      <c r="L768" s="42">
        <v>4320</v>
      </c>
      <c r="M768" s="15">
        <f>1280+400</f>
        <v>1680</v>
      </c>
      <c r="N768" s="39">
        <f t="shared" si="33"/>
        <v>17280</v>
      </c>
      <c r="O768" s="39">
        <f t="shared" si="34"/>
        <v>10560</v>
      </c>
      <c r="P768" s="24" t="s">
        <v>2043</v>
      </c>
      <c r="Q768" s="24" t="s">
        <v>2016</v>
      </c>
      <c r="R768" s="1" t="s">
        <v>2013</v>
      </c>
      <c r="S768" s="15" t="s">
        <v>2082</v>
      </c>
      <c r="T768" s="15" t="s">
        <v>2442</v>
      </c>
      <c r="U768" s="25" t="s">
        <v>2086</v>
      </c>
      <c r="V768" s="25" t="s">
        <v>2437</v>
      </c>
      <c r="W768" s="80">
        <v>45291</v>
      </c>
      <c r="X768" s="21" t="s">
        <v>2822</v>
      </c>
    </row>
    <row r="769" spans="1:24" x14ac:dyDescent="0.2">
      <c r="A769" s="1">
        <v>763</v>
      </c>
      <c r="B769" s="1" t="s">
        <v>535</v>
      </c>
      <c r="C769" s="1" t="s">
        <v>2782</v>
      </c>
      <c r="D769" s="11" t="s">
        <v>2662</v>
      </c>
      <c r="E769" s="35" t="s">
        <v>863</v>
      </c>
      <c r="F769" s="66" t="s">
        <v>881</v>
      </c>
      <c r="G769" s="24" t="s">
        <v>2805</v>
      </c>
      <c r="H769" s="15" t="s">
        <v>2789</v>
      </c>
      <c r="I769" s="16">
        <v>31</v>
      </c>
      <c r="J769" s="16" t="str">
        <f t="shared" si="35"/>
        <v>Young</v>
      </c>
      <c r="K769" s="25">
        <v>1</v>
      </c>
      <c r="L769" s="42">
        <v>3200</v>
      </c>
      <c r="M769" s="15">
        <v>1900</v>
      </c>
      <c r="N769" s="39">
        <f t="shared" si="33"/>
        <v>3200</v>
      </c>
      <c r="O769" s="39">
        <f t="shared" si="34"/>
        <v>1300</v>
      </c>
      <c r="P769" s="24" t="s">
        <v>2028</v>
      </c>
      <c r="Q769" s="15" t="s">
        <v>2024</v>
      </c>
      <c r="R769" s="1" t="s">
        <v>2013</v>
      </c>
      <c r="S769" s="15" t="s">
        <v>2082</v>
      </c>
      <c r="T769" s="15" t="s">
        <v>2442</v>
      </c>
      <c r="U769" s="25" t="s">
        <v>2088</v>
      </c>
      <c r="V769" s="25" t="s">
        <v>2435</v>
      </c>
      <c r="W769" s="80">
        <v>45096</v>
      </c>
      <c r="X769" s="21" t="s">
        <v>2814</v>
      </c>
    </row>
    <row r="770" spans="1:24" x14ac:dyDescent="0.2">
      <c r="A770" s="1">
        <v>764</v>
      </c>
      <c r="B770" s="1" t="s">
        <v>54</v>
      </c>
      <c r="C770" s="1" t="s">
        <v>2782</v>
      </c>
      <c r="D770" s="11" t="s">
        <v>536</v>
      </c>
      <c r="E770" s="35" t="s">
        <v>822</v>
      </c>
      <c r="F770" s="66" t="s">
        <v>882</v>
      </c>
      <c r="G770" s="24" t="s">
        <v>2807</v>
      </c>
      <c r="H770" s="15" t="s">
        <v>2788</v>
      </c>
      <c r="I770" s="16">
        <v>44</v>
      </c>
      <c r="J770" s="16" t="str">
        <f t="shared" si="35"/>
        <v>Middle Age</v>
      </c>
      <c r="K770" s="25">
        <v>5</v>
      </c>
      <c r="L770" s="42">
        <v>3990</v>
      </c>
      <c r="M770" s="15">
        <v>2100</v>
      </c>
      <c r="N770" s="39">
        <f t="shared" ref="N770:N833" si="36">L770*K770</f>
        <v>19950</v>
      </c>
      <c r="O770" s="39">
        <f t="shared" ref="O770:O833" si="37">N770-(M770*K770)</f>
        <v>9450</v>
      </c>
      <c r="P770" s="24" t="s">
        <v>2031</v>
      </c>
      <c r="Q770" s="24" t="s">
        <v>2016</v>
      </c>
      <c r="R770" s="1" t="s">
        <v>2013</v>
      </c>
      <c r="S770" s="15" t="s">
        <v>2082</v>
      </c>
      <c r="T770" s="15" t="s">
        <v>2442</v>
      </c>
      <c r="U770" s="25" t="s">
        <v>2086</v>
      </c>
      <c r="V770" s="25" t="s">
        <v>2436</v>
      </c>
      <c r="W770" s="80">
        <v>45219</v>
      </c>
      <c r="X770" s="21" t="s">
        <v>2821</v>
      </c>
    </row>
    <row r="771" spans="1:24" x14ac:dyDescent="0.2">
      <c r="A771" s="1">
        <v>765</v>
      </c>
      <c r="B771" s="1" t="s">
        <v>36</v>
      </c>
      <c r="C771" s="1" t="s">
        <v>2782</v>
      </c>
      <c r="D771" s="11" t="s">
        <v>537</v>
      </c>
      <c r="E771" s="35" t="s">
        <v>864</v>
      </c>
      <c r="F771" s="66" t="s">
        <v>881</v>
      </c>
      <c r="G771" s="24" t="s">
        <v>2809</v>
      </c>
      <c r="H771" s="15" t="s">
        <v>2789</v>
      </c>
      <c r="I771" s="16">
        <v>26</v>
      </c>
      <c r="J771" s="16" t="str">
        <f t="shared" ref="J771:J834" si="38">IF(I771&lt;=35,"Young",IF(I771&lt;=49,"Middle Age",IF(I771&gt;=50,"Old")))</f>
        <v>Young</v>
      </c>
      <c r="K771" s="25">
        <v>2</v>
      </c>
      <c r="L771" s="42">
        <v>2650</v>
      </c>
      <c r="M771" s="15">
        <v>1150</v>
      </c>
      <c r="N771" s="39">
        <f t="shared" si="36"/>
        <v>5300</v>
      </c>
      <c r="O771" s="39">
        <f t="shared" si="37"/>
        <v>3000</v>
      </c>
      <c r="P771" s="24" t="s">
        <v>2025</v>
      </c>
      <c r="Q771" s="24" t="s">
        <v>2024</v>
      </c>
      <c r="R771" s="1" t="s">
        <v>2013</v>
      </c>
      <c r="S771" s="15" t="s">
        <v>2082</v>
      </c>
      <c r="T771" s="15" t="s">
        <v>2442</v>
      </c>
      <c r="U771" s="25" t="s">
        <v>2084</v>
      </c>
      <c r="V771" s="25" t="s">
        <v>2434</v>
      </c>
      <c r="W771" s="80">
        <v>45070</v>
      </c>
      <c r="X771" s="21" t="s">
        <v>2786</v>
      </c>
    </row>
    <row r="772" spans="1:24" x14ac:dyDescent="0.2">
      <c r="A772" s="1">
        <v>766</v>
      </c>
      <c r="B772" s="1" t="s">
        <v>539</v>
      </c>
      <c r="C772" s="1" t="s">
        <v>2782</v>
      </c>
      <c r="D772" s="11" t="s">
        <v>538</v>
      </c>
      <c r="E772" s="35" t="s">
        <v>822</v>
      </c>
      <c r="F772" s="66" t="s">
        <v>883</v>
      </c>
      <c r="G772" s="24" t="s">
        <v>2794</v>
      </c>
      <c r="H772" s="15" t="s">
        <v>2788</v>
      </c>
      <c r="I772" s="16">
        <v>48</v>
      </c>
      <c r="J772" s="16" t="str">
        <f t="shared" si="38"/>
        <v>Middle Age</v>
      </c>
      <c r="K772" s="25">
        <v>3</v>
      </c>
      <c r="L772" s="42">
        <v>4950</v>
      </c>
      <c r="M772" s="15">
        <v>2450</v>
      </c>
      <c r="N772" s="39">
        <f t="shared" si="36"/>
        <v>14850</v>
      </c>
      <c r="O772" s="39">
        <f t="shared" si="37"/>
        <v>7500</v>
      </c>
      <c r="P772" s="24" t="s">
        <v>2042</v>
      </c>
      <c r="Q772" s="15" t="s">
        <v>2828</v>
      </c>
      <c r="R772" s="1" t="s">
        <v>2013</v>
      </c>
      <c r="S772" s="15" t="s">
        <v>2082</v>
      </c>
      <c r="T772" s="15" t="s">
        <v>2442</v>
      </c>
      <c r="U772" s="25" t="s">
        <v>2087</v>
      </c>
      <c r="V772" s="25" t="s">
        <v>2437</v>
      </c>
      <c r="W772" s="80">
        <v>45004</v>
      </c>
      <c r="X772" s="21" t="s">
        <v>2816</v>
      </c>
    </row>
    <row r="773" spans="1:24" x14ac:dyDescent="0.2">
      <c r="A773" s="1">
        <v>767</v>
      </c>
      <c r="B773" s="1" t="s">
        <v>541</v>
      </c>
      <c r="C773" s="1" t="s">
        <v>2782</v>
      </c>
      <c r="D773" s="11" t="s">
        <v>540</v>
      </c>
      <c r="E773" s="35" t="s">
        <v>863</v>
      </c>
      <c r="F773" s="66" t="s">
        <v>884</v>
      </c>
      <c r="G773" s="24" t="s">
        <v>2792</v>
      </c>
      <c r="H773" s="15" t="s">
        <v>2788</v>
      </c>
      <c r="I773" s="16">
        <v>53</v>
      </c>
      <c r="J773" s="16" t="str">
        <f t="shared" si="38"/>
        <v>Old</v>
      </c>
      <c r="K773" s="25">
        <v>4</v>
      </c>
      <c r="L773" s="42">
        <f>4900+550</f>
        <v>5450</v>
      </c>
      <c r="M773" s="15">
        <f>400+2900</f>
        <v>3300</v>
      </c>
      <c r="N773" s="39">
        <f t="shared" si="36"/>
        <v>21800</v>
      </c>
      <c r="O773" s="39">
        <f t="shared" si="37"/>
        <v>8600</v>
      </c>
      <c r="P773" s="24" t="s">
        <v>2062</v>
      </c>
      <c r="Q773" s="15" t="s">
        <v>2828</v>
      </c>
      <c r="R773" s="1" t="s">
        <v>2013</v>
      </c>
      <c r="S773" s="15" t="s">
        <v>2082</v>
      </c>
      <c r="T773" s="15" t="s">
        <v>2442</v>
      </c>
      <c r="U773" s="25" t="s">
        <v>2083</v>
      </c>
      <c r="V773" s="25" t="s">
        <v>2435</v>
      </c>
      <c r="W773" s="80">
        <v>45084</v>
      </c>
      <c r="X773" s="21" t="s">
        <v>2814</v>
      </c>
    </row>
    <row r="774" spans="1:24" x14ac:dyDescent="0.2">
      <c r="A774" s="1">
        <v>768</v>
      </c>
      <c r="B774" s="1" t="s">
        <v>555</v>
      </c>
      <c r="C774" s="1" t="s">
        <v>2782</v>
      </c>
      <c r="D774" s="11" t="s">
        <v>2663</v>
      </c>
      <c r="E774" s="35" t="s">
        <v>864</v>
      </c>
      <c r="F774" s="67" t="s">
        <v>931</v>
      </c>
      <c r="G774" s="24" t="s">
        <v>2796</v>
      </c>
      <c r="H774" s="15" t="s">
        <v>2788</v>
      </c>
      <c r="I774" s="16">
        <v>30</v>
      </c>
      <c r="J774" s="16" t="str">
        <f t="shared" si="38"/>
        <v>Young</v>
      </c>
      <c r="K774" s="25">
        <v>1</v>
      </c>
      <c r="L774" s="42">
        <v>500</v>
      </c>
      <c r="M774" s="15">
        <v>245</v>
      </c>
      <c r="N774" s="39">
        <f t="shared" si="36"/>
        <v>500</v>
      </c>
      <c r="O774" s="39">
        <f t="shared" si="37"/>
        <v>255</v>
      </c>
      <c r="P774" s="24" t="s">
        <v>2062</v>
      </c>
      <c r="Q774" s="15" t="s">
        <v>2828</v>
      </c>
      <c r="R774" s="1" t="s">
        <v>2013</v>
      </c>
      <c r="S774" s="15" t="s">
        <v>2082</v>
      </c>
      <c r="T774" s="15" t="s">
        <v>2442</v>
      </c>
      <c r="U774" s="25" t="s">
        <v>2088</v>
      </c>
      <c r="V774" s="25" t="s">
        <v>2434</v>
      </c>
      <c r="W774" s="80">
        <v>44952</v>
      </c>
      <c r="X774" s="21" t="s">
        <v>2818</v>
      </c>
    </row>
    <row r="775" spans="1:24" x14ac:dyDescent="0.2">
      <c r="A775" s="1">
        <v>769</v>
      </c>
      <c r="B775" s="1" t="s">
        <v>542</v>
      </c>
      <c r="C775" s="1" t="s">
        <v>2782</v>
      </c>
      <c r="D775" s="11" t="s">
        <v>2664</v>
      </c>
      <c r="E775" s="35" t="s">
        <v>822</v>
      </c>
      <c r="F775" s="66" t="s">
        <v>929</v>
      </c>
      <c r="G775" s="24" t="s">
        <v>2798</v>
      </c>
      <c r="H775" s="15" t="s">
        <v>2789</v>
      </c>
      <c r="I775" s="16">
        <v>37</v>
      </c>
      <c r="J775" s="16" t="str">
        <f t="shared" si="38"/>
        <v>Middle Age</v>
      </c>
      <c r="K775" s="25">
        <v>5</v>
      </c>
      <c r="L775" s="42">
        <v>4250</v>
      </c>
      <c r="M775" s="15">
        <v>2250</v>
      </c>
      <c r="N775" s="39">
        <f t="shared" si="36"/>
        <v>21250</v>
      </c>
      <c r="O775" s="39">
        <f t="shared" si="37"/>
        <v>10000</v>
      </c>
      <c r="P775" s="24" t="s">
        <v>2062</v>
      </c>
      <c r="Q775" s="15" t="s">
        <v>2828</v>
      </c>
      <c r="R775" s="1" t="s">
        <v>2013</v>
      </c>
      <c r="S775" s="15" t="s">
        <v>2082</v>
      </c>
      <c r="T775" s="15" t="s">
        <v>2442</v>
      </c>
      <c r="U775" s="25" t="s">
        <v>2083</v>
      </c>
      <c r="V775" s="25" t="s">
        <v>2436</v>
      </c>
      <c r="W775" s="80">
        <v>45097</v>
      </c>
      <c r="X775" s="21" t="s">
        <v>2814</v>
      </c>
    </row>
    <row r="776" spans="1:24" x14ac:dyDescent="0.2">
      <c r="A776" s="1">
        <v>770</v>
      </c>
      <c r="B776" s="1" t="s">
        <v>543</v>
      </c>
      <c r="C776" s="1" t="s">
        <v>2782</v>
      </c>
      <c r="D776" s="11" t="s">
        <v>2665</v>
      </c>
      <c r="E776" s="35" t="s">
        <v>863</v>
      </c>
      <c r="F776" s="66" t="s">
        <v>882</v>
      </c>
      <c r="G776" s="24" t="s">
        <v>2800</v>
      </c>
      <c r="H776" s="15" t="s">
        <v>2788</v>
      </c>
      <c r="I776" s="16">
        <v>42</v>
      </c>
      <c r="J776" s="16" t="str">
        <f t="shared" si="38"/>
        <v>Middle Age</v>
      </c>
      <c r="K776" s="25">
        <v>3</v>
      </c>
      <c r="L776" s="42">
        <v>4300</v>
      </c>
      <c r="M776" s="15">
        <v>1600</v>
      </c>
      <c r="N776" s="39">
        <f t="shared" si="36"/>
        <v>12900</v>
      </c>
      <c r="O776" s="39">
        <f t="shared" si="37"/>
        <v>8100</v>
      </c>
      <c r="P776" s="24" t="s">
        <v>2040</v>
      </c>
      <c r="Q776" s="15" t="s">
        <v>2014</v>
      </c>
      <c r="R776" s="1" t="s">
        <v>2013</v>
      </c>
      <c r="S776" s="15" t="s">
        <v>2082</v>
      </c>
      <c r="T776" s="15" t="s">
        <v>2442</v>
      </c>
      <c r="U776" s="25" t="s">
        <v>2085</v>
      </c>
      <c r="V776" s="25" t="s">
        <v>2437</v>
      </c>
      <c r="W776" s="80">
        <v>44999</v>
      </c>
      <c r="X776" s="21" t="s">
        <v>2816</v>
      </c>
    </row>
    <row r="777" spans="1:24" x14ac:dyDescent="0.2">
      <c r="A777" s="1">
        <v>771</v>
      </c>
      <c r="B777" s="1" t="s">
        <v>211</v>
      </c>
      <c r="C777" s="1" t="s">
        <v>2782</v>
      </c>
      <c r="D777" s="11" t="s">
        <v>2666</v>
      </c>
      <c r="E777" s="35" t="s">
        <v>822</v>
      </c>
      <c r="F777" s="66" t="s">
        <v>930</v>
      </c>
      <c r="G777" s="24" t="s">
        <v>2802</v>
      </c>
      <c r="H777" s="15" t="s">
        <v>2788</v>
      </c>
      <c r="I777" s="16">
        <v>24</v>
      </c>
      <c r="J777" s="16" t="str">
        <f t="shared" si="38"/>
        <v>Young</v>
      </c>
      <c r="K777" s="25">
        <v>2</v>
      </c>
      <c r="L777" s="42">
        <v>1900</v>
      </c>
      <c r="M777" s="15">
        <v>970</v>
      </c>
      <c r="N777" s="39">
        <f t="shared" si="36"/>
        <v>3800</v>
      </c>
      <c r="O777" s="39">
        <f t="shared" si="37"/>
        <v>1860</v>
      </c>
      <c r="P777" s="24" t="s">
        <v>2042</v>
      </c>
      <c r="Q777" s="15" t="s">
        <v>2828</v>
      </c>
      <c r="R777" s="1" t="s">
        <v>2013</v>
      </c>
      <c r="S777" s="15" t="s">
        <v>2082</v>
      </c>
      <c r="T777" s="15" t="s">
        <v>2442</v>
      </c>
      <c r="U777" s="25" t="s">
        <v>2084</v>
      </c>
      <c r="V777" s="25" t="s">
        <v>2434</v>
      </c>
      <c r="W777" s="80">
        <v>45172</v>
      </c>
      <c r="X777" s="21" t="s">
        <v>2820</v>
      </c>
    </row>
    <row r="778" spans="1:24" x14ac:dyDescent="0.2">
      <c r="A778" s="1">
        <v>772</v>
      </c>
      <c r="B778" s="1" t="s">
        <v>544</v>
      </c>
      <c r="C778" s="1" t="s">
        <v>2782</v>
      </c>
      <c r="D778" s="11" t="s">
        <v>2667</v>
      </c>
      <c r="E778" s="35" t="s">
        <v>864</v>
      </c>
      <c r="F778" s="67" t="s">
        <v>915</v>
      </c>
      <c r="G778" s="24" t="s">
        <v>2804</v>
      </c>
      <c r="H778" s="15" t="s">
        <v>2788</v>
      </c>
      <c r="I778" s="16">
        <v>57</v>
      </c>
      <c r="J778" s="16" t="str">
        <f t="shared" si="38"/>
        <v>Old</v>
      </c>
      <c r="K778" s="25">
        <v>4</v>
      </c>
      <c r="L778" s="42">
        <v>4820</v>
      </c>
      <c r="M778" s="15">
        <v>2590</v>
      </c>
      <c r="N778" s="39">
        <f t="shared" si="36"/>
        <v>19280</v>
      </c>
      <c r="O778" s="39">
        <f t="shared" si="37"/>
        <v>8920</v>
      </c>
      <c r="P778" s="24" t="s">
        <v>2017</v>
      </c>
      <c r="Q778" s="24" t="s">
        <v>2016</v>
      </c>
      <c r="R778" s="1" t="s">
        <v>2013</v>
      </c>
      <c r="S778" s="15" t="s">
        <v>2082</v>
      </c>
      <c r="T778" s="15" t="s">
        <v>2442</v>
      </c>
      <c r="U778" s="25" t="s">
        <v>2090</v>
      </c>
      <c r="V778" s="25" t="s">
        <v>2436</v>
      </c>
      <c r="W778" s="80">
        <v>45077</v>
      </c>
      <c r="X778" s="21" t="s">
        <v>2786</v>
      </c>
    </row>
    <row r="779" spans="1:24" x14ac:dyDescent="0.2">
      <c r="A779" s="1">
        <v>773</v>
      </c>
      <c r="B779" s="1" t="s">
        <v>546</v>
      </c>
      <c r="C779" s="1" t="s">
        <v>2782</v>
      </c>
      <c r="D779" s="11" t="s">
        <v>545</v>
      </c>
      <c r="E779" s="35" t="s">
        <v>822</v>
      </c>
      <c r="F779" s="66" t="s">
        <v>920</v>
      </c>
      <c r="G779" s="24" t="s">
        <v>2806</v>
      </c>
      <c r="H779" s="15" t="s">
        <v>2789</v>
      </c>
      <c r="I779" s="16">
        <v>35</v>
      </c>
      <c r="J779" s="16" t="str">
        <f t="shared" si="38"/>
        <v>Young</v>
      </c>
      <c r="K779" s="25">
        <v>1</v>
      </c>
      <c r="L779" s="42">
        <v>1550</v>
      </c>
      <c r="M779" s="15">
        <v>1050</v>
      </c>
      <c r="N779" s="39">
        <f t="shared" si="36"/>
        <v>1550</v>
      </c>
      <c r="O779" s="39">
        <f t="shared" si="37"/>
        <v>500</v>
      </c>
      <c r="P779" s="24" t="s">
        <v>2058</v>
      </c>
      <c r="Q779" s="24" t="s">
        <v>2020</v>
      </c>
      <c r="R779" s="1" t="s">
        <v>2013</v>
      </c>
      <c r="S779" s="15" t="s">
        <v>2082</v>
      </c>
      <c r="T779" s="15" t="s">
        <v>2442</v>
      </c>
      <c r="U779" s="25" t="s">
        <v>2085</v>
      </c>
      <c r="V779" s="25" t="s">
        <v>2437</v>
      </c>
      <c r="W779" s="80">
        <v>44982</v>
      </c>
      <c r="X779" s="21" t="s">
        <v>2817</v>
      </c>
    </row>
    <row r="780" spans="1:24" x14ac:dyDescent="0.2">
      <c r="A780" s="1">
        <v>774</v>
      </c>
      <c r="B780" s="1" t="s">
        <v>548</v>
      </c>
      <c r="C780" s="1" t="s">
        <v>2782</v>
      </c>
      <c r="D780" s="11" t="s">
        <v>547</v>
      </c>
      <c r="E780" s="35" t="s">
        <v>863</v>
      </c>
      <c r="F780" s="67" t="s">
        <v>921</v>
      </c>
      <c r="G780" s="24" t="s">
        <v>2808</v>
      </c>
      <c r="H780" s="15" t="s">
        <v>2789</v>
      </c>
      <c r="I780" s="16">
        <v>40</v>
      </c>
      <c r="J780" s="16" t="str">
        <f t="shared" si="38"/>
        <v>Middle Age</v>
      </c>
      <c r="K780" s="25">
        <v>5</v>
      </c>
      <c r="L780" s="42">
        <v>2440</v>
      </c>
      <c r="M780" s="15">
        <v>1090</v>
      </c>
      <c r="N780" s="39">
        <f t="shared" si="36"/>
        <v>12200</v>
      </c>
      <c r="O780" s="39">
        <f t="shared" si="37"/>
        <v>6750</v>
      </c>
      <c r="P780" s="24" t="s">
        <v>2050</v>
      </c>
      <c r="Q780" s="24" t="s">
        <v>2024</v>
      </c>
      <c r="R780" s="1" t="s">
        <v>2013</v>
      </c>
      <c r="S780" s="15" t="s">
        <v>2082</v>
      </c>
      <c r="T780" s="15" t="s">
        <v>2442</v>
      </c>
      <c r="U780" s="25" t="s">
        <v>2085</v>
      </c>
      <c r="V780" s="25" t="s">
        <v>2435</v>
      </c>
      <c r="W780" s="80">
        <v>45005</v>
      </c>
      <c r="X780" s="21" t="s">
        <v>2816</v>
      </c>
    </row>
    <row r="781" spans="1:24" x14ac:dyDescent="0.2">
      <c r="A781" s="1">
        <v>775</v>
      </c>
      <c r="B781" s="1" t="s">
        <v>165</v>
      </c>
      <c r="C781" s="1" t="s">
        <v>2782</v>
      </c>
      <c r="D781" s="11" t="s">
        <v>2668</v>
      </c>
      <c r="E781" s="35" t="s">
        <v>822</v>
      </c>
      <c r="F781" s="67" t="s">
        <v>922</v>
      </c>
      <c r="G781" s="24" t="s">
        <v>2810</v>
      </c>
      <c r="H781" s="15" t="s">
        <v>2788</v>
      </c>
      <c r="I781" s="16">
        <v>21</v>
      </c>
      <c r="J781" s="16" t="str">
        <f t="shared" si="38"/>
        <v>Young</v>
      </c>
      <c r="K781" s="25">
        <v>2</v>
      </c>
      <c r="L781" s="42">
        <v>5020</v>
      </c>
      <c r="M781" s="15">
        <v>2100</v>
      </c>
      <c r="N781" s="39">
        <f t="shared" si="36"/>
        <v>10040</v>
      </c>
      <c r="O781" s="39">
        <f t="shared" si="37"/>
        <v>5840</v>
      </c>
      <c r="P781" s="24" t="s">
        <v>2038</v>
      </c>
      <c r="Q781" s="15" t="s">
        <v>2016</v>
      </c>
      <c r="R781" s="1" t="s">
        <v>2013</v>
      </c>
      <c r="S781" s="15" t="s">
        <v>2082</v>
      </c>
      <c r="T781" s="15" t="s">
        <v>2442</v>
      </c>
      <c r="U781" s="25" t="s">
        <v>2087</v>
      </c>
      <c r="V781" s="25" t="s">
        <v>2436</v>
      </c>
      <c r="W781" s="80">
        <v>45130</v>
      </c>
      <c r="X781" s="21" t="s">
        <v>2813</v>
      </c>
    </row>
    <row r="782" spans="1:24" x14ac:dyDescent="0.2">
      <c r="A782" s="1">
        <v>776</v>
      </c>
      <c r="B782" s="1" t="s">
        <v>550</v>
      </c>
      <c r="C782" s="1" t="s">
        <v>2782</v>
      </c>
      <c r="D782" s="11" t="s">
        <v>549</v>
      </c>
      <c r="E782" s="35" t="s">
        <v>863</v>
      </c>
      <c r="F782" s="67" t="s">
        <v>923</v>
      </c>
      <c r="G782" s="24" t="s">
        <v>2793</v>
      </c>
      <c r="H782" s="15" t="s">
        <v>2788</v>
      </c>
      <c r="I782" s="16">
        <v>36</v>
      </c>
      <c r="J782" s="16" t="str">
        <f t="shared" si="38"/>
        <v>Middle Age</v>
      </c>
      <c r="K782" s="25">
        <v>3</v>
      </c>
      <c r="L782" s="42">
        <v>3880</v>
      </c>
      <c r="M782" s="15">
        <v>1880</v>
      </c>
      <c r="N782" s="39">
        <f t="shared" si="36"/>
        <v>11640</v>
      </c>
      <c r="O782" s="39">
        <f t="shared" si="37"/>
        <v>6000</v>
      </c>
      <c r="P782" s="24" t="s">
        <v>2051</v>
      </c>
      <c r="Q782" s="15" t="s">
        <v>2828</v>
      </c>
      <c r="R782" s="1" t="s">
        <v>2013</v>
      </c>
      <c r="S782" s="15" t="s">
        <v>2082</v>
      </c>
      <c r="T782" s="15" t="s">
        <v>2442</v>
      </c>
      <c r="U782" s="25" t="s">
        <v>2083</v>
      </c>
      <c r="V782" s="25" t="s">
        <v>2434</v>
      </c>
      <c r="W782" s="80">
        <v>45239</v>
      </c>
      <c r="X782" s="21" t="s">
        <v>2823</v>
      </c>
    </row>
    <row r="783" spans="1:24" x14ac:dyDescent="0.2">
      <c r="A783" s="1">
        <v>777</v>
      </c>
      <c r="B783" s="1" t="s">
        <v>41</v>
      </c>
      <c r="C783" s="1" t="s">
        <v>2782</v>
      </c>
      <c r="D783" s="11" t="s">
        <v>2669</v>
      </c>
      <c r="E783" s="35" t="s">
        <v>863</v>
      </c>
      <c r="F783" s="67" t="s">
        <v>924</v>
      </c>
      <c r="G783" s="24" t="s">
        <v>2791</v>
      </c>
      <c r="H783" s="15" t="s">
        <v>2789</v>
      </c>
      <c r="I783" s="16">
        <v>28</v>
      </c>
      <c r="J783" s="16" t="str">
        <f t="shared" si="38"/>
        <v>Young</v>
      </c>
      <c r="K783" s="25">
        <v>4</v>
      </c>
      <c r="L783" s="42">
        <v>3060</v>
      </c>
      <c r="M783" s="15">
        <v>1760</v>
      </c>
      <c r="N783" s="39">
        <f t="shared" si="36"/>
        <v>12240</v>
      </c>
      <c r="O783" s="39">
        <f t="shared" si="37"/>
        <v>5200</v>
      </c>
      <c r="P783" s="24" t="s">
        <v>2051</v>
      </c>
      <c r="Q783" s="15" t="s">
        <v>2828</v>
      </c>
      <c r="R783" s="1" t="s">
        <v>2013</v>
      </c>
      <c r="S783" s="15" t="s">
        <v>2082</v>
      </c>
      <c r="T783" s="15" t="s">
        <v>2442</v>
      </c>
      <c r="U783" s="25" t="s">
        <v>2089</v>
      </c>
      <c r="V783" s="25" t="s">
        <v>2437</v>
      </c>
      <c r="W783" s="80">
        <v>45010</v>
      </c>
      <c r="X783" s="21" t="s">
        <v>2816</v>
      </c>
    </row>
    <row r="784" spans="1:24" x14ac:dyDescent="0.2">
      <c r="A784" s="1">
        <v>778</v>
      </c>
      <c r="B784" s="1" t="s">
        <v>552</v>
      </c>
      <c r="C784" s="1" t="s">
        <v>2782</v>
      </c>
      <c r="D784" s="11" t="s">
        <v>551</v>
      </c>
      <c r="E784" s="35" t="s">
        <v>822</v>
      </c>
      <c r="F784" s="67" t="s">
        <v>925</v>
      </c>
      <c r="G784" s="24" t="s">
        <v>2795</v>
      </c>
      <c r="H784" s="15" t="s">
        <v>2788</v>
      </c>
      <c r="I784" s="16">
        <v>50</v>
      </c>
      <c r="J784" s="16" t="str">
        <f t="shared" si="38"/>
        <v>Old</v>
      </c>
      <c r="K784" s="25">
        <v>1</v>
      </c>
      <c r="L784" s="42">
        <v>7260</v>
      </c>
      <c r="M784" s="15">
        <v>4100</v>
      </c>
      <c r="N784" s="39">
        <f t="shared" si="36"/>
        <v>7260</v>
      </c>
      <c r="O784" s="39">
        <f t="shared" si="37"/>
        <v>3160</v>
      </c>
      <c r="P784" s="24" t="s">
        <v>2028</v>
      </c>
      <c r="Q784" s="15" t="s">
        <v>2024</v>
      </c>
      <c r="R784" s="1" t="s">
        <v>2013</v>
      </c>
      <c r="S784" s="15" t="s">
        <v>2082</v>
      </c>
      <c r="T784" s="15" t="s">
        <v>2442</v>
      </c>
      <c r="U784" s="25" t="s">
        <v>2084</v>
      </c>
      <c r="V784" s="25" t="s">
        <v>2435</v>
      </c>
      <c r="W784" s="80">
        <v>45056</v>
      </c>
      <c r="X784" s="21" t="s">
        <v>2786</v>
      </c>
    </row>
    <row r="785" spans="1:24" x14ac:dyDescent="0.2">
      <c r="A785" s="1">
        <v>779</v>
      </c>
      <c r="B785" s="1" t="s">
        <v>860</v>
      </c>
      <c r="C785" s="1" t="s">
        <v>2782</v>
      </c>
      <c r="D785" s="11" t="s">
        <v>553</v>
      </c>
      <c r="E785" s="35" t="s">
        <v>863</v>
      </c>
      <c r="F785" s="69" t="s">
        <v>904</v>
      </c>
      <c r="G785" s="24" t="s">
        <v>2797</v>
      </c>
      <c r="H785" s="15" t="s">
        <v>2788</v>
      </c>
      <c r="I785" s="16">
        <v>39</v>
      </c>
      <c r="J785" s="16" t="str">
        <f t="shared" si="38"/>
        <v>Middle Age</v>
      </c>
      <c r="K785" s="25">
        <v>5</v>
      </c>
      <c r="L785" s="42">
        <v>1710</v>
      </c>
      <c r="M785" s="15">
        <v>850</v>
      </c>
      <c r="N785" s="39">
        <f t="shared" si="36"/>
        <v>8550</v>
      </c>
      <c r="O785" s="39">
        <f t="shared" si="37"/>
        <v>4300</v>
      </c>
      <c r="P785" s="24" t="s">
        <v>2054</v>
      </c>
      <c r="Q785" s="24" t="s">
        <v>2016</v>
      </c>
      <c r="R785" s="1" t="s">
        <v>2013</v>
      </c>
      <c r="S785" s="15" t="s">
        <v>2082</v>
      </c>
      <c r="T785" s="15" t="s">
        <v>2442</v>
      </c>
      <c r="U785" s="25" t="s">
        <v>2084</v>
      </c>
      <c r="V785" s="25" t="s">
        <v>2434</v>
      </c>
      <c r="W785" s="80">
        <v>45276</v>
      </c>
      <c r="X785" s="21" t="s">
        <v>2822</v>
      </c>
    </row>
    <row r="786" spans="1:24" x14ac:dyDescent="0.2">
      <c r="A786" s="1">
        <v>780</v>
      </c>
      <c r="B786" s="1" t="s">
        <v>555</v>
      </c>
      <c r="C786" s="1" t="s">
        <v>2782</v>
      </c>
      <c r="D786" s="11" t="s">
        <v>554</v>
      </c>
      <c r="E786" s="35" t="s">
        <v>822</v>
      </c>
      <c r="F786" s="66" t="s">
        <v>926</v>
      </c>
      <c r="G786" s="24" t="s">
        <v>2799</v>
      </c>
      <c r="H786" s="15" t="s">
        <v>2788</v>
      </c>
      <c r="I786" s="16">
        <v>31</v>
      </c>
      <c r="J786" s="16" t="str">
        <f t="shared" si="38"/>
        <v>Young</v>
      </c>
      <c r="K786" s="25">
        <v>3</v>
      </c>
      <c r="L786" s="42">
        <v>2130</v>
      </c>
      <c r="M786" s="15">
        <v>930</v>
      </c>
      <c r="N786" s="39">
        <f t="shared" si="36"/>
        <v>6390</v>
      </c>
      <c r="O786" s="39">
        <f t="shared" si="37"/>
        <v>3600</v>
      </c>
      <c r="P786" s="24" t="s">
        <v>2038</v>
      </c>
      <c r="Q786" s="15" t="s">
        <v>2016</v>
      </c>
      <c r="R786" s="1" t="s">
        <v>2013</v>
      </c>
      <c r="S786" s="15" t="s">
        <v>2082</v>
      </c>
      <c r="T786" s="15" t="s">
        <v>2442</v>
      </c>
      <c r="U786" s="25" t="s">
        <v>2083</v>
      </c>
      <c r="V786" s="25" t="s">
        <v>2436</v>
      </c>
      <c r="W786" s="80">
        <v>45211</v>
      </c>
      <c r="X786" s="21" t="s">
        <v>2821</v>
      </c>
    </row>
    <row r="787" spans="1:24" x14ac:dyDescent="0.2">
      <c r="A787" s="1">
        <v>781</v>
      </c>
      <c r="B787" s="1" t="s">
        <v>557</v>
      </c>
      <c r="C787" s="1" t="s">
        <v>2782</v>
      </c>
      <c r="D787" s="11" t="s">
        <v>556</v>
      </c>
      <c r="E787" s="35" t="s">
        <v>864</v>
      </c>
      <c r="F787" s="66" t="s">
        <v>927</v>
      </c>
      <c r="G787" s="24" t="s">
        <v>2801</v>
      </c>
      <c r="H787" s="15" t="s">
        <v>2789</v>
      </c>
      <c r="I787" s="16">
        <v>44</v>
      </c>
      <c r="J787" s="16" t="str">
        <f t="shared" si="38"/>
        <v>Middle Age</v>
      </c>
      <c r="K787" s="25">
        <v>2</v>
      </c>
      <c r="L787" s="42">
        <v>1350</v>
      </c>
      <c r="M787" s="15">
        <v>650</v>
      </c>
      <c r="N787" s="39">
        <f t="shared" si="36"/>
        <v>2700</v>
      </c>
      <c r="O787" s="39">
        <f t="shared" si="37"/>
        <v>1400</v>
      </c>
      <c r="P787" s="24" t="s">
        <v>2058</v>
      </c>
      <c r="Q787" s="24" t="s">
        <v>2020</v>
      </c>
      <c r="R787" s="1" t="s">
        <v>2013</v>
      </c>
      <c r="S787" s="15" t="s">
        <v>2082</v>
      </c>
      <c r="T787" s="15" t="s">
        <v>2442</v>
      </c>
      <c r="U787" s="25" t="s">
        <v>2085</v>
      </c>
      <c r="V787" s="25" t="s">
        <v>2437</v>
      </c>
      <c r="W787" s="80">
        <v>44928</v>
      </c>
      <c r="X787" s="21" t="s">
        <v>2818</v>
      </c>
    </row>
    <row r="788" spans="1:24" x14ac:dyDescent="0.2">
      <c r="A788" s="1">
        <v>782</v>
      </c>
      <c r="B788" s="1" t="s">
        <v>559</v>
      </c>
      <c r="C788" s="1" t="s">
        <v>2782</v>
      </c>
      <c r="D788" s="11" t="s">
        <v>558</v>
      </c>
      <c r="E788" s="35" t="s">
        <v>822</v>
      </c>
      <c r="F788" s="67" t="s">
        <v>932</v>
      </c>
      <c r="G788" s="24" t="s">
        <v>2803</v>
      </c>
      <c r="H788" s="15" t="s">
        <v>2789</v>
      </c>
      <c r="I788" s="16">
        <v>26</v>
      </c>
      <c r="J788" s="16" t="str">
        <f t="shared" si="38"/>
        <v>Young</v>
      </c>
      <c r="K788" s="25">
        <v>4</v>
      </c>
      <c r="L788" s="42">
        <v>1400</v>
      </c>
      <c r="M788" s="15">
        <v>650</v>
      </c>
      <c r="N788" s="39">
        <f t="shared" si="36"/>
        <v>5600</v>
      </c>
      <c r="O788" s="39">
        <f t="shared" si="37"/>
        <v>3000</v>
      </c>
      <c r="P788" s="24" t="s">
        <v>2038</v>
      </c>
      <c r="Q788" s="15" t="s">
        <v>2016</v>
      </c>
      <c r="R788" s="1" t="s">
        <v>2013</v>
      </c>
      <c r="S788" s="15" t="s">
        <v>2082</v>
      </c>
      <c r="T788" s="15" t="s">
        <v>2442</v>
      </c>
      <c r="U788" s="25" t="s">
        <v>2083</v>
      </c>
      <c r="V788" s="25" t="s">
        <v>2435</v>
      </c>
      <c r="W788" s="80">
        <v>45240</v>
      </c>
      <c r="X788" s="21" t="s">
        <v>2823</v>
      </c>
    </row>
    <row r="789" spans="1:24" x14ac:dyDescent="0.2">
      <c r="A789" s="1">
        <v>783</v>
      </c>
      <c r="B789" s="1" t="s">
        <v>561</v>
      </c>
      <c r="C789" s="1" t="s">
        <v>2782</v>
      </c>
      <c r="D789" s="11" t="s">
        <v>560</v>
      </c>
      <c r="E789" s="15" t="s">
        <v>863</v>
      </c>
      <c r="F789" s="66" t="s">
        <v>881</v>
      </c>
      <c r="G789" s="24" t="s">
        <v>2805</v>
      </c>
      <c r="H789" s="15" t="s">
        <v>2789</v>
      </c>
      <c r="I789" s="16">
        <v>48</v>
      </c>
      <c r="J789" s="16" t="str">
        <f t="shared" si="38"/>
        <v>Middle Age</v>
      </c>
      <c r="K789" s="25">
        <v>1</v>
      </c>
      <c r="L789" s="42">
        <v>1450</v>
      </c>
      <c r="M789" s="15">
        <v>700</v>
      </c>
      <c r="N789" s="39">
        <f t="shared" si="36"/>
        <v>1450</v>
      </c>
      <c r="O789" s="39">
        <f t="shared" si="37"/>
        <v>750</v>
      </c>
      <c r="P789" s="24" t="s">
        <v>2027</v>
      </c>
      <c r="Q789" s="24" t="s">
        <v>2014</v>
      </c>
      <c r="R789" s="1" t="s">
        <v>2013</v>
      </c>
      <c r="S789" s="15" t="s">
        <v>2082</v>
      </c>
      <c r="T789" s="15" t="s">
        <v>2442</v>
      </c>
      <c r="U789" s="25" t="s">
        <v>2086</v>
      </c>
      <c r="V789" s="25" t="s">
        <v>2436</v>
      </c>
      <c r="W789" s="80">
        <v>45250</v>
      </c>
      <c r="X789" s="21" t="s">
        <v>2823</v>
      </c>
    </row>
    <row r="790" spans="1:24" x14ac:dyDescent="0.2">
      <c r="A790" s="1">
        <v>784</v>
      </c>
      <c r="B790" s="1" t="s">
        <v>563</v>
      </c>
      <c r="C790" s="1" t="s">
        <v>2782</v>
      </c>
      <c r="D790" s="11" t="s">
        <v>562</v>
      </c>
      <c r="E790" s="35" t="s">
        <v>864</v>
      </c>
      <c r="F790" s="66" t="s">
        <v>883</v>
      </c>
      <c r="G790" s="24" t="s">
        <v>2807</v>
      </c>
      <c r="H790" s="15" t="s">
        <v>2788</v>
      </c>
      <c r="I790" s="16">
        <v>53</v>
      </c>
      <c r="J790" s="16" t="str">
        <f t="shared" si="38"/>
        <v>Old</v>
      </c>
      <c r="K790" s="25">
        <v>5</v>
      </c>
      <c r="L790" s="42">
        <v>2400</v>
      </c>
      <c r="M790" s="15">
        <v>1200</v>
      </c>
      <c r="N790" s="39">
        <f t="shared" si="36"/>
        <v>12000</v>
      </c>
      <c r="O790" s="39">
        <f t="shared" si="37"/>
        <v>6000</v>
      </c>
      <c r="P790" s="24" t="s">
        <v>2036</v>
      </c>
      <c r="Q790" s="24" t="s">
        <v>2014</v>
      </c>
      <c r="R790" s="1" t="s">
        <v>2013</v>
      </c>
      <c r="S790" s="15" t="s">
        <v>2082</v>
      </c>
      <c r="T790" s="15" t="s">
        <v>2442</v>
      </c>
      <c r="U790" s="25" t="s">
        <v>2083</v>
      </c>
      <c r="V790" s="25" t="s">
        <v>2434</v>
      </c>
      <c r="W790" s="80">
        <v>45262</v>
      </c>
      <c r="X790" s="21" t="s">
        <v>2822</v>
      </c>
    </row>
    <row r="791" spans="1:24" x14ac:dyDescent="0.2">
      <c r="A791" s="1">
        <v>785</v>
      </c>
      <c r="B791" s="1" t="s">
        <v>565</v>
      </c>
      <c r="C791" s="1" t="s">
        <v>2782</v>
      </c>
      <c r="D791" s="11" t="s">
        <v>564</v>
      </c>
      <c r="E791" s="35" t="s">
        <v>823</v>
      </c>
      <c r="F791" s="66" t="s">
        <v>884</v>
      </c>
      <c r="G791" s="24" t="s">
        <v>2809</v>
      </c>
      <c r="H791" s="15" t="s">
        <v>2788</v>
      </c>
      <c r="I791" s="16">
        <v>30</v>
      </c>
      <c r="J791" s="16" t="str">
        <f t="shared" si="38"/>
        <v>Young</v>
      </c>
      <c r="K791" s="25">
        <v>2</v>
      </c>
      <c r="L791" s="42">
        <v>2400</v>
      </c>
      <c r="M791" s="15">
        <v>1200</v>
      </c>
      <c r="N791" s="39">
        <f t="shared" si="36"/>
        <v>4800</v>
      </c>
      <c r="O791" s="39">
        <f t="shared" si="37"/>
        <v>2400</v>
      </c>
      <c r="P791" s="24" t="s">
        <v>2043</v>
      </c>
      <c r="Q791" s="24" t="s">
        <v>2016</v>
      </c>
      <c r="R791" s="1" t="s">
        <v>2013</v>
      </c>
      <c r="S791" s="15" t="s">
        <v>2082</v>
      </c>
      <c r="T791" s="15" t="s">
        <v>2442</v>
      </c>
      <c r="U791" s="25" t="s">
        <v>2089</v>
      </c>
      <c r="V791" s="25" t="s">
        <v>2437</v>
      </c>
      <c r="W791" s="80">
        <v>45281</v>
      </c>
      <c r="X791" s="21" t="s">
        <v>2822</v>
      </c>
    </row>
    <row r="792" spans="1:24" x14ac:dyDescent="0.2">
      <c r="A792" s="1">
        <v>786</v>
      </c>
      <c r="B792" s="1" t="s">
        <v>550</v>
      </c>
      <c r="C792" s="1" t="s">
        <v>2782</v>
      </c>
      <c r="D792" s="11" t="s">
        <v>566</v>
      </c>
      <c r="E792" s="35" t="s">
        <v>823</v>
      </c>
      <c r="F792" s="67" t="s">
        <v>931</v>
      </c>
      <c r="G792" s="24" t="s">
        <v>2794</v>
      </c>
      <c r="H792" s="15" t="s">
        <v>2788</v>
      </c>
      <c r="I792" s="16">
        <v>37</v>
      </c>
      <c r="J792" s="16" t="str">
        <f t="shared" si="38"/>
        <v>Middle Age</v>
      </c>
      <c r="K792" s="25">
        <v>3</v>
      </c>
      <c r="L792" s="42">
        <v>2800</v>
      </c>
      <c r="M792" s="15">
        <v>1400</v>
      </c>
      <c r="N792" s="39">
        <f t="shared" si="36"/>
        <v>8400</v>
      </c>
      <c r="O792" s="39">
        <f t="shared" si="37"/>
        <v>4200</v>
      </c>
      <c r="P792" s="24" t="s">
        <v>2055</v>
      </c>
      <c r="Q792" s="24" t="s">
        <v>2014</v>
      </c>
      <c r="R792" s="1" t="s">
        <v>2013</v>
      </c>
      <c r="S792" s="15" t="s">
        <v>2082</v>
      </c>
      <c r="T792" s="15" t="s">
        <v>2442</v>
      </c>
      <c r="U792" s="25" t="s">
        <v>2083</v>
      </c>
      <c r="V792" s="25" t="s">
        <v>2435</v>
      </c>
      <c r="W792" s="80">
        <v>45127</v>
      </c>
      <c r="X792" s="21" t="s">
        <v>2813</v>
      </c>
    </row>
    <row r="793" spans="1:24" x14ac:dyDescent="0.2">
      <c r="A793" s="1">
        <v>787</v>
      </c>
      <c r="B793" s="1" t="s">
        <v>568</v>
      </c>
      <c r="C793" s="1" t="s">
        <v>2782</v>
      </c>
      <c r="D793" s="11" t="s">
        <v>567</v>
      </c>
      <c r="E793" s="35" t="s">
        <v>863</v>
      </c>
      <c r="F793" s="66" t="s">
        <v>929</v>
      </c>
      <c r="G793" s="24" t="s">
        <v>2792</v>
      </c>
      <c r="H793" s="15" t="s">
        <v>2789</v>
      </c>
      <c r="I793" s="16">
        <v>42</v>
      </c>
      <c r="J793" s="16" t="str">
        <f t="shared" si="38"/>
        <v>Middle Age</v>
      </c>
      <c r="K793" s="25">
        <v>4</v>
      </c>
      <c r="L793" s="42">
        <v>3700</v>
      </c>
      <c r="M793" s="15">
        <v>2480</v>
      </c>
      <c r="N793" s="39">
        <f t="shared" si="36"/>
        <v>14800</v>
      </c>
      <c r="O793" s="39">
        <f t="shared" si="37"/>
        <v>4880</v>
      </c>
      <c r="P793" s="24" t="s">
        <v>2041</v>
      </c>
      <c r="Q793" s="24" t="s">
        <v>2016</v>
      </c>
      <c r="R793" s="1" t="s">
        <v>2013</v>
      </c>
      <c r="S793" s="15" t="s">
        <v>2082</v>
      </c>
      <c r="T793" s="15" t="s">
        <v>2442</v>
      </c>
      <c r="U793" s="25" t="s">
        <v>2089</v>
      </c>
      <c r="V793" s="25" t="s">
        <v>2434</v>
      </c>
      <c r="W793" s="80">
        <v>44957</v>
      </c>
      <c r="X793" s="21" t="s">
        <v>2818</v>
      </c>
    </row>
    <row r="794" spans="1:24" x14ac:dyDescent="0.2">
      <c r="A794" s="1">
        <v>788</v>
      </c>
      <c r="B794" s="1" t="s">
        <v>570</v>
      </c>
      <c r="C794" s="1" t="s">
        <v>2782</v>
      </c>
      <c r="D794" s="11" t="s">
        <v>569</v>
      </c>
      <c r="E794" s="35" t="s">
        <v>822</v>
      </c>
      <c r="F794" s="66" t="s">
        <v>882</v>
      </c>
      <c r="G794" s="24" t="s">
        <v>2796</v>
      </c>
      <c r="H794" s="15" t="s">
        <v>2788</v>
      </c>
      <c r="I794" s="16">
        <v>24</v>
      </c>
      <c r="J794" s="16" t="str">
        <f t="shared" si="38"/>
        <v>Young</v>
      </c>
      <c r="K794" s="25">
        <v>1</v>
      </c>
      <c r="L794" s="42">
        <v>2790</v>
      </c>
      <c r="M794" s="15">
        <v>1190</v>
      </c>
      <c r="N794" s="39">
        <f t="shared" si="36"/>
        <v>2790</v>
      </c>
      <c r="O794" s="39">
        <f t="shared" si="37"/>
        <v>1600</v>
      </c>
      <c r="P794" s="24" t="s">
        <v>2040</v>
      </c>
      <c r="Q794" s="15" t="s">
        <v>2014</v>
      </c>
      <c r="R794" s="1" t="s">
        <v>2013</v>
      </c>
      <c r="S794" s="15" t="s">
        <v>2082</v>
      </c>
      <c r="T794" s="15" t="s">
        <v>2442</v>
      </c>
      <c r="U794" s="25" t="s">
        <v>2089</v>
      </c>
      <c r="V794" s="25" t="s">
        <v>2436</v>
      </c>
      <c r="W794" s="80">
        <v>45204</v>
      </c>
      <c r="X794" s="21" t="s">
        <v>2821</v>
      </c>
    </row>
    <row r="795" spans="1:24" x14ac:dyDescent="0.2">
      <c r="A795" s="1">
        <v>789</v>
      </c>
      <c r="B795" s="1" t="s">
        <v>572</v>
      </c>
      <c r="C795" s="1" t="s">
        <v>2782</v>
      </c>
      <c r="D795" s="11" t="s">
        <v>571</v>
      </c>
      <c r="E795" s="35" t="s">
        <v>863</v>
      </c>
      <c r="F795" s="66" t="s">
        <v>880</v>
      </c>
      <c r="G795" s="24" t="s">
        <v>2798</v>
      </c>
      <c r="H795" s="15" t="s">
        <v>2789</v>
      </c>
      <c r="I795" s="16">
        <v>57</v>
      </c>
      <c r="J795" s="16" t="str">
        <f t="shared" si="38"/>
        <v>Old</v>
      </c>
      <c r="K795" s="25">
        <v>5</v>
      </c>
      <c r="L795" s="42">
        <v>3640</v>
      </c>
      <c r="M795" s="15">
        <v>1540</v>
      </c>
      <c r="N795" s="39">
        <f t="shared" si="36"/>
        <v>18200</v>
      </c>
      <c r="O795" s="39">
        <f t="shared" si="37"/>
        <v>10500</v>
      </c>
      <c r="P795" s="24" t="s">
        <v>2053</v>
      </c>
      <c r="Q795" s="24" t="s">
        <v>2014</v>
      </c>
      <c r="R795" s="1" t="s">
        <v>2013</v>
      </c>
      <c r="S795" s="15" t="s">
        <v>2082</v>
      </c>
      <c r="T795" s="15" t="s">
        <v>2442</v>
      </c>
      <c r="U795" s="25" t="s">
        <v>2089</v>
      </c>
      <c r="V795" s="25" t="s">
        <v>2437</v>
      </c>
      <c r="W795" s="80">
        <v>45162</v>
      </c>
      <c r="X795" s="21" t="s">
        <v>2819</v>
      </c>
    </row>
    <row r="796" spans="1:24" x14ac:dyDescent="0.2">
      <c r="A796" s="1">
        <v>780</v>
      </c>
      <c r="B796" s="1" t="s">
        <v>138</v>
      </c>
      <c r="C796" s="1" t="s">
        <v>2782</v>
      </c>
      <c r="D796" s="11" t="s">
        <v>556</v>
      </c>
      <c r="E796" s="35" t="s">
        <v>822</v>
      </c>
      <c r="F796" s="66" t="s">
        <v>878</v>
      </c>
      <c r="G796" s="24" t="s">
        <v>2800</v>
      </c>
      <c r="H796" s="15" t="s">
        <v>2789</v>
      </c>
      <c r="I796" s="16">
        <v>35</v>
      </c>
      <c r="J796" s="16" t="str">
        <f t="shared" si="38"/>
        <v>Young</v>
      </c>
      <c r="K796" s="25">
        <v>3</v>
      </c>
      <c r="L796" s="42">
        <v>6000</v>
      </c>
      <c r="M796" s="15">
        <v>4000</v>
      </c>
      <c r="N796" s="39">
        <f t="shared" si="36"/>
        <v>18000</v>
      </c>
      <c r="O796" s="39">
        <f t="shared" si="37"/>
        <v>6000</v>
      </c>
      <c r="P796" s="24" t="s">
        <v>2036</v>
      </c>
      <c r="Q796" s="24" t="s">
        <v>2014</v>
      </c>
      <c r="R796" s="1" t="s">
        <v>2013</v>
      </c>
      <c r="S796" s="15" t="s">
        <v>2082</v>
      </c>
      <c r="T796" s="15" t="s">
        <v>2442</v>
      </c>
      <c r="U796" s="25" t="s">
        <v>2088</v>
      </c>
      <c r="V796" s="25" t="s">
        <v>2435</v>
      </c>
      <c r="W796" s="80">
        <v>45241</v>
      </c>
      <c r="X796" s="21" t="s">
        <v>2823</v>
      </c>
    </row>
    <row r="797" spans="1:24" x14ac:dyDescent="0.2">
      <c r="A797" s="1">
        <v>781</v>
      </c>
      <c r="B797" s="1" t="s">
        <v>573</v>
      </c>
      <c r="C797" s="1" t="s">
        <v>2782</v>
      </c>
      <c r="D797" s="11" t="s">
        <v>2670</v>
      </c>
      <c r="E797" s="35" t="s">
        <v>828</v>
      </c>
      <c r="F797" s="66" t="s">
        <v>879</v>
      </c>
      <c r="G797" s="24" t="s">
        <v>2802</v>
      </c>
      <c r="H797" s="15" t="s">
        <v>2788</v>
      </c>
      <c r="I797" s="16">
        <v>40</v>
      </c>
      <c r="J797" s="16" t="str">
        <f t="shared" si="38"/>
        <v>Middle Age</v>
      </c>
      <c r="K797" s="25">
        <v>2</v>
      </c>
      <c r="L797" s="42">
        <v>8700</v>
      </c>
      <c r="M797" s="15">
        <v>5460</v>
      </c>
      <c r="N797" s="39">
        <f t="shared" si="36"/>
        <v>17400</v>
      </c>
      <c r="O797" s="39">
        <f t="shared" si="37"/>
        <v>6480</v>
      </c>
      <c r="P797" s="24" t="s">
        <v>2037</v>
      </c>
      <c r="Q797" s="24" t="s">
        <v>2014</v>
      </c>
      <c r="R797" s="1" t="s">
        <v>2013</v>
      </c>
      <c r="S797" s="15" t="s">
        <v>2082</v>
      </c>
      <c r="T797" s="15" t="s">
        <v>2442</v>
      </c>
      <c r="U797" s="25" t="s">
        <v>2086</v>
      </c>
      <c r="V797" s="25" t="s">
        <v>2436</v>
      </c>
      <c r="W797" s="80">
        <v>44994</v>
      </c>
      <c r="X797" s="21" t="s">
        <v>2816</v>
      </c>
    </row>
    <row r="798" spans="1:24" x14ac:dyDescent="0.2">
      <c r="A798" s="1">
        <v>782</v>
      </c>
      <c r="B798" s="1" t="s">
        <v>574</v>
      </c>
      <c r="C798" s="1" t="s">
        <v>2782</v>
      </c>
      <c r="D798" s="11" t="s">
        <v>2671</v>
      </c>
      <c r="E798" s="15" t="s">
        <v>863</v>
      </c>
      <c r="F798" s="66" t="s">
        <v>880</v>
      </c>
      <c r="G798" s="24" t="s">
        <v>2804</v>
      </c>
      <c r="H798" s="15" t="s">
        <v>2789</v>
      </c>
      <c r="I798" s="16">
        <v>21</v>
      </c>
      <c r="J798" s="16" t="str">
        <f t="shared" si="38"/>
        <v>Young</v>
      </c>
      <c r="K798" s="25">
        <v>4</v>
      </c>
      <c r="L798" s="42">
        <v>2920</v>
      </c>
      <c r="M798" s="15">
        <v>920</v>
      </c>
      <c r="N798" s="39">
        <f t="shared" si="36"/>
        <v>11680</v>
      </c>
      <c r="O798" s="39">
        <f t="shared" si="37"/>
        <v>8000</v>
      </c>
      <c r="P798" s="24" t="s">
        <v>2051</v>
      </c>
      <c r="Q798" s="15" t="s">
        <v>2828</v>
      </c>
      <c r="R798" s="1" t="s">
        <v>2013</v>
      </c>
      <c r="S798" s="15" t="s">
        <v>2082</v>
      </c>
      <c r="T798" s="15" t="s">
        <v>2442</v>
      </c>
      <c r="U798" s="25" t="s">
        <v>2088</v>
      </c>
      <c r="V798" s="25" t="s">
        <v>2434</v>
      </c>
      <c r="W798" s="80">
        <v>45040</v>
      </c>
      <c r="X798" s="21" t="s">
        <v>2815</v>
      </c>
    </row>
    <row r="799" spans="1:24" x14ac:dyDescent="0.2">
      <c r="A799" s="1">
        <v>783</v>
      </c>
      <c r="B799" s="1" t="s">
        <v>575</v>
      </c>
      <c r="C799" s="1" t="s">
        <v>2782</v>
      </c>
      <c r="D799" s="11" t="s">
        <v>2554</v>
      </c>
      <c r="E799" s="15" t="s">
        <v>864</v>
      </c>
      <c r="F799" s="66" t="s">
        <v>881</v>
      </c>
      <c r="G799" s="24" t="s">
        <v>2806</v>
      </c>
      <c r="H799" s="15" t="s">
        <v>2789</v>
      </c>
      <c r="I799" s="16">
        <v>59</v>
      </c>
      <c r="J799" s="16" t="str">
        <f t="shared" si="38"/>
        <v>Old</v>
      </c>
      <c r="K799" s="25">
        <v>1</v>
      </c>
      <c r="L799" s="42">
        <v>2750</v>
      </c>
      <c r="M799" s="15">
        <v>1450</v>
      </c>
      <c r="N799" s="39">
        <f t="shared" si="36"/>
        <v>2750</v>
      </c>
      <c r="O799" s="39">
        <f t="shared" si="37"/>
        <v>1300</v>
      </c>
      <c r="P799" s="24" t="s">
        <v>2029</v>
      </c>
      <c r="Q799" s="24" t="s">
        <v>2016</v>
      </c>
      <c r="R799" s="1" t="s">
        <v>2013</v>
      </c>
      <c r="S799" s="15" t="s">
        <v>2082</v>
      </c>
      <c r="T799" s="15" t="s">
        <v>2442</v>
      </c>
      <c r="U799" s="25" t="s">
        <v>2088</v>
      </c>
      <c r="V799" s="25" t="s">
        <v>2437</v>
      </c>
      <c r="W799" s="80">
        <v>44967</v>
      </c>
      <c r="X799" s="21" t="s">
        <v>2817</v>
      </c>
    </row>
    <row r="800" spans="1:24" x14ac:dyDescent="0.2">
      <c r="A800" s="1">
        <v>784</v>
      </c>
      <c r="B800" s="1" t="s">
        <v>577</v>
      </c>
      <c r="C800" s="1" t="s">
        <v>2782</v>
      </c>
      <c r="D800" s="11" t="s">
        <v>576</v>
      </c>
      <c r="E800" s="15" t="s">
        <v>822</v>
      </c>
      <c r="F800" s="66" t="s">
        <v>882</v>
      </c>
      <c r="G800" s="24" t="s">
        <v>2808</v>
      </c>
      <c r="H800" s="15" t="s">
        <v>2788</v>
      </c>
      <c r="I800" s="16">
        <v>34</v>
      </c>
      <c r="J800" s="16" t="str">
        <f t="shared" si="38"/>
        <v>Young</v>
      </c>
      <c r="K800" s="25">
        <v>5</v>
      </c>
      <c r="L800" s="42">
        <v>3780</v>
      </c>
      <c r="M800" s="15">
        <v>1780</v>
      </c>
      <c r="N800" s="39">
        <f t="shared" si="36"/>
        <v>18900</v>
      </c>
      <c r="O800" s="39">
        <f t="shared" si="37"/>
        <v>10000</v>
      </c>
      <c r="P800" s="24" t="s">
        <v>2036</v>
      </c>
      <c r="Q800" s="24" t="s">
        <v>2014</v>
      </c>
      <c r="R800" s="1" t="s">
        <v>2013</v>
      </c>
      <c r="S800" s="15" t="s">
        <v>2082</v>
      </c>
      <c r="T800" s="15" t="s">
        <v>2442</v>
      </c>
      <c r="U800" s="25" t="s">
        <v>2084</v>
      </c>
      <c r="V800" s="25" t="s">
        <v>2435</v>
      </c>
      <c r="W800" s="80">
        <v>45243</v>
      </c>
      <c r="X800" s="21" t="s">
        <v>2823</v>
      </c>
    </row>
    <row r="801" spans="1:24" x14ac:dyDescent="0.2">
      <c r="A801" s="1">
        <v>785</v>
      </c>
      <c r="B801" s="1" t="s">
        <v>34</v>
      </c>
      <c r="C801" s="1" t="s">
        <v>2782</v>
      </c>
      <c r="D801" s="11" t="s">
        <v>578</v>
      </c>
      <c r="E801" s="15" t="s">
        <v>823</v>
      </c>
      <c r="F801" s="66" t="s">
        <v>881</v>
      </c>
      <c r="G801" s="24" t="s">
        <v>2810</v>
      </c>
      <c r="H801" s="15" t="s">
        <v>2789</v>
      </c>
      <c r="I801" s="16">
        <v>27</v>
      </c>
      <c r="J801" s="16" t="str">
        <f t="shared" si="38"/>
        <v>Young</v>
      </c>
      <c r="K801" s="25">
        <v>2</v>
      </c>
      <c r="L801" s="42">
        <v>3550</v>
      </c>
      <c r="M801" s="15">
        <v>1570</v>
      </c>
      <c r="N801" s="39">
        <f t="shared" si="36"/>
        <v>7100</v>
      </c>
      <c r="O801" s="39">
        <f t="shared" si="37"/>
        <v>3960</v>
      </c>
      <c r="P801" s="24" t="s">
        <v>2022</v>
      </c>
      <c r="Q801" s="24" t="s">
        <v>2016</v>
      </c>
      <c r="R801" s="1" t="s">
        <v>2013</v>
      </c>
      <c r="S801" s="15" t="s">
        <v>2082</v>
      </c>
      <c r="T801" s="15" t="s">
        <v>2442</v>
      </c>
      <c r="U801" s="25" t="s">
        <v>2089</v>
      </c>
      <c r="V801" s="25" t="s">
        <v>2434</v>
      </c>
      <c r="W801" s="80">
        <v>45230</v>
      </c>
      <c r="X801" s="21" t="s">
        <v>2821</v>
      </c>
    </row>
    <row r="802" spans="1:24" x14ac:dyDescent="0.2">
      <c r="A802" s="1">
        <v>786</v>
      </c>
      <c r="B802" s="1" t="s">
        <v>555</v>
      </c>
      <c r="C802" s="1" t="s">
        <v>2782</v>
      </c>
      <c r="D802" s="11" t="s">
        <v>579</v>
      </c>
      <c r="E802" s="35" t="s">
        <v>822</v>
      </c>
      <c r="F802" s="66" t="s">
        <v>883</v>
      </c>
      <c r="G802" s="24" t="s">
        <v>2793</v>
      </c>
      <c r="H802" s="15" t="s">
        <v>2788</v>
      </c>
      <c r="I802" s="16">
        <v>45</v>
      </c>
      <c r="J802" s="16" t="str">
        <f t="shared" si="38"/>
        <v>Middle Age</v>
      </c>
      <c r="K802" s="25">
        <v>3</v>
      </c>
      <c r="L802" s="42">
        <v>2320</v>
      </c>
      <c r="M802" s="15">
        <v>1220</v>
      </c>
      <c r="N802" s="39">
        <f t="shared" si="36"/>
        <v>6960</v>
      </c>
      <c r="O802" s="39">
        <f t="shared" si="37"/>
        <v>3300</v>
      </c>
      <c r="P802" s="24" t="s">
        <v>2018</v>
      </c>
      <c r="Q802" s="15" t="s">
        <v>2828</v>
      </c>
      <c r="R802" s="1" t="s">
        <v>2013</v>
      </c>
      <c r="S802" s="15" t="s">
        <v>2082</v>
      </c>
      <c r="T802" s="15" t="s">
        <v>2442</v>
      </c>
      <c r="U802" s="25" t="s">
        <v>2086</v>
      </c>
      <c r="V802" s="25" t="s">
        <v>2436</v>
      </c>
      <c r="W802" s="80">
        <v>45158</v>
      </c>
      <c r="X802" s="21" t="s">
        <v>2819</v>
      </c>
    </row>
    <row r="803" spans="1:24" x14ac:dyDescent="0.2">
      <c r="A803" s="1">
        <v>787</v>
      </c>
      <c r="B803" s="1" t="s">
        <v>117</v>
      </c>
      <c r="C803" s="1" t="s">
        <v>2782</v>
      </c>
      <c r="D803" s="11" t="s">
        <v>580</v>
      </c>
      <c r="E803" s="35" t="s">
        <v>864</v>
      </c>
      <c r="F803" s="66" t="s">
        <v>884</v>
      </c>
      <c r="G803" s="24" t="s">
        <v>2791</v>
      </c>
      <c r="H803" s="15" t="s">
        <v>2788</v>
      </c>
      <c r="I803" s="16">
        <v>52</v>
      </c>
      <c r="J803" s="16" t="str">
        <f t="shared" si="38"/>
        <v>Old</v>
      </c>
      <c r="K803" s="25">
        <v>4</v>
      </c>
      <c r="L803" s="42">
        <v>1890</v>
      </c>
      <c r="M803" s="15">
        <v>890</v>
      </c>
      <c r="N803" s="39">
        <f t="shared" si="36"/>
        <v>7560</v>
      </c>
      <c r="O803" s="39">
        <f t="shared" si="37"/>
        <v>4000</v>
      </c>
      <c r="P803" s="24" t="s">
        <v>2056</v>
      </c>
      <c r="Q803" s="24" t="s">
        <v>2024</v>
      </c>
      <c r="R803" s="1" t="s">
        <v>2013</v>
      </c>
      <c r="S803" s="15" t="s">
        <v>2082</v>
      </c>
      <c r="T803" s="15" t="s">
        <v>2442</v>
      </c>
      <c r="U803" s="25" t="s">
        <v>2083</v>
      </c>
      <c r="V803" s="25" t="s">
        <v>2437</v>
      </c>
      <c r="W803" s="80">
        <v>45029</v>
      </c>
      <c r="X803" s="21" t="s">
        <v>2815</v>
      </c>
    </row>
    <row r="804" spans="1:24" x14ac:dyDescent="0.2">
      <c r="A804" s="1">
        <v>788</v>
      </c>
      <c r="B804" s="1" t="s">
        <v>582</v>
      </c>
      <c r="C804" s="1" t="s">
        <v>2782</v>
      </c>
      <c r="D804" s="1" t="s">
        <v>581</v>
      </c>
      <c r="E804" s="15" t="s">
        <v>863</v>
      </c>
      <c r="F804" s="67" t="s">
        <v>931</v>
      </c>
      <c r="G804" s="24" t="s">
        <v>2795</v>
      </c>
      <c r="H804" s="15" t="s">
        <v>2788</v>
      </c>
      <c r="I804" s="16">
        <v>23</v>
      </c>
      <c r="J804" s="16" t="str">
        <f t="shared" si="38"/>
        <v>Young</v>
      </c>
      <c r="K804" s="25">
        <v>1</v>
      </c>
      <c r="L804" s="42">
        <v>3350</v>
      </c>
      <c r="M804" s="15">
        <v>1850</v>
      </c>
      <c r="N804" s="39">
        <f t="shared" si="36"/>
        <v>3350</v>
      </c>
      <c r="O804" s="39">
        <f t="shared" si="37"/>
        <v>1500</v>
      </c>
      <c r="P804" s="24" t="s">
        <v>2047</v>
      </c>
      <c r="Q804" s="24" t="s">
        <v>2024</v>
      </c>
      <c r="R804" s="1" t="s">
        <v>2013</v>
      </c>
      <c r="S804" s="15" t="s">
        <v>2082</v>
      </c>
      <c r="T804" s="15" t="s">
        <v>2442</v>
      </c>
      <c r="U804" s="25" t="s">
        <v>2087</v>
      </c>
      <c r="V804" s="25" t="s">
        <v>2435</v>
      </c>
      <c r="W804" s="80">
        <v>45099</v>
      </c>
      <c r="X804" s="21" t="s">
        <v>2814</v>
      </c>
    </row>
    <row r="805" spans="1:24" x14ac:dyDescent="0.2">
      <c r="A805" s="1">
        <v>789</v>
      </c>
      <c r="B805" s="1" t="s">
        <v>583</v>
      </c>
      <c r="C805" s="1" t="s">
        <v>2782</v>
      </c>
      <c r="D805" s="11" t="s">
        <v>2560</v>
      </c>
      <c r="E805" s="15" t="s">
        <v>864</v>
      </c>
      <c r="F805" s="66" t="s">
        <v>929</v>
      </c>
      <c r="G805" s="24" t="s">
        <v>2797</v>
      </c>
      <c r="H805" s="15" t="s">
        <v>2789</v>
      </c>
      <c r="I805" s="16">
        <v>38</v>
      </c>
      <c r="J805" s="16" t="str">
        <f t="shared" si="38"/>
        <v>Middle Age</v>
      </c>
      <c r="K805" s="25">
        <v>5</v>
      </c>
      <c r="L805" s="42">
        <f>1680+220</f>
        <v>1900</v>
      </c>
      <c r="M805" s="15">
        <f>680+90</f>
        <v>770</v>
      </c>
      <c r="N805" s="39">
        <f t="shared" si="36"/>
        <v>9500</v>
      </c>
      <c r="O805" s="39">
        <f t="shared" si="37"/>
        <v>5650</v>
      </c>
      <c r="P805" s="24" t="s">
        <v>2050</v>
      </c>
      <c r="Q805" s="24" t="s">
        <v>2024</v>
      </c>
      <c r="R805" s="1" t="s">
        <v>2013</v>
      </c>
      <c r="S805" s="15" t="s">
        <v>2082</v>
      </c>
      <c r="T805" s="15" t="s">
        <v>2442</v>
      </c>
      <c r="U805" s="25" t="s">
        <v>2087</v>
      </c>
      <c r="V805" s="25" t="s">
        <v>2436</v>
      </c>
      <c r="W805" s="80">
        <v>45193</v>
      </c>
      <c r="X805" s="21" t="s">
        <v>2820</v>
      </c>
    </row>
    <row r="806" spans="1:24" x14ac:dyDescent="0.2">
      <c r="A806" s="1">
        <v>790</v>
      </c>
      <c r="B806" s="1" t="s">
        <v>585</v>
      </c>
      <c r="C806" s="1" t="s">
        <v>2782</v>
      </c>
      <c r="D806" s="11" t="s">
        <v>584</v>
      </c>
      <c r="E806" s="15" t="s">
        <v>822</v>
      </c>
      <c r="F806" s="66" t="s">
        <v>882</v>
      </c>
      <c r="G806" s="24" t="s">
        <v>2799</v>
      </c>
      <c r="H806" s="15" t="s">
        <v>2788</v>
      </c>
      <c r="I806" s="16">
        <v>41</v>
      </c>
      <c r="J806" s="16" t="str">
        <f t="shared" si="38"/>
        <v>Middle Age</v>
      </c>
      <c r="K806" s="25">
        <v>5</v>
      </c>
      <c r="L806" s="42">
        <v>1760</v>
      </c>
      <c r="M806" s="15">
        <v>800</v>
      </c>
      <c r="N806" s="39">
        <f t="shared" si="36"/>
        <v>8800</v>
      </c>
      <c r="O806" s="39">
        <f t="shared" si="37"/>
        <v>4800</v>
      </c>
      <c r="P806" s="24" t="s">
        <v>2060</v>
      </c>
      <c r="Q806" s="24" t="s">
        <v>2024</v>
      </c>
      <c r="R806" s="1" t="s">
        <v>2013</v>
      </c>
      <c r="S806" s="15" t="s">
        <v>2082</v>
      </c>
      <c r="T806" s="15" t="s">
        <v>2442</v>
      </c>
      <c r="U806" s="25" t="s">
        <v>2085</v>
      </c>
      <c r="V806" s="25" t="s">
        <v>2434</v>
      </c>
      <c r="W806" s="80">
        <v>45203</v>
      </c>
      <c r="X806" s="21" t="s">
        <v>2821</v>
      </c>
    </row>
    <row r="807" spans="1:24" x14ac:dyDescent="0.2">
      <c r="A807" s="1">
        <v>791</v>
      </c>
      <c r="B807" s="1" t="s">
        <v>51</v>
      </c>
      <c r="C807" s="1" t="s">
        <v>2782</v>
      </c>
      <c r="D807" s="11" t="s">
        <v>586</v>
      </c>
      <c r="E807" s="15" t="s">
        <v>823</v>
      </c>
      <c r="F807" s="66" t="s">
        <v>930</v>
      </c>
      <c r="G807" s="24" t="s">
        <v>2801</v>
      </c>
      <c r="H807" s="15" t="s">
        <v>2788</v>
      </c>
      <c r="I807" s="16">
        <v>29</v>
      </c>
      <c r="J807" s="16" t="str">
        <f t="shared" si="38"/>
        <v>Young</v>
      </c>
      <c r="K807" s="25">
        <v>3</v>
      </c>
      <c r="L807" s="42">
        <v>2400</v>
      </c>
      <c r="M807" s="15">
        <v>1400</v>
      </c>
      <c r="N807" s="39">
        <f t="shared" si="36"/>
        <v>7200</v>
      </c>
      <c r="O807" s="39">
        <f t="shared" si="37"/>
        <v>3000</v>
      </c>
      <c r="P807" s="24" t="s">
        <v>2038</v>
      </c>
      <c r="Q807" s="15" t="s">
        <v>2016</v>
      </c>
      <c r="R807" s="1" t="s">
        <v>2013</v>
      </c>
      <c r="S807" s="15" t="s">
        <v>2082</v>
      </c>
      <c r="T807" s="15" t="s">
        <v>2442</v>
      </c>
      <c r="U807" s="25" t="s">
        <v>2088</v>
      </c>
      <c r="V807" s="25" t="s">
        <v>2437</v>
      </c>
      <c r="W807" s="80">
        <v>45001</v>
      </c>
      <c r="X807" s="21" t="s">
        <v>2816</v>
      </c>
    </row>
    <row r="808" spans="1:24" x14ac:dyDescent="0.2">
      <c r="A808" s="1">
        <v>792</v>
      </c>
      <c r="B808" s="1" t="s">
        <v>67</v>
      </c>
      <c r="C808" s="1" t="s">
        <v>2782</v>
      </c>
      <c r="D808" s="1" t="s">
        <v>587</v>
      </c>
      <c r="E808" s="15" t="s">
        <v>828</v>
      </c>
      <c r="F808" s="67" t="s">
        <v>915</v>
      </c>
      <c r="G808" s="24" t="s">
        <v>2803</v>
      </c>
      <c r="H808" s="15" t="s">
        <v>2788</v>
      </c>
      <c r="I808" s="16">
        <v>60</v>
      </c>
      <c r="J808" s="16" t="str">
        <f t="shared" si="38"/>
        <v>Old</v>
      </c>
      <c r="K808" s="25">
        <v>2</v>
      </c>
      <c r="L808" s="42">
        <v>3790</v>
      </c>
      <c r="M808" s="15">
        <v>1690</v>
      </c>
      <c r="N808" s="39">
        <f t="shared" si="36"/>
        <v>7580</v>
      </c>
      <c r="O808" s="39">
        <f t="shared" si="37"/>
        <v>4200</v>
      </c>
      <c r="P808" s="24" t="s">
        <v>2027</v>
      </c>
      <c r="Q808" s="24" t="s">
        <v>2014</v>
      </c>
      <c r="R808" s="1" t="s">
        <v>2013</v>
      </c>
      <c r="S808" s="15" t="s">
        <v>2082</v>
      </c>
      <c r="T808" s="15" t="s">
        <v>2442</v>
      </c>
      <c r="U808" s="25" t="s">
        <v>2086</v>
      </c>
      <c r="V808" s="25" t="s">
        <v>2435</v>
      </c>
      <c r="W808" s="80">
        <v>45225</v>
      </c>
      <c r="X808" s="21" t="s">
        <v>2821</v>
      </c>
    </row>
    <row r="809" spans="1:24" x14ac:dyDescent="0.2">
      <c r="A809" s="1">
        <v>793</v>
      </c>
      <c r="B809" s="1" t="s">
        <v>589</v>
      </c>
      <c r="C809" s="1" t="s">
        <v>2782</v>
      </c>
      <c r="D809" s="11" t="s">
        <v>588</v>
      </c>
      <c r="E809" s="15" t="s">
        <v>822</v>
      </c>
      <c r="F809" s="66" t="s">
        <v>920</v>
      </c>
      <c r="G809" s="24" t="s">
        <v>2805</v>
      </c>
      <c r="H809" s="15" t="s">
        <v>2789</v>
      </c>
      <c r="I809" s="16">
        <v>33</v>
      </c>
      <c r="J809" s="16" t="str">
        <f t="shared" si="38"/>
        <v>Young</v>
      </c>
      <c r="K809" s="25">
        <v>4</v>
      </c>
      <c r="L809" s="42">
        <v>5530</v>
      </c>
      <c r="M809" s="15">
        <v>2530</v>
      </c>
      <c r="N809" s="39">
        <f t="shared" si="36"/>
        <v>22120</v>
      </c>
      <c r="O809" s="39">
        <f t="shared" si="37"/>
        <v>12000</v>
      </c>
      <c r="P809" s="24" t="s">
        <v>2046</v>
      </c>
      <c r="Q809" s="24" t="s">
        <v>2016</v>
      </c>
      <c r="R809" s="1" t="s">
        <v>2013</v>
      </c>
      <c r="S809" s="15" t="s">
        <v>2082</v>
      </c>
      <c r="T809" s="15" t="s">
        <v>2442</v>
      </c>
      <c r="U809" s="25" t="s">
        <v>2086</v>
      </c>
      <c r="V809" s="25" t="s">
        <v>2434</v>
      </c>
      <c r="W809" s="80">
        <v>45246</v>
      </c>
      <c r="X809" s="21" t="s">
        <v>2823</v>
      </c>
    </row>
    <row r="810" spans="1:24" x14ac:dyDescent="0.2">
      <c r="A810" s="1">
        <v>794</v>
      </c>
      <c r="B810" s="1" t="s">
        <v>590</v>
      </c>
      <c r="C810" s="1" t="s">
        <v>2782</v>
      </c>
      <c r="D810" s="1" t="s">
        <v>2672</v>
      </c>
      <c r="E810" s="15" t="s">
        <v>828</v>
      </c>
      <c r="F810" s="67" t="s">
        <v>921</v>
      </c>
      <c r="G810" s="24" t="s">
        <v>2807</v>
      </c>
      <c r="H810" s="15" t="s">
        <v>2789</v>
      </c>
      <c r="I810" s="16">
        <v>22</v>
      </c>
      <c r="J810" s="16" t="str">
        <f t="shared" si="38"/>
        <v>Young</v>
      </c>
      <c r="K810" s="25">
        <v>1</v>
      </c>
      <c r="L810" s="42">
        <v>5150</v>
      </c>
      <c r="M810" s="15">
        <v>2050</v>
      </c>
      <c r="N810" s="39">
        <f t="shared" si="36"/>
        <v>5150</v>
      </c>
      <c r="O810" s="39">
        <f t="shared" si="37"/>
        <v>3100</v>
      </c>
      <c r="P810" s="24" t="s">
        <v>2023</v>
      </c>
      <c r="Q810" s="15" t="s">
        <v>2828</v>
      </c>
      <c r="R810" s="1" t="s">
        <v>2013</v>
      </c>
      <c r="S810" s="15" t="s">
        <v>2082</v>
      </c>
      <c r="T810" s="15" t="s">
        <v>2442</v>
      </c>
      <c r="U810" s="25" t="s">
        <v>2090</v>
      </c>
      <c r="V810" s="25" t="s">
        <v>2436</v>
      </c>
      <c r="W810" s="80">
        <v>45203</v>
      </c>
      <c r="X810" s="21" t="s">
        <v>2821</v>
      </c>
    </row>
    <row r="811" spans="1:24" x14ac:dyDescent="0.2">
      <c r="A811" s="1">
        <v>795</v>
      </c>
      <c r="B811" s="1" t="s">
        <v>633</v>
      </c>
      <c r="C811" s="1" t="s">
        <v>2782</v>
      </c>
      <c r="D811" s="11" t="s">
        <v>894</v>
      </c>
      <c r="E811" s="15" t="s">
        <v>823</v>
      </c>
      <c r="F811" s="66" t="s">
        <v>930</v>
      </c>
      <c r="G811" s="24" t="s">
        <v>2809</v>
      </c>
      <c r="H811" s="15" t="s">
        <v>2788</v>
      </c>
      <c r="I811" s="16">
        <v>47</v>
      </c>
      <c r="J811" s="16" t="str">
        <f t="shared" si="38"/>
        <v>Middle Age</v>
      </c>
      <c r="K811" s="25">
        <v>5</v>
      </c>
      <c r="L811" s="42">
        <v>3500</v>
      </c>
      <c r="M811" s="15">
        <v>1880</v>
      </c>
      <c r="N811" s="39">
        <f t="shared" si="36"/>
        <v>17500</v>
      </c>
      <c r="O811" s="39">
        <f t="shared" si="37"/>
        <v>8100</v>
      </c>
      <c r="P811" s="24" t="s">
        <v>2019</v>
      </c>
      <c r="Q811" s="24" t="s">
        <v>2014</v>
      </c>
      <c r="R811" s="1" t="s">
        <v>2013</v>
      </c>
      <c r="S811" s="15" t="s">
        <v>2082</v>
      </c>
      <c r="T811" s="15" t="s">
        <v>2442</v>
      </c>
      <c r="U811" s="25" t="s">
        <v>2083</v>
      </c>
      <c r="V811" s="25" t="s">
        <v>2437</v>
      </c>
      <c r="W811" s="80">
        <v>45150</v>
      </c>
      <c r="X811" s="21" t="s">
        <v>2819</v>
      </c>
    </row>
    <row r="812" spans="1:24" x14ac:dyDescent="0.2">
      <c r="A812" s="1">
        <v>796</v>
      </c>
      <c r="B812" s="1" t="s">
        <v>157</v>
      </c>
      <c r="C812" s="1" t="s">
        <v>2782</v>
      </c>
      <c r="D812" s="11" t="s">
        <v>591</v>
      </c>
      <c r="E812" s="15" t="s">
        <v>823</v>
      </c>
      <c r="F812" s="67" t="s">
        <v>915</v>
      </c>
      <c r="G812" s="24" t="s">
        <v>2794</v>
      </c>
      <c r="H812" s="15" t="s">
        <v>2788</v>
      </c>
      <c r="I812" s="16">
        <v>55</v>
      </c>
      <c r="J812" s="16" t="str">
        <f t="shared" si="38"/>
        <v>Old</v>
      </c>
      <c r="K812" s="25">
        <v>2</v>
      </c>
      <c r="L812" s="42">
        <v>3950</v>
      </c>
      <c r="M812" s="15">
        <v>1950</v>
      </c>
      <c r="N812" s="39">
        <f t="shared" si="36"/>
        <v>7900</v>
      </c>
      <c r="O812" s="39">
        <f t="shared" si="37"/>
        <v>4000</v>
      </c>
      <c r="P812" s="24" t="s">
        <v>2043</v>
      </c>
      <c r="Q812" s="24" t="s">
        <v>2016</v>
      </c>
      <c r="R812" s="1" t="s">
        <v>2013</v>
      </c>
      <c r="S812" s="15" t="s">
        <v>2082</v>
      </c>
      <c r="T812" s="15" t="s">
        <v>2442</v>
      </c>
      <c r="U812" s="25" t="s">
        <v>2088</v>
      </c>
      <c r="V812" s="25" t="s">
        <v>2435</v>
      </c>
      <c r="W812" s="80">
        <v>44941</v>
      </c>
      <c r="X812" s="21" t="s">
        <v>2818</v>
      </c>
    </row>
    <row r="813" spans="1:24" x14ac:dyDescent="0.2">
      <c r="A813" s="1">
        <v>797</v>
      </c>
      <c r="B813" s="1" t="s">
        <v>592</v>
      </c>
      <c r="C813" s="1" t="s">
        <v>2782</v>
      </c>
      <c r="D813" s="11" t="s">
        <v>2673</v>
      </c>
      <c r="E813" s="15" t="s">
        <v>828</v>
      </c>
      <c r="F813" s="66" t="s">
        <v>920</v>
      </c>
      <c r="G813" s="24" t="s">
        <v>2792</v>
      </c>
      <c r="H813" s="15" t="s">
        <v>2789</v>
      </c>
      <c r="I813" s="16">
        <v>36</v>
      </c>
      <c r="J813" s="16" t="str">
        <f t="shared" si="38"/>
        <v>Middle Age</v>
      </c>
      <c r="K813" s="25">
        <v>3</v>
      </c>
      <c r="L813" s="42">
        <f>5980+550</f>
        <v>6530</v>
      </c>
      <c r="M813" s="15">
        <f>2290+450</f>
        <v>2740</v>
      </c>
      <c r="N813" s="39">
        <f t="shared" si="36"/>
        <v>19590</v>
      </c>
      <c r="O813" s="39">
        <f t="shared" si="37"/>
        <v>11370</v>
      </c>
      <c r="P813" s="24" t="s">
        <v>2051</v>
      </c>
      <c r="Q813" s="15" t="s">
        <v>2828</v>
      </c>
      <c r="R813" s="1" t="s">
        <v>2013</v>
      </c>
      <c r="S813" s="15" t="s">
        <v>2082</v>
      </c>
      <c r="T813" s="15" t="s">
        <v>2442</v>
      </c>
      <c r="U813" s="25" t="s">
        <v>2089</v>
      </c>
      <c r="V813" s="25" t="s">
        <v>2436</v>
      </c>
      <c r="W813" s="80">
        <v>44961</v>
      </c>
      <c r="X813" s="21" t="s">
        <v>2817</v>
      </c>
    </row>
    <row r="814" spans="1:24" x14ac:dyDescent="0.2">
      <c r="A814" s="1">
        <v>798</v>
      </c>
      <c r="B814" s="15" t="s">
        <v>843</v>
      </c>
      <c r="C814" s="1" t="s">
        <v>2782</v>
      </c>
      <c r="D814" s="11" t="s">
        <v>2674</v>
      </c>
      <c r="E814" s="15" t="s">
        <v>822</v>
      </c>
      <c r="F814" s="67" t="s">
        <v>921</v>
      </c>
      <c r="G814" s="24" t="s">
        <v>2796</v>
      </c>
      <c r="H814" s="15" t="s">
        <v>2789</v>
      </c>
      <c r="I814" s="16">
        <v>28</v>
      </c>
      <c r="J814" s="16" t="str">
        <f t="shared" si="38"/>
        <v>Young</v>
      </c>
      <c r="K814" s="25">
        <v>4</v>
      </c>
      <c r="L814" s="42">
        <f>3740+550</f>
        <v>4290</v>
      </c>
      <c r="M814" s="15">
        <f>1840+450</f>
        <v>2290</v>
      </c>
      <c r="N814" s="39">
        <f t="shared" si="36"/>
        <v>17160</v>
      </c>
      <c r="O814" s="39">
        <f t="shared" si="37"/>
        <v>8000</v>
      </c>
      <c r="P814" s="24" t="s">
        <v>2018</v>
      </c>
      <c r="Q814" s="15" t="s">
        <v>2828</v>
      </c>
      <c r="R814" s="1" t="s">
        <v>2013</v>
      </c>
      <c r="S814" s="15" t="s">
        <v>2082</v>
      </c>
      <c r="T814" s="15" t="s">
        <v>2442</v>
      </c>
      <c r="U814" s="25" t="s">
        <v>2085</v>
      </c>
      <c r="V814" s="25" t="s">
        <v>2434</v>
      </c>
      <c r="W814" s="80">
        <v>45074</v>
      </c>
      <c r="X814" s="21" t="s">
        <v>2786</v>
      </c>
    </row>
    <row r="815" spans="1:24" x14ac:dyDescent="0.2">
      <c r="A815" s="1">
        <v>799</v>
      </c>
      <c r="B815" s="1" t="s">
        <v>593</v>
      </c>
      <c r="C815" s="1" t="s">
        <v>2782</v>
      </c>
      <c r="D815" s="11" t="s">
        <v>2675</v>
      </c>
      <c r="E815" s="15" t="s">
        <v>817</v>
      </c>
      <c r="F815" s="67" t="s">
        <v>922</v>
      </c>
      <c r="G815" s="24" t="s">
        <v>2798</v>
      </c>
      <c r="H815" s="15" t="s">
        <v>2788</v>
      </c>
      <c r="I815" s="16">
        <v>50</v>
      </c>
      <c r="J815" s="16" t="str">
        <f t="shared" si="38"/>
        <v>Old</v>
      </c>
      <c r="K815" s="25">
        <v>1</v>
      </c>
      <c r="L815" s="42">
        <f>2350+550</f>
        <v>2900</v>
      </c>
      <c r="M815" s="15">
        <f>1450+450</f>
        <v>1900</v>
      </c>
      <c r="N815" s="39">
        <f t="shared" si="36"/>
        <v>2900</v>
      </c>
      <c r="O815" s="39">
        <f t="shared" si="37"/>
        <v>1000</v>
      </c>
      <c r="P815" s="24" t="s">
        <v>2053</v>
      </c>
      <c r="Q815" s="24" t="s">
        <v>2014</v>
      </c>
      <c r="R815" s="1" t="s">
        <v>2013</v>
      </c>
      <c r="S815" s="15" t="s">
        <v>2082</v>
      </c>
      <c r="T815" s="15" t="s">
        <v>2442</v>
      </c>
      <c r="U815" s="25" t="s">
        <v>2084</v>
      </c>
      <c r="V815" s="25" t="s">
        <v>2437</v>
      </c>
      <c r="W815" s="80">
        <v>44956</v>
      </c>
      <c r="X815" s="21" t="s">
        <v>2818</v>
      </c>
    </row>
    <row r="816" spans="1:24" x14ac:dyDescent="0.2">
      <c r="A816" s="1">
        <v>800</v>
      </c>
      <c r="B816" s="1" t="s">
        <v>595</v>
      </c>
      <c r="C816" s="1" t="s">
        <v>2782</v>
      </c>
      <c r="D816" s="1" t="s">
        <v>594</v>
      </c>
      <c r="E816" s="15" t="s">
        <v>823</v>
      </c>
      <c r="F816" s="67" t="s">
        <v>923</v>
      </c>
      <c r="G816" s="24" t="s">
        <v>2800</v>
      </c>
      <c r="H816" s="15" t="s">
        <v>2788</v>
      </c>
      <c r="I816" s="16">
        <v>39</v>
      </c>
      <c r="J816" s="16" t="str">
        <f t="shared" si="38"/>
        <v>Middle Age</v>
      </c>
      <c r="K816" s="25">
        <v>5</v>
      </c>
      <c r="L816" s="42">
        <v>5050</v>
      </c>
      <c r="M816" s="15">
        <v>2740</v>
      </c>
      <c r="N816" s="39">
        <f t="shared" si="36"/>
        <v>25250</v>
      </c>
      <c r="O816" s="39">
        <f t="shared" si="37"/>
        <v>11550</v>
      </c>
      <c r="P816" s="24" t="s">
        <v>2019</v>
      </c>
      <c r="Q816" s="24" t="s">
        <v>2014</v>
      </c>
      <c r="R816" s="1" t="s">
        <v>2013</v>
      </c>
      <c r="S816" s="15" t="s">
        <v>2082</v>
      </c>
      <c r="T816" s="15" t="s">
        <v>2442</v>
      </c>
      <c r="U816" s="25" t="s">
        <v>2089</v>
      </c>
      <c r="V816" s="25" t="s">
        <v>2435</v>
      </c>
      <c r="W816" s="80">
        <v>44936</v>
      </c>
      <c r="X816" s="21" t="s">
        <v>2818</v>
      </c>
    </row>
    <row r="817" spans="1:24" x14ac:dyDescent="0.2">
      <c r="A817" s="1">
        <v>801</v>
      </c>
      <c r="B817" s="1" t="s">
        <v>596</v>
      </c>
      <c r="C817" s="1" t="s">
        <v>2782</v>
      </c>
      <c r="D817" s="1" t="s">
        <v>2676</v>
      </c>
      <c r="E817" s="15" t="s">
        <v>823</v>
      </c>
      <c r="F817" s="67" t="s">
        <v>924</v>
      </c>
      <c r="G817" s="24" t="s">
        <v>2802</v>
      </c>
      <c r="H817" s="15" t="s">
        <v>2789</v>
      </c>
      <c r="I817" s="16">
        <v>31</v>
      </c>
      <c r="J817" s="16" t="str">
        <f t="shared" si="38"/>
        <v>Young</v>
      </c>
      <c r="K817" s="25">
        <v>3</v>
      </c>
      <c r="L817" s="42">
        <f>3940</f>
        <v>3940</v>
      </c>
      <c r="M817" s="15">
        <v>1470</v>
      </c>
      <c r="N817" s="39">
        <f t="shared" si="36"/>
        <v>11820</v>
      </c>
      <c r="O817" s="39">
        <f t="shared" si="37"/>
        <v>7410</v>
      </c>
      <c r="P817" s="24" t="s">
        <v>2028</v>
      </c>
      <c r="Q817" s="15" t="s">
        <v>2024</v>
      </c>
      <c r="R817" s="1" t="s">
        <v>2013</v>
      </c>
      <c r="S817" s="15" t="s">
        <v>2082</v>
      </c>
      <c r="T817" s="15" t="s">
        <v>2442</v>
      </c>
      <c r="U817" s="25" t="s">
        <v>2089</v>
      </c>
      <c r="V817" s="25" t="s">
        <v>2434</v>
      </c>
      <c r="W817" s="80">
        <v>45085</v>
      </c>
      <c r="X817" s="21" t="s">
        <v>2814</v>
      </c>
    </row>
    <row r="818" spans="1:24" x14ac:dyDescent="0.2">
      <c r="A818" s="1">
        <v>802</v>
      </c>
      <c r="B818" s="1" t="s">
        <v>555</v>
      </c>
      <c r="C818" s="1" t="s">
        <v>2782</v>
      </c>
      <c r="D818" s="1" t="s">
        <v>2677</v>
      </c>
      <c r="E818" s="15" t="s">
        <v>828</v>
      </c>
      <c r="F818" s="67" t="s">
        <v>925</v>
      </c>
      <c r="G818" s="24" t="s">
        <v>2804</v>
      </c>
      <c r="H818" s="15" t="s">
        <v>2788</v>
      </c>
      <c r="I818" s="16">
        <v>44</v>
      </c>
      <c r="J818" s="16" t="str">
        <f t="shared" si="38"/>
        <v>Middle Age</v>
      </c>
      <c r="K818" s="25">
        <v>2</v>
      </c>
      <c r="L818" s="42">
        <v>1280</v>
      </c>
      <c r="M818" s="15">
        <v>625</v>
      </c>
      <c r="N818" s="39">
        <f t="shared" si="36"/>
        <v>2560</v>
      </c>
      <c r="O818" s="39">
        <f t="shared" si="37"/>
        <v>1310</v>
      </c>
      <c r="P818" s="24" t="s">
        <v>2038</v>
      </c>
      <c r="Q818" s="15" t="s">
        <v>2016</v>
      </c>
      <c r="R818" s="1" t="s">
        <v>2013</v>
      </c>
      <c r="S818" s="15" t="s">
        <v>2082</v>
      </c>
      <c r="T818" s="15" t="s">
        <v>2442</v>
      </c>
      <c r="U818" s="25" t="s">
        <v>2088</v>
      </c>
      <c r="V818" s="25" t="s">
        <v>2436</v>
      </c>
      <c r="W818" s="80">
        <v>45235</v>
      </c>
      <c r="X818" s="21" t="s">
        <v>2823</v>
      </c>
    </row>
    <row r="819" spans="1:24" x14ac:dyDescent="0.2">
      <c r="A819" s="1">
        <v>803</v>
      </c>
      <c r="B819" s="1" t="s">
        <v>8</v>
      </c>
      <c r="C819" s="1" t="s">
        <v>2782</v>
      </c>
      <c r="D819" s="1" t="s">
        <v>2678</v>
      </c>
      <c r="E819" s="15" t="s">
        <v>822</v>
      </c>
      <c r="F819" s="69" t="s">
        <v>904</v>
      </c>
      <c r="G819" s="24" t="s">
        <v>2806</v>
      </c>
      <c r="H819" s="15" t="s">
        <v>2788</v>
      </c>
      <c r="I819" s="16">
        <v>26</v>
      </c>
      <c r="J819" s="16" t="str">
        <f t="shared" si="38"/>
        <v>Young</v>
      </c>
      <c r="K819" s="25">
        <v>4</v>
      </c>
      <c r="L819" s="42">
        <v>300</v>
      </c>
      <c r="M819" s="15">
        <v>110</v>
      </c>
      <c r="N819" s="39">
        <f t="shared" si="36"/>
        <v>1200</v>
      </c>
      <c r="O819" s="39">
        <f t="shared" si="37"/>
        <v>760</v>
      </c>
      <c r="P819" s="24" t="s">
        <v>2019</v>
      </c>
      <c r="Q819" s="24" t="s">
        <v>2014</v>
      </c>
      <c r="R819" s="1" t="s">
        <v>2013</v>
      </c>
      <c r="S819" s="15" t="s">
        <v>2082</v>
      </c>
      <c r="T819" s="15" t="s">
        <v>2442</v>
      </c>
      <c r="U819" s="25" t="s">
        <v>2083</v>
      </c>
      <c r="V819" s="25" t="s">
        <v>2437</v>
      </c>
      <c r="W819" s="80">
        <v>45165</v>
      </c>
      <c r="X819" s="21" t="s">
        <v>2819</v>
      </c>
    </row>
    <row r="820" spans="1:24" x14ac:dyDescent="0.2">
      <c r="A820" s="1">
        <v>804</v>
      </c>
      <c r="B820" s="1" t="s">
        <v>843</v>
      </c>
      <c r="C820" s="1" t="s">
        <v>2782</v>
      </c>
      <c r="D820" s="1" t="s">
        <v>2679</v>
      </c>
      <c r="E820" s="15" t="s">
        <v>822</v>
      </c>
      <c r="F820" s="66" t="s">
        <v>926</v>
      </c>
      <c r="G820" s="24" t="s">
        <v>2808</v>
      </c>
      <c r="H820" s="15" t="s">
        <v>2788</v>
      </c>
      <c r="I820" s="16">
        <v>48</v>
      </c>
      <c r="J820" s="16" t="str">
        <f t="shared" si="38"/>
        <v>Middle Age</v>
      </c>
      <c r="K820" s="25">
        <v>1</v>
      </c>
      <c r="L820" s="42">
        <v>400</v>
      </c>
      <c r="M820" s="15">
        <v>240</v>
      </c>
      <c r="N820" s="39">
        <f t="shared" si="36"/>
        <v>400</v>
      </c>
      <c r="O820" s="39">
        <f t="shared" si="37"/>
        <v>160</v>
      </c>
      <c r="P820" s="24" t="s">
        <v>2042</v>
      </c>
      <c r="Q820" s="15" t="s">
        <v>2828</v>
      </c>
      <c r="R820" s="1" t="s">
        <v>2013</v>
      </c>
      <c r="S820" s="15" t="s">
        <v>2082</v>
      </c>
      <c r="T820" s="15" t="s">
        <v>2442</v>
      </c>
      <c r="U820" s="25" t="s">
        <v>2088</v>
      </c>
      <c r="V820" s="25" t="s">
        <v>2435</v>
      </c>
      <c r="W820" s="80">
        <v>45034</v>
      </c>
      <c r="X820" s="21" t="s">
        <v>2815</v>
      </c>
    </row>
    <row r="821" spans="1:24" x14ac:dyDescent="0.2">
      <c r="A821" s="1">
        <v>805</v>
      </c>
      <c r="B821" s="1" t="s">
        <v>17</v>
      </c>
      <c r="C821" s="1" t="s">
        <v>2782</v>
      </c>
      <c r="D821" s="1" t="s">
        <v>597</v>
      </c>
      <c r="E821" s="15" t="s">
        <v>863</v>
      </c>
      <c r="F821" s="66" t="s">
        <v>927</v>
      </c>
      <c r="G821" s="24" t="s">
        <v>2810</v>
      </c>
      <c r="H821" s="15" t="s">
        <v>2789</v>
      </c>
      <c r="I821" s="16">
        <v>53</v>
      </c>
      <c r="J821" s="16" t="str">
        <f t="shared" si="38"/>
        <v>Old</v>
      </c>
      <c r="K821" s="25">
        <v>5</v>
      </c>
      <c r="L821" s="42">
        <v>2500</v>
      </c>
      <c r="M821" s="15">
        <f>1230</f>
        <v>1230</v>
      </c>
      <c r="N821" s="39">
        <f t="shared" si="36"/>
        <v>12500</v>
      </c>
      <c r="O821" s="39">
        <f t="shared" si="37"/>
        <v>6350</v>
      </c>
      <c r="P821" s="24" t="s">
        <v>2025</v>
      </c>
      <c r="Q821" s="24" t="s">
        <v>2024</v>
      </c>
      <c r="R821" s="1" t="s">
        <v>2013</v>
      </c>
      <c r="S821" s="15" t="s">
        <v>2082</v>
      </c>
      <c r="T821" s="15" t="s">
        <v>2442</v>
      </c>
      <c r="U821" s="25" t="s">
        <v>2090</v>
      </c>
      <c r="V821" s="25" t="s">
        <v>2436</v>
      </c>
      <c r="W821" s="80">
        <v>45051</v>
      </c>
      <c r="X821" s="21" t="s">
        <v>2786</v>
      </c>
    </row>
    <row r="822" spans="1:24" x14ac:dyDescent="0.2">
      <c r="A822" s="1">
        <v>806</v>
      </c>
      <c r="B822" s="1" t="s">
        <v>200</v>
      </c>
      <c r="C822" s="1" t="s">
        <v>2782</v>
      </c>
      <c r="D822" s="11" t="s">
        <v>598</v>
      </c>
      <c r="E822" s="35" t="s">
        <v>864</v>
      </c>
      <c r="F822" s="67" t="s">
        <v>932</v>
      </c>
      <c r="G822" s="24" t="s">
        <v>2793</v>
      </c>
      <c r="H822" s="15" t="s">
        <v>2789</v>
      </c>
      <c r="I822" s="16">
        <v>30</v>
      </c>
      <c r="J822" s="16" t="str">
        <f t="shared" si="38"/>
        <v>Young</v>
      </c>
      <c r="K822" s="25">
        <v>2</v>
      </c>
      <c r="L822" s="42">
        <v>2600</v>
      </c>
      <c r="M822" s="15">
        <v>1230</v>
      </c>
      <c r="N822" s="39">
        <f t="shared" si="36"/>
        <v>5200</v>
      </c>
      <c r="O822" s="39">
        <f t="shared" si="37"/>
        <v>2740</v>
      </c>
      <c r="P822" s="24" t="s">
        <v>2033</v>
      </c>
      <c r="Q822" s="24" t="s">
        <v>2016</v>
      </c>
      <c r="R822" s="1" t="s">
        <v>2013</v>
      </c>
      <c r="S822" s="15" t="s">
        <v>2082</v>
      </c>
      <c r="T822" s="15" t="s">
        <v>2442</v>
      </c>
      <c r="U822" s="25" t="s">
        <v>2085</v>
      </c>
      <c r="V822" s="25" t="s">
        <v>2434</v>
      </c>
      <c r="W822" s="80">
        <v>45138</v>
      </c>
      <c r="X822" s="21" t="s">
        <v>2813</v>
      </c>
    </row>
    <row r="823" spans="1:24" x14ac:dyDescent="0.2">
      <c r="A823" s="1">
        <v>807</v>
      </c>
      <c r="B823" s="1" t="s">
        <v>58</v>
      </c>
      <c r="C823" s="1" t="s">
        <v>2782</v>
      </c>
      <c r="D823" s="11" t="s">
        <v>599</v>
      </c>
      <c r="E823" s="35" t="s">
        <v>823</v>
      </c>
      <c r="F823" s="67" t="s">
        <v>922</v>
      </c>
      <c r="G823" s="24" t="s">
        <v>2791</v>
      </c>
      <c r="H823" s="15" t="s">
        <v>2788</v>
      </c>
      <c r="I823" s="16">
        <v>37</v>
      </c>
      <c r="J823" s="16" t="str">
        <f t="shared" si="38"/>
        <v>Middle Age</v>
      </c>
      <c r="K823" s="25">
        <v>3</v>
      </c>
      <c r="L823" s="42">
        <v>3730</v>
      </c>
      <c r="M823" s="15">
        <v>1730</v>
      </c>
      <c r="N823" s="39">
        <f t="shared" si="36"/>
        <v>11190</v>
      </c>
      <c r="O823" s="39">
        <f t="shared" si="37"/>
        <v>6000</v>
      </c>
      <c r="P823" s="24" t="s">
        <v>2040</v>
      </c>
      <c r="Q823" s="15" t="s">
        <v>2014</v>
      </c>
      <c r="R823" s="1" t="s">
        <v>2013</v>
      </c>
      <c r="S823" s="15" t="s">
        <v>2082</v>
      </c>
      <c r="T823" s="15" t="s">
        <v>2442</v>
      </c>
      <c r="U823" s="25" t="s">
        <v>2087</v>
      </c>
      <c r="V823" s="25" t="s">
        <v>2437</v>
      </c>
      <c r="W823" s="80">
        <v>45274</v>
      </c>
      <c r="X823" s="21" t="s">
        <v>2822</v>
      </c>
    </row>
    <row r="824" spans="1:24" x14ac:dyDescent="0.2">
      <c r="A824" s="1">
        <v>808</v>
      </c>
      <c r="B824" s="1" t="s">
        <v>601</v>
      </c>
      <c r="C824" s="1" t="s">
        <v>2782</v>
      </c>
      <c r="D824" s="11" t="s">
        <v>600</v>
      </c>
      <c r="E824" s="35" t="s">
        <v>823</v>
      </c>
      <c r="F824" s="67" t="s">
        <v>923</v>
      </c>
      <c r="G824" s="24" t="s">
        <v>2795</v>
      </c>
      <c r="H824" s="15" t="s">
        <v>2788</v>
      </c>
      <c r="I824" s="16">
        <v>42</v>
      </c>
      <c r="J824" s="16" t="str">
        <f t="shared" si="38"/>
        <v>Middle Age</v>
      </c>
      <c r="K824" s="25">
        <v>4</v>
      </c>
      <c r="L824" s="42">
        <v>4300</v>
      </c>
      <c r="M824" s="15">
        <v>2050</v>
      </c>
      <c r="N824" s="39">
        <f t="shared" si="36"/>
        <v>17200</v>
      </c>
      <c r="O824" s="39">
        <f t="shared" si="37"/>
        <v>9000</v>
      </c>
      <c r="P824" s="24" t="s">
        <v>2041</v>
      </c>
      <c r="Q824" s="24" t="s">
        <v>2016</v>
      </c>
      <c r="R824" s="1" t="s">
        <v>2013</v>
      </c>
      <c r="S824" s="15" t="s">
        <v>2082</v>
      </c>
      <c r="T824" s="15" t="s">
        <v>2442</v>
      </c>
      <c r="U824" s="25" t="s">
        <v>2085</v>
      </c>
      <c r="V824" s="25" t="s">
        <v>2435</v>
      </c>
      <c r="W824" s="80">
        <v>45022</v>
      </c>
      <c r="X824" s="21" t="s">
        <v>2815</v>
      </c>
    </row>
    <row r="825" spans="1:24" x14ac:dyDescent="0.2">
      <c r="A825" s="1">
        <v>809</v>
      </c>
      <c r="B825" s="1" t="s">
        <v>602</v>
      </c>
      <c r="C825" s="1" t="s">
        <v>2782</v>
      </c>
      <c r="D825" s="11" t="s">
        <v>2680</v>
      </c>
      <c r="E825" s="35" t="s">
        <v>863</v>
      </c>
      <c r="F825" s="67" t="s">
        <v>924</v>
      </c>
      <c r="G825" s="24" t="s">
        <v>2797</v>
      </c>
      <c r="H825" s="15" t="s">
        <v>2789</v>
      </c>
      <c r="I825" s="16">
        <v>24</v>
      </c>
      <c r="J825" s="16" t="str">
        <f t="shared" si="38"/>
        <v>Young</v>
      </c>
      <c r="K825" s="25">
        <v>1</v>
      </c>
      <c r="L825" s="42">
        <v>6900</v>
      </c>
      <c r="M825" s="15">
        <v>4000</v>
      </c>
      <c r="N825" s="39">
        <f t="shared" si="36"/>
        <v>6900</v>
      </c>
      <c r="O825" s="39">
        <f t="shared" si="37"/>
        <v>2900</v>
      </c>
      <c r="P825" s="24" t="s">
        <v>2055</v>
      </c>
      <c r="Q825" s="24" t="s">
        <v>2014</v>
      </c>
      <c r="R825" s="1" t="s">
        <v>2013</v>
      </c>
      <c r="S825" s="15" t="s">
        <v>2082</v>
      </c>
      <c r="T825" s="15" t="s">
        <v>2442</v>
      </c>
      <c r="U825" s="25" t="s">
        <v>2084</v>
      </c>
      <c r="V825" s="25" t="s">
        <v>2434</v>
      </c>
      <c r="W825" s="80">
        <v>45261</v>
      </c>
      <c r="X825" s="21" t="s">
        <v>2822</v>
      </c>
    </row>
    <row r="826" spans="1:24" x14ac:dyDescent="0.2">
      <c r="A826" s="1">
        <v>810</v>
      </c>
      <c r="B826" s="1" t="s">
        <v>7</v>
      </c>
      <c r="C826" s="1" t="s">
        <v>2782</v>
      </c>
      <c r="D826" s="11" t="s">
        <v>258</v>
      </c>
      <c r="E826" s="35" t="s">
        <v>822</v>
      </c>
      <c r="F826" s="67" t="s">
        <v>925</v>
      </c>
      <c r="G826" s="24" t="s">
        <v>2799</v>
      </c>
      <c r="H826" s="15" t="s">
        <v>2788</v>
      </c>
      <c r="I826" s="16">
        <v>57</v>
      </c>
      <c r="J826" s="16" t="str">
        <f t="shared" si="38"/>
        <v>Old</v>
      </c>
      <c r="K826" s="25">
        <v>5</v>
      </c>
      <c r="L826" s="42">
        <v>1200</v>
      </c>
      <c r="M826" s="15">
        <v>700</v>
      </c>
      <c r="N826" s="39">
        <f t="shared" si="36"/>
        <v>6000</v>
      </c>
      <c r="O826" s="39">
        <f t="shared" si="37"/>
        <v>2500</v>
      </c>
      <c r="P826" s="24" t="s">
        <v>2031</v>
      </c>
      <c r="Q826" s="24" t="s">
        <v>2016</v>
      </c>
      <c r="R826" s="1" t="s">
        <v>2013</v>
      </c>
      <c r="S826" s="15" t="s">
        <v>2082</v>
      </c>
      <c r="T826" s="15" t="s">
        <v>2442</v>
      </c>
      <c r="U826" s="25" t="s">
        <v>2087</v>
      </c>
      <c r="V826" s="25" t="s">
        <v>2436</v>
      </c>
      <c r="W826" s="80">
        <v>44936</v>
      </c>
      <c r="X826" s="21" t="s">
        <v>2818</v>
      </c>
    </row>
    <row r="827" spans="1:24" x14ac:dyDescent="0.2">
      <c r="A827" s="1">
        <v>811</v>
      </c>
      <c r="B827" s="1" t="s">
        <v>604</v>
      </c>
      <c r="C827" s="1" t="s">
        <v>2782</v>
      </c>
      <c r="D827" s="11" t="s">
        <v>603</v>
      </c>
      <c r="E827" s="35" t="s">
        <v>864</v>
      </c>
      <c r="F827" s="69" t="s">
        <v>904</v>
      </c>
      <c r="G827" s="24" t="s">
        <v>2801</v>
      </c>
      <c r="H827" s="15" t="s">
        <v>2788</v>
      </c>
      <c r="I827" s="16">
        <v>35</v>
      </c>
      <c r="J827" s="16" t="str">
        <f t="shared" si="38"/>
        <v>Young</v>
      </c>
      <c r="K827" s="25">
        <v>3</v>
      </c>
      <c r="L827" s="42">
        <f>5880+550</f>
        <v>6430</v>
      </c>
      <c r="M827" s="15">
        <f>3680+450</f>
        <v>4130</v>
      </c>
      <c r="N827" s="39">
        <f t="shared" si="36"/>
        <v>19290</v>
      </c>
      <c r="O827" s="39">
        <f t="shared" si="37"/>
        <v>6900</v>
      </c>
      <c r="P827" s="24" t="s">
        <v>2056</v>
      </c>
      <c r="Q827" s="24" t="s">
        <v>2024</v>
      </c>
      <c r="R827" s="1" t="s">
        <v>2013</v>
      </c>
      <c r="S827" s="15" t="s">
        <v>2082</v>
      </c>
      <c r="T827" s="15" t="s">
        <v>2442</v>
      </c>
      <c r="U827" s="25" t="s">
        <v>2086</v>
      </c>
      <c r="V827" s="25" t="s">
        <v>2437</v>
      </c>
      <c r="W827" s="80">
        <v>44937</v>
      </c>
      <c r="X827" s="21" t="s">
        <v>2818</v>
      </c>
    </row>
    <row r="828" spans="1:24" x14ac:dyDescent="0.2">
      <c r="A828" s="1">
        <v>812</v>
      </c>
      <c r="B828" s="1" t="s">
        <v>555</v>
      </c>
      <c r="C828" s="1" t="s">
        <v>2782</v>
      </c>
      <c r="D828" s="11" t="s">
        <v>2681</v>
      </c>
      <c r="E828" s="15" t="s">
        <v>863</v>
      </c>
      <c r="F828" s="66" t="s">
        <v>926</v>
      </c>
      <c r="G828" s="24" t="s">
        <v>2803</v>
      </c>
      <c r="H828" s="15" t="s">
        <v>2788</v>
      </c>
      <c r="I828" s="16">
        <v>40</v>
      </c>
      <c r="J828" s="16" t="str">
        <f t="shared" si="38"/>
        <v>Middle Age</v>
      </c>
      <c r="K828" s="25">
        <v>2</v>
      </c>
      <c r="L828" s="42">
        <v>500</v>
      </c>
      <c r="M828" s="15">
        <v>220</v>
      </c>
      <c r="N828" s="39">
        <f t="shared" si="36"/>
        <v>1000</v>
      </c>
      <c r="O828" s="39">
        <f t="shared" si="37"/>
        <v>560</v>
      </c>
      <c r="P828" s="24" t="s">
        <v>2028</v>
      </c>
      <c r="Q828" s="15" t="s">
        <v>2024</v>
      </c>
      <c r="R828" s="1" t="s">
        <v>2013</v>
      </c>
      <c r="S828" s="15" t="s">
        <v>2082</v>
      </c>
      <c r="T828" s="15" t="s">
        <v>2442</v>
      </c>
      <c r="U828" s="25" t="s">
        <v>2084</v>
      </c>
      <c r="V828" s="25" t="s">
        <v>2435</v>
      </c>
      <c r="W828" s="80">
        <v>45113</v>
      </c>
      <c r="X828" s="21" t="s">
        <v>2813</v>
      </c>
    </row>
    <row r="829" spans="1:24" x14ac:dyDescent="0.2">
      <c r="A829" s="1">
        <v>813</v>
      </c>
      <c r="B829" s="1" t="s">
        <v>861</v>
      </c>
      <c r="C829" s="1" t="s">
        <v>2782</v>
      </c>
      <c r="D829" s="11" t="s">
        <v>603</v>
      </c>
      <c r="E829" s="15" t="s">
        <v>864</v>
      </c>
      <c r="F829" s="66" t="s">
        <v>927</v>
      </c>
      <c r="G829" s="24" t="s">
        <v>2805</v>
      </c>
      <c r="H829" s="15" t="s">
        <v>2789</v>
      </c>
      <c r="I829" s="16">
        <v>21</v>
      </c>
      <c r="J829" s="16" t="str">
        <f t="shared" si="38"/>
        <v>Young</v>
      </c>
      <c r="K829" s="25">
        <v>4</v>
      </c>
      <c r="L829" s="42">
        <f>5100+550</f>
        <v>5650</v>
      </c>
      <c r="M829" s="15">
        <f>2900+450</f>
        <v>3350</v>
      </c>
      <c r="N829" s="39">
        <f t="shared" si="36"/>
        <v>22600</v>
      </c>
      <c r="O829" s="39">
        <f t="shared" si="37"/>
        <v>9200</v>
      </c>
      <c r="P829" s="24" t="s">
        <v>2061</v>
      </c>
      <c r="Q829" s="24" t="s">
        <v>2014</v>
      </c>
      <c r="R829" s="1" t="s">
        <v>2013</v>
      </c>
      <c r="S829" s="15" t="s">
        <v>2082</v>
      </c>
      <c r="T829" s="15" t="s">
        <v>2442</v>
      </c>
      <c r="U829" s="25" t="s">
        <v>2089</v>
      </c>
      <c r="V829" s="25" t="s">
        <v>2436</v>
      </c>
      <c r="W829" s="80">
        <v>45044</v>
      </c>
      <c r="X829" s="21" t="s">
        <v>2815</v>
      </c>
    </row>
    <row r="830" spans="1:24" x14ac:dyDescent="0.2">
      <c r="A830" s="1">
        <v>814</v>
      </c>
      <c r="B830" s="1" t="s">
        <v>555</v>
      </c>
      <c r="C830" s="1" t="s">
        <v>2782</v>
      </c>
      <c r="D830" s="11" t="s">
        <v>2682</v>
      </c>
      <c r="E830" s="35" t="s">
        <v>822</v>
      </c>
      <c r="F830" s="67" t="s">
        <v>932</v>
      </c>
      <c r="G830" s="24" t="s">
        <v>2807</v>
      </c>
      <c r="H830" s="15" t="s">
        <v>2789</v>
      </c>
      <c r="I830" s="16">
        <v>59</v>
      </c>
      <c r="J830" s="16" t="str">
        <f t="shared" si="38"/>
        <v>Old</v>
      </c>
      <c r="K830" s="25">
        <v>1</v>
      </c>
      <c r="L830" s="42">
        <v>900</v>
      </c>
      <c r="M830" s="15">
        <v>380</v>
      </c>
      <c r="N830" s="39">
        <f t="shared" si="36"/>
        <v>900</v>
      </c>
      <c r="O830" s="39">
        <f t="shared" si="37"/>
        <v>520</v>
      </c>
      <c r="P830" s="24" t="s">
        <v>2057</v>
      </c>
      <c r="Q830" s="24" t="s">
        <v>2020</v>
      </c>
      <c r="R830" s="1" t="s">
        <v>2013</v>
      </c>
      <c r="S830" s="15" t="s">
        <v>2082</v>
      </c>
      <c r="T830" s="15" t="s">
        <v>2442</v>
      </c>
      <c r="U830" s="25" t="s">
        <v>2086</v>
      </c>
      <c r="V830" s="25" t="s">
        <v>2434</v>
      </c>
      <c r="W830" s="80">
        <v>44958</v>
      </c>
      <c r="X830" s="21" t="s">
        <v>2817</v>
      </c>
    </row>
    <row r="831" spans="1:24" x14ac:dyDescent="0.2">
      <c r="A831" s="1">
        <v>814</v>
      </c>
      <c r="B831" s="1" t="s">
        <v>39</v>
      </c>
      <c r="C831" s="1" t="s">
        <v>2782</v>
      </c>
      <c r="D831" s="11" t="s">
        <v>605</v>
      </c>
      <c r="E831" s="15" t="s">
        <v>863</v>
      </c>
      <c r="F831" s="66" t="s">
        <v>933</v>
      </c>
      <c r="G831" s="24" t="s">
        <v>2809</v>
      </c>
      <c r="H831" s="15" t="s">
        <v>2789</v>
      </c>
      <c r="I831" s="16">
        <v>32</v>
      </c>
      <c r="J831" s="16" t="str">
        <f t="shared" si="38"/>
        <v>Young</v>
      </c>
      <c r="K831" s="25">
        <v>5</v>
      </c>
      <c r="L831" s="42">
        <v>5880</v>
      </c>
      <c r="M831" s="15">
        <v>1820</v>
      </c>
      <c r="N831" s="39">
        <f t="shared" si="36"/>
        <v>29400</v>
      </c>
      <c r="O831" s="39">
        <f t="shared" si="37"/>
        <v>20300</v>
      </c>
      <c r="P831" s="24" t="s">
        <v>2043</v>
      </c>
      <c r="Q831" s="24" t="s">
        <v>2016</v>
      </c>
      <c r="R831" s="1" t="s">
        <v>2013</v>
      </c>
      <c r="S831" s="15" t="s">
        <v>2082</v>
      </c>
      <c r="T831" s="15" t="s">
        <v>2442</v>
      </c>
      <c r="U831" s="25" t="s">
        <v>2083</v>
      </c>
      <c r="V831" s="25" t="s">
        <v>2437</v>
      </c>
      <c r="W831" s="80">
        <v>45234</v>
      </c>
      <c r="X831" s="21" t="s">
        <v>2823</v>
      </c>
    </row>
    <row r="832" spans="1:24" x14ac:dyDescent="0.2">
      <c r="A832" s="1">
        <v>815</v>
      </c>
      <c r="B832" s="1" t="s">
        <v>606</v>
      </c>
      <c r="C832" s="1" t="s">
        <v>2782</v>
      </c>
      <c r="D832" s="11" t="s">
        <v>2556</v>
      </c>
      <c r="E832" s="15" t="s">
        <v>864</v>
      </c>
      <c r="F832" s="67" t="s">
        <v>934</v>
      </c>
      <c r="G832" s="24" t="s">
        <v>2794</v>
      </c>
      <c r="H832" s="15" t="s">
        <v>2789</v>
      </c>
      <c r="I832" s="16">
        <v>46</v>
      </c>
      <c r="J832" s="16" t="str">
        <f t="shared" si="38"/>
        <v>Middle Age</v>
      </c>
      <c r="K832" s="25">
        <v>2</v>
      </c>
      <c r="L832" s="42">
        <v>1350</v>
      </c>
      <c r="M832" s="15">
        <v>610</v>
      </c>
      <c r="N832" s="39">
        <f t="shared" si="36"/>
        <v>2700</v>
      </c>
      <c r="O832" s="39">
        <f t="shared" si="37"/>
        <v>1480</v>
      </c>
      <c r="P832" s="24" t="s">
        <v>2046</v>
      </c>
      <c r="Q832" s="24" t="s">
        <v>2016</v>
      </c>
      <c r="R832" s="1" t="s">
        <v>2013</v>
      </c>
      <c r="S832" s="15" t="s">
        <v>2082</v>
      </c>
      <c r="T832" s="15" t="s">
        <v>2442</v>
      </c>
      <c r="U832" s="25" t="s">
        <v>2089</v>
      </c>
      <c r="V832" s="25" t="s">
        <v>2435</v>
      </c>
      <c r="W832" s="80">
        <v>45207</v>
      </c>
      <c r="X832" s="21" t="s">
        <v>2821</v>
      </c>
    </row>
    <row r="833" spans="1:24" x14ac:dyDescent="0.2">
      <c r="A833" s="1">
        <v>816</v>
      </c>
      <c r="B833" s="1" t="s">
        <v>607</v>
      </c>
      <c r="C833" s="1" t="s">
        <v>2782</v>
      </c>
      <c r="D833" s="11" t="s">
        <v>2683</v>
      </c>
      <c r="E833" s="15" t="s">
        <v>822</v>
      </c>
      <c r="F833" s="67" t="s">
        <v>935</v>
      </c>
      <c r="G833" s="24" t="s">
        <v>2792</v>
      </c>
      <c r="H833" s="15" t="s">
        <v>2788</v>
      </c>
      <c r="I833" s="16">
        <v>54</v>
      </c>
      <c r="J833" s="16" t="str">
        <f t="shared" si="38"/>
        <v>Old</v>
      </c>
      <c r="K833" s="25">
        <v>3</v>
      </c>
      <c r="L833" s="42">
        <v>5630</v>
      </c>
      <c r="M833" s="15">
        <v>2300</v>
      </c>
      <c r="N833" s="39">
        <f t="shared" si="36"/>
        <v>16890</v>
      </c>
      <c r="O833" s="39">
        <f t="shared" si="37"/>
        <v>9990</v>
      </c>
      <c r="P833" s="24" t="s">
        <v>2056</v>
      </c>
      <c r="Q833" s="24" t="s">
        <v>2024</v>
      </c>
      <c r="R833" s="1" t="s">
        <v>2013</v>
      </c>
      <c r="S833" s="15" t="s">
        <v>2082</v>
      </c>
      <c r="T833" s="15" t="s">
        <v>2442</v>
      </c>
      <c r="U833" s="25" t="s">
        <v>2084</v>
      </c>
      <c r="V833" s="25" t="s">
        <v>2434</v>
      </c>
      <c r="W833" s="80">
        <v>45242</v>
      </c>
      <c r="X833" s="21" t="s">
        <v>2823</v>
      </c>
    </row>
    <row r="834" spans="1:24" x14ac:dyDescent="0.2">
      <c r="A834" s="1">
        <v>817</v>
      </c>
      <c r="B834" s="1" t="s">
        <v>608</v>
      </c>
      <c r="C834" s="1" t="s">
        <v>2782</v>
      </c>
      <c r="D834" s="11" t="s">
        <v>869</v>
      </c>
      <c r="E834" s="15" t="s">
        <v>823</v>
      </c>
      <c r="F834" s="66" t="s">
        <v>881</v>
      </c>
      <c r="G834" s="24" t="s">
        <v>2796</v>
      </c>
      <c r="H834" s="15" t="s">
        <v>2789</v>
      </c>
      <c r="I834" s="16">
        <v>25</v>
      </c>
      <c r="J834" s="16" t="str">
        <f t="shared" si="38"/>
        <v>Young</v>
      </c>
      <c r="K834" s="25">
        <v>4</v>
      </c>
      <c r="L834" s="42">
        <v>1190</v>
      </c>
      <c r="M834" s="15">
        <v>480</v>
      </c>
      <c r="N834" s="39">
        <f t="shared" ref="N834:N897" si="39">L834*K834</f>
        <v>4760</v>
      </c>
      <c r="O834" s="39">
        <f t="shared" ref="O834:O897" si="40">N834-(M834*K834)</f>
        <v>2840</v>
      </c>
      <c r="P834" s="24" t="s">
        <v>2062</v>
      </c>
      <c r="Q834" s="15" t="s">
        <v>2828</v>
      </c>
      <c r="R834" s="1" t="s">
        <v>2013</v>
      </c>
      <c r="S834" s="15" t="s">
        <v>2082</v>
      </c>
      <c r="T834" s="15" t="s">
        <v>2442</v>
      </c>
      <c r="U834" s="25" t="s">
        <v>2090</v>
      </c>
      <c r="V834" s="25" t="s">
        <v>2436</v>
      </c>
      <c r="W834" s="80">
        <v>45041</v>
      </c>
      <c r="X834" s="21" t="s">
        <v>2815</v>
      </c>
    </row>
    <row r="835" spans="1:24" x14ac:dyDescent="0.2">
      <c r="A835" s="1">
        <v>818</v>
      </c>
      <c r="B835" s="1" t="s">
        <v>610</v>
      </c>
      <c r="C835" s="1" t="s">
        <v>2782</v>
      </c>
      <c r="D835" s="11" t="s">
        <v>609</v>
      </c>
      <c r="E835" s="35" t="s">
        <v>822</v>
      </c>
      <c r="F835" s="66" t="s">
        <v>882</v>
      </c>
      <c r="G835" s="24" t="s">
        <v>2798</v>
      </c>
      <c r="H835" s="15" t="s">
        <v>2788</v>
      </c>
      <c r="I835" s="16">
        <v>43</v>
      </c>
      <c r="J835" s="16" t="str">
        <f t="shared" ref="J835:J898" si="41">IF(I835&lt;=35,"Young",IF(I835&lt;=49,"Middle Age",IF(I835&gt;=50,"Old")))</f>
        <v>Middle Age</v>
      </c>
      <c r="K835" s="25">
        <v>3</v>
      </c>
      <c r="L835" s="42">
        <v>3890</v>
      </c>
      <c r="M835" s="15">
        <v>1480</v>
      </c>
      <c r="N835" s="39">
        <f t="shared" si="39"/>
        <v>11670</v>
      </c>
      <c r="O835" s="39">
        <f t="shared" si="40"/>
        <v>7230</v>
      </c>
      <c r="P835" s="24" t="s">
        <v>2053</v>
      </c>
      <c r="Q835" s="24" t="s">
        <v>2014</v>
      </c>
      <c r="R835" s="1" t="s">
        <v>2013</v>
      </c>
      <c r="S835" s="15" t="s">
        <v>2082</v>
      </c>
      <c r="T835" s="15" t="s">
        <v>2442</v>
      </c>
      <c r="U835" s="25" t="s">
        <v>2084</v>
      </c>
      <c r="V835" s="25" t="s">
        <v>2437</v>
      </c>
      <c r="W835" s="80">
        <v>45240</v>
      </c>
      <c r="X835" s="21" t="s">
        <v>2823</v>
      </c>
    </row>
    <row r="836" spans="1:24" x14ac:dyDescent="0.2">
      <c r="A836" s="1">
        <v>819</v>
      </c>
      <c r="B836" s="1" t="s">
        <v>620</v>
      </c>
      <c r="C836" s="1" t="s">
        <v>2782</v>
      </c>
      <c r="D836" s="11" t="s">
        <v>611</v>
      </c>
      <c r="E836" s="35" t="s">
        <v>817</v>
      </c>
      <c r="F836" s="66" t="s">
        <v>881</v>
      </c>
      <c r="G836" s="24" t="s">
        <v>2800</v>
      </c>
      <c r="H836" s="15" t="s">
        <v>2789</v>
      </c>
      <c r="I836" s="16">
        <v>58</v>
      </c>
      <c r="J836" s="16" t="str">
        <f t="shared" si="41"/>
        <v>Old</v>
      </c>
      <c r="K836" s="25">
        <v>1</v>
      </c>
      <c r="L836" s="42">
        <v>5520</v>
      </c>
      <c r="M836" s="15">
        <v>3130</v>
      </c>
      <c r="N836" s="39">
        <f t="shared" si="39"/>
        <v>5520</v>
      </c>
      <c r="O836" s="39">
        <f t="shared" si="40"/>
        <v>2390</v>
      </c>
      <c r="P836" s="24" t="s">
        <v>2028</v>
      </c>
      <c r="Q836" s="15" t="s">
        <v>2024</v>
      </c>
      <c r="R836" s="1" t="s">
        <v>2013</v>
      </c>
      <c r="S836" s="15" t="s">
        <v>2082</v>
      </c>
      <c r="T836" s="15" t="s">
        <v>2442</v>
      </c>
      <c r="U836" s="25" t="s">
        <v>2087</v>
      </c>
      <c r="V836" s="25" t="s">
        <v>2436</v>
      </c>
      <c r="W836" s="80">
        <v>45271</v>
      </c>
      <c r="X836" s="21" t="s">
        <v>2822</v>
      </c>
    </row>
    <row r="837" spans="1:24" x14ac:dyDescent="0.2">
      <c r="A837" s="1">
        <v>820</v>
      </c>
      <c r="B837" s="1" t="s">
        <v>555</v>
      </c>
      <c r="C837" s="1" t="s">
        <v>2782</v>
      </c>
      <c r="D837" s="11" t="s">
        <v>2684</v>
      </c>
      <c r="E837" s="15" t="s">
        <v>863</v>
      </c>
      <c r="F837" s="66" t="s">
        <v>883</v>
      </c>
      <c r="G837" s="24" t="s">
        <v>2802</v>
      </c>
      <c r="H837" s="15" t="s">
        <v>2788</v>
      </c>
      <c r="I837" s="16">
        <v>20</v>
      </c>
      <c r="J837" s="16" t="str">
        <f t="shared" si="41"/>
        <v>Young</v>
      </c>
      <c r="K837" s="25">
        <v>4</v>
      </c>
      <c r="L837" s="42">
        <v>2680</v>
      </c>
      <c r="M837" s="15">
        <v>1180</v>
      </c>
      <c r="N837" s="39">
        <f t="shared" si="39"/>
        <v>10720</v>
      </c>
      <c r="O837" s="39">
        <f t="shared" si="40"/>
        <v>6000</v>
      </c>
      <c r="P837" s="24" t="s">
        <v>2059</v>
      </c>
      <c r="Q837" s="24" t="s">
        <v>2016</v>
      </c>
      <c r="R837" s="1" t="s">
        <v>2013</v>
      </c>
      <c r="S837" s="15" t="s">
        <v>2082</v>
      </c>
      <c r="T837" s="15" t="s">
        <v>2442</v>
      </c>
      <c r="U837" s="25" t="s">
        <v>2083</v>
      </c>
      <c r="V837" s="25" t="s">
        <v>2434</v>
      </c>
      <c r="W837" s="80">
        <v>45065</v>
      </c>
      <c r="X837" s="21" t="s">
        <v>2786</v>
      </c>
    </row>
    <row r="838" spans="1:24" x14ac:dyDescent="0.2">
      <c r="A838" s="1">
        <v>821</v>
      </c>
      <c r="B838" s="1" t="s">
        <v>127</v>
      </c>
      <c r="C838" s="1" t="s">
        <v>2782</v>
      </c>
      <c r="D838" s="11" t="s">
        <v>284</v>
      </c>
      <c r="E838" s="15" t="s">
        <v>864</v>
      </c>
      <c r="F838" s="66" t="s">
        <v>884</v>
      </c>
      <c r="G838" s="24" t="s">
        <v>2804</v>
      </c>
      <c r="H838" s="15" t="s">
        <v>2788</v>
      </c>
      <c r="I838" s="16">
        <v>49</v>
      </c>
      <c r="J838" s="16" t="str">
        <f t="shared" si="41"/>
        <v>Middle Age</v>
      </c>
      <c r="K838" s="25">
        <v>5</v>
      </c>
      <c r="L838" s="42">
        <v>400</v>
      </c>
      <c r="M838" s="15">
        <v>160</v>
      </c>
      <c r="N838" s="39">
        <f t="shared" si="39"/>
        <v>2000</v>
      </c>
      <c r="O838" s="39">
        <f t="shared" si="40"/>
        <v>1200</v>
      </c>
      <c r="P838" s="24" t="s">
        <v>2044</v>
      </c>
      <c r="Q838" s="24" t="s">
        <v>2020</v>
      </c>
      <c r="R838" s="1" t="s">
        <v>2013</v>
      </c>
      <c r="S838" s="15" t="s">
        <v>2082</v>
      </c>
      <c r="T838" s="15" t="s">
        <v>2442</v>
      </c>
      <c r="U838" s="25" t="s">
        <v>2085</v>
      </c>
      <c r="V838" s="25" t="s">
        <v>2437</v>
      </c>
      <c r="W838" s="80">
        <v>45064</v>
      </c>
      <c r="X838" s="21" t="s">
        <v>2786</v>
      </c>
    </row>
    <row r="839" spans="1:24" x14ac:dyDescent="0.2">
      <c r="A839" s="1">
        <v>822</v>
      </c>
      <c r="B839" s="1" t="s">
        <v>570</v>
      </c>
      <c r="C839" s="1" t="s">
        <v>2782</v>
      </c>
      <c r="D839" s="11" t="s">
        <v>612</v>
      </c>
      <c r="E839" s="15" t="s">
        <v>822</v>
      </c>
      <c r="F839" s="66" t="s">
        <v>936</v>
      </c>
      <c r="G839" s="24" t="s">
        <v>2806</v>
      </c>
      <c r="H839" s="15" t="s">
        <v>2788</v>
      </c>
      <c r="I839" s="16">
        <v>34</v>
      </c>
      <c r="J839" s="16" t="str">
        <f t="shared" si="41"/>
        <v>Young</v>
      </c>
      <c r="K839" s="25">
        <v>3</v>
      </c>
      <c r="L839" s="42">
        <v>3780</v>
      </c>
      <c r="M839" s="15">
        <v>1500</v>
      </c>
      <c r="N839" s="39">
        <f t="shared" si="39"/>
        <v>11340</v>
      </c>
      <c r="O839" s="39">
        <f t="shared" si="40"/>
        <v>6840</v>
      </c>
      <c r="P839" s="24" t="s">
        <v>2040</v>
      </c>
      <c r="Q839" s="15" t="s">
        <v>2014</v>
      </c>
      <c r="R839" s="1" t="s">
        <v>2013</v>
      </c>
      <c r="S839" s="15" t="s">
        <v>2082</v>
      </c>
      <c r="T839" s="15" t="s">
        <v>2442</v>
      </c>
      <c r="U839" s="25" t="s">
        <v>2087</v>
      </c>
      <c r="V839" s="25" t="s">
        <v>2435</v>
      </c>
      <c r="W839" s="80">
        <v>45102</v>
      </c>
      <c r="X839" s="21" t="s">
        <v>2814</v>
      </c>
    </row>
    <row r="840" spans="1:24" x14ac:dyDescent="0.2">
      <c r="A840" s="1">
        <v>823</v>
      </c>
      <c r="B840" s="1" t="s">
        <v>613</v>
      </c>
      <c r="C840" s="1" t="s">
        <v>2782</v>
      </c>
      <c r="D840" s="11" t="s">
        <v>2685</v>
      </c>
      <c r="E840" s="15" t="s">
        <v>823</v>
      </c>
      <c r="F840" s="66" t="s">
        <v>937</v>
      </c>
      <c r="G840" s="24" t="s">
        <v>2808</v>
      </c>
      <c r="H840" s="15" t="s">
        <v>2788</v>
      </c>
      <c r="I840" s="16">
        <v>27</v>
      </c>
      <c r="J840" s="16" t="str">
        <f t="shared" si="41"/>
        <v>Young</v>
      </c>
      <c r="K840" s="25">
        <v>2</v>
      </c>
      <c r="L840" s="42">
        <v>4900</v>
      </c>
      <c r="M840" s="15">
        <v>3250</v>
      </c>
      <c r="N840" s="39">
        <f t="shared" si="39"/>
        <v>9800</v>
      </c>
      <c r="O840" s="39">
        <f t="shared" si="40"/>
        <v>3300</v>
      </c>
      <c r="P840" s="24" t="s">
        <v>2061</v>
      </c>
      <c r="Q840" s="24" t="s">
        <v>2014</v>
      </c>
      <c r="R840" s="1" t="s">
        <v>2013</v>
      </c>
      <c r="S840" s="15" t="s">
        <v>2082</v>
      </c>
      <c r="T840" s="15" t="s">
        <v>2442</v>
      </c>
      <c r="U840" s="25" t="s">
        <v>2089</v>
      </c>
      <c r="V840" s="25" t="s">
        <v>2434</v>
      </c>
      <c r="W840" s="80">
        <v>45220</v>
      </c>
      <c r="X840" s="21" t="s">
        <v>2821</v>
      </c>
    </row>
    <row r="841" spans="1:24" x14ac:dyDescent="0.2">
      <c r="A841" s="1">
        <v>824</v>
      </c>
      <c r="B841" s="1" t="s">
        <v>615</v>
      </c>
      <c r="C841" s="1" t="s">
        <v>2782</v>
      </c>
      <c r="D841" s="11" t="s">
        <v>614</v>
      </c>
      <c r="E841" s="15" t="s">
        <v>828</v>
      </c>
      <c r="F841" s="66" t="s">
        <v>938</v>
      </c>
      <c r="G841" s="24" t="s">
        <v>2810</v>
      </c>
      <c r="H841" s="15" t="s">
        <v>2788</v>
      </c>
      <c r="I841" s="16">
        <v>45</v>
      </c>
      <c r="J841" s="16" t="str">
        <f t="shared" si="41"/>
        <v>Middle Age</v>
      </c>
      <c r="K841" s="25">
        <v>4</v>
      </c>
      <c r="L841" s="42">
        <v>6200</v>
      </c>
      <c r="M841" s="15">
        <v>3400</v>
      </c>
      <c r="N841" s="39">
        <f t="shared" si="39"/>
        <v>24800</v>
      </c>
      <c r="O841" s="39">
        <f t="shared" si="40"/>
        <v>11200</v>
      </c>
      <c r="P841" s="24" t="s">
        <v>2055</v>
      </c>
      <c r="Q841" s="24" t="s">
        <v>2014</v>
      </c>
      <c r="R841" s="1" t="s">
        <v>2013</v>
      </c>
      <c r="S841" s="15" t="s">
        <v>2082</v>
      </c>
      <c r="T841" s="15" t="s">
        <v>2442</v>
      </c>
      <c r="U841" s="25" t="s">
        <v>2090</v>
      </c>
      <c r="V841" s="25" t="s">
        <v>2436</v>
      </c>
      <c r="W841" s="80">
        <v>45221</v>
      </c>
      <c r="X841" s="21" t="s">
        <v>2821</v>
      </c>
    </row>
    <row r="842" spans="1:24" x14ac:dyDescent="0.2">
      <c r="A842" s="1">
        <v>825</v>
      </c>
      <c r="B842" s="1" t="s">
        <v>617</v>
      </c>
      <c r="C842" s="1" t="s">
        <v>2782</v>
      </c>
      <c r="D842" s="11" t="s">
        <v>616</v>
      </c>
      <c r="E842" s="35" t="s">
        <v>822</v>
      </c>
      <c r="F842" s="66" t="s">
        <v>876</v>
      </c>
      <c r="G842" s="24" t="s">
        <v>2793</v>
      </c>
      <c r="H842" s="15" t="s">
        <v>2788</v>
      </c>
      <c r="I842" s="16">
        <v>52</v>
      </c>
      <c r="J842" s="16" t="str">
        <f t="shared" si="41"/>
        <v>Old</v>
      </c>
      <c r="K842" s="25">
        <v>1</v>
      </c>
      <c r="L842" s="42">
        <v>3330</v>
      </c>
      <c r="M842" s="15">
        <v>2200</v>
      </c>
      <c r="N842" s="39">
        <f t="shared" si="39"/>
        <v>3330</v>
      </c>
      <c r="O842" s="39">
        <f t="shared" si="40"/>
        <v>1130</v>
      </c>
      <c r="P842" s="24" t="s">
        <v>2060</v>
      </c>
      <c r="Q842" s="24" t="s">
        <v>2024</v>
      </c>
      <c r="R842" s="1" t="s">
        <v>2013</v>
      </c>
      <c r="S842" s="15" t="s">
        <v>2082</v>
      </c>
      <c r="T842" s="15" t="s">
        <v>2442</v>
      </c>
      <c r="U842" s="25" t="s">
        <v>2090</v>
      </c>
      <c r="V842" s="25" t="s">
        <v>2437</v>
      </c>
      <c r="W842" s="80">
        <v>45160</v>
      </c>
      <c r="X842" s="21" t="s">
        <v>2819</v>
      </c>
    </row>
    <row r="843" spans="1:24" x14ac:dyDescent="0.2">
      <c r="A843" s="1">
        <v>826</v>
      </c>
      <c r="B843" s="1" t="s">
        <v>618</v>
      </c>
      <c r="C843" s="1" t="s">
        <v>2782</v>
      </c>
      <c r="D843" s="11" t="s">
        <v>2686</v>
      </c>
      <c r="E843" s="35" t="s">
        <v>817</v>
      </c>
      <c r="F843" s="66" t="s">
        <v>939</v>
      </c>
      <c r="G843" s="24" t="s">
        <v>2791</v>
      </c>
      <c r="H843" s="15" t="s">
        <v>2788</v>
      </c>
      <c r="I843" s="16">
        <v>23</v>
      </c>
      <c r="J843" s="16" t="str">
        <f t="shared" si="41"/>
        <v>Young</v>
      </c>
      <c r="K843" s="25">
        <v>5</v>
      </c>
      <c r="L843" s="42">
        <v>5000</v>
      </c>
      <c r="M843" s="15">
        <v>2900</v>
      </c>
      <c r="N843" s="39">
        <f t="shared" si="39"/>
        <v>25000</v>
      </c>
      <c r="O843" s="39">
        <f t="shared" si="40"/>
        <v>10500</v>
      </c>
      <c r="P843" s="24" t="s">
        <v>2015</v>
      </c>
      <c r="Q843" s="24" t="s">
        <v>2014</v>
      </c>
      <c r="R843" s="1" t="s">
        <v>2013</v>
      </c>
      <c r="S843" s="15" t="s">
        <v>2082</v>
      </c>
      <c r="T843" s="15" t="s">
        <v>2442</v>
      </c>
      <c r="U843" s="25" t="s">
        <v>2088</v>
      </c>
      <c r="V843" s="25" t="s">
        <v>2435</v>
      </c>
      <c r="W843" s="80">
        <v>45079</v>
      </c>
      <c r="X843" s="21" t="s">
        <v>2814</v>
      </c>
    </row>
    <row r="844" spans="1:24" x14ac:dyDescent="0.2">
      <c r="A844" s="1">
        <v>827</v>
      </c>
      <c r="B844" s="1" t="s">
        <v>620</v>
      </c>
      <c r="C844" s="1" t="s">
        <v>2782</v>
      </c>
      <c r="D844" s="11" t="s">
        <v>619</v>
      </c>
      <c r="E844" s="35" t="s">
        <v>823</v>
      </c>
      <c r="F844" s="66" t="s">
        <v>940</v>
      </c>
      <c r="G844" s="24" t="s">
        <v>2795</v>
      </c>
      <c r="H844" s="15" t="s">
        <v>2789</v>
      </c>
      <c r="I844" s="16">
        <v>38</v>
      </c>
      <c r="J844" s="16" t="str">
        <f t="shared" si="41"/>
        <v>Middle Age</v>
      </c>
      <c r="K844" s="25">
        <v>2</v>
      </c>
      <c r="L844" s="42">
        <v>2150</v>
      </c>
      <c r="M844" s="15">
        <v>840</v>
      </c>
      <c r="N844" s="39">
        <f t="shared" si="39"/>
        <v>4300</v>
      </c>
      <c r="O844" s="39">
        <f t="shared" si="40"/>
        <v>2620</v>
      </c>
      <c r="P844" s="24" t="s">
        <v>2015</v>
      </c>
      <c r="Q844" s="24" t="s">
        <v>2014</v>
      </c>
      <c r="R844" s="1" t="s">
        <v>2013</v>
      </c>
      <c r="S844" s="15" t="s">
        <v>2082</v>
      </c>
      <c r="T844" s="15" t="s">
        <v>2442</v>
      </c>
      <c r="U844" s="25" t="s">
        <v>2084</v>
      </c>
      <c r="V844" s="25" t="s">
        <v>2436</v>
      </c>
      <c r="W844" s="80">
        <v>44987</v>
      </c>
      <c r="X844" s="21" t="s">
        <v>2816</v>
      </c>
    </row>
    <row r="845" spans="1:24" x14ac:dyDescent="0.2">
      <c r="A845" s="1">
        <v>828</v>
      </c>
      <c r="B845" s="1" t="s">
        <v>622</v>
      </c>
      <c r="C845" s="1" t="s">
        <v>2782</v>
      </c>
      <c r="D845" s="11" t="s">
        <v>621</v>
      </c>
      <c r="E845" s="35" t="s">
        <v>823</v>
      </c>
      <c r="F845" s="66" t="s">
        <v>25</v>
      </c>
      <c r="G845" s="24" t="s">
        <v>2797</v>
      </c>
      <c r="H845" s="15" t="s">
        <v>2789</v>
      </c>
      <c r="I845" s="16">
        <v>41</v>
      </c>
      <c r="J845" s="16" t="str">
        <f t="shared" si="41"/>
        <v>Middle Age</v>
      </c>
      <c r="K845" s="25">
        <v>3</v>
      </c>
      <c r="L845" s="42">
        <v>5150</v>
      </c>
      <c r="M845" s="15">
        <v>2350</v>
      </c>
      <c r="N845" s="39">
        <f t="shared" si="39"/>
        <v>15450</v>
      </c>
      <c r="O845" s="39">
        <f t="shared" si="40"/>
        <v>8400</v>
      </c>
      <c r="P845" s="24" t="s">
        <v>2028</v>
      </c>
      <c r="Q845" s="15" t="s">
        <v>2024</v>
      </c>
      <c r="R845" s="1" t="s">
        <v>2013</v>
      </c>
      <c r="S845" s="15" t="s">
        <v>2082</v>
      </c>
      <c r="T845" s="15" t="s">
        <v>2442</v>
      </c>
      <c r="U845" s="25" t="s">
        <v>2083</v>
      </c>
      <c r="V845" s="25" t="s">
        <v>2434</v>
      </c>
      <c r="W845" s="80">
        <v>45149</v>
      </c>
      <c r="X845" s="21" t="s">
        <v>2819</v>
      </c>
    </row>
    <row r="846" spans="1:24" x14ac:dyDescent="0.2">
      <c r="A846" s="1">
        <v>829</v>
      </c>
      <c r="B846" s="1" t="s">
        <v>234</v>
      </c>
      <c r="C846" s="1" t="s">
        <v>2782</v>
      </c>
      <c r="D846" s="11" t="s">
        <v>869</v>
      </c>
      <c r="E846" s="35" t="s">
        <v>828</v>
      </c>
      <c r="F846" s="66" t="s">
        <v>941</v>
      </c>
      <c r="G846" s="24" t="s">
        <v>2799</v>
      </c>
      <c r="H846" s="15" t="s">
        <v>2789</v>
      </c>
      <c r="I846" s="16">
        <v>29</v>
      </c>
      <c r="J846" s="16" t="str">
        <f t="shared" si="41"/>
        <v>Young</v>
      </c>
      <c r="K846" s="25">
        <v>4</v>
      </c>
      <c r="L846" s="42">
        <v>1000</v>
      </c>
      <c r="M846" s="15">
        <v>550</v>
      </c>
      <c r="N846" s="39">
        <f t="shared" si="39"/>
        <v>4000</v>
      </c>
      <c r="O846" s="39">
        <f t="shared" si="40"/>
        <v>1800</v>
      </c>
      <c r="P846" s="24" t="s">
        <v>2059</v>
      </c>
      <c r="Q846" s="24" t="s">
        <v>2016</v>
      </c>
      <c r="R846" s="1" t="s">
        <v>2013</v>
      </c>
      <c r="S846" s="15" t="s">
        <v>2082</v>
      </c>
      <c r="T846" s="15" t="s">
        <v>2442</v>
      </c>
      <c r="U846" s="25" t="s">
        <v>2090</v>
      </c>
      <c r="V846" s="25" t="s">
        <v>2437</v>
      </c>
      <c r="W846" s="80">
        <v>45193</v>
      </c>
      <c r="X846" s="21" t="s">
        <v>2820</v>
      </c>
    </row>
    <row r="847" spans="1:24" x14ac:dyDescent="0.2">
      <c r="A847" s="1">
        <v>830</v>
      </c>
      <c r="B847" s="1" t="s">
        <v>623</v>
      </c>
      <c r="C847" s="1" t="s">
        <v>2782</v>
      </c>
      <c r="D847" s="11" t="s">
        <v>2687</v>
      </c>
      <c r="E847" s="35" t="s">
        <v>822</v>
      </c>
      <c r="F847" s="66" t="s">
        <v>888</v>
      </c>
      <c r="G847" s="24" t="s">
        <v>2801</v>
      </c>
      <c r="H847" s="15" t="s">
        <v>2788</v>
      </c>
      <c r="I847" s="16">
        <v>60</v>
      </c>
      <c r="J847" s="16" t="str">
        <f t="shared" si="41"/>
        <v>Old</v>
      </c>
      <c r="K847" s="25">
        <v>1</v>
      </c>
      <c r="L847" s="42">
        <f>9250+550</f>
        <v>9800</v>
      </c>
      <c r="M847" s="15">
        <f>5250+450</f>
        <v>5700</v>
      </c>
      <c r="N847" s="39">
        <f t="shared" si="39"/>
        <v>9800</v>
      </c>
      <c r="O847" s="39">
        <f t="shared" si="40"/>
        <v>4100</v>
      </c>
      <c r="P847" s="24" t="s">
        <v>2060</v>
      </c>
      <c r="Q847" s="24" t="s">
        <v>2024</v>
      </c>
      <c r="R847" s="1" t="s">
        <v>2013</v>
      </c>
      <c r="S847" s="15" t="s">
        <v>2082</v>
      </c>
      <c r="T847" s="15" t="s">
        <v>2442</v>
      </c>
      <c r="U847" s="25" t="s">
        <v>2088</v>
      </c>
      <c r="V847" s="25" t="s">
        <v>2435</v>
      </c>
      <c r="W847" s="80">
        <v>45046</v>
      </c>
      <c r="X847" s="21" t="s">
        <v>2815</v>
      </c>
    </row>
    <row r="848" spans="1:24" x14ac:dyDescent="0.2">
      <c r="A848" s="1">
        <v>831</v>
      </c>
      <c r="B848" s="1" t="s">
        <v>570</v>
      </c>
      <c r="C848" s="1" t="s">
        <v>2782</v>
      </c>
      <c r="D848" s="11" t="s">
        <v>2554</v>
      </c>
      <c r="E848" s="35" t="s">
        <v>822</v>
      </c>
      <c r="F848" s="66" t="s">
        <v>887</v>
      </c>
      <c r="G848" s="24" t="s">
        <v>2803</v>
      </c>
      <c r="H848" s="15" t="s">
        <v>2788</v>
      </c>
      <c r="I848" s="16">
        <v>33</v>
      </c>
      <c r="J848" s="16" t="str">
        <f t="shared" si="41"/>
        <v>Young</v>
      </c>
      <c r="K848" s="25">
        <v>5</v>
      </c>
      <c r="L848" s="42">
        <v>4000</v>
      </c>
      <c r="M848" s="15">
        <v>2000</v>
      </c>
      <c r="N848" s="39">
        <f t="shared" si="39"/>
        <v>20000</v>
      </c>
      <c r="O848" s="39">
        <f t="shared" si="40"/>
        <v>10000</v>
      </c>
      <c r="P848" s="24" t="s">
        <v>2056</v>
      </c>
      <c r="Q848" s="24" t="s">
        <v>2024</v>
      </c>
      <c r="R848" s="1" t="s">
        <v>2013</v>
      </c>
      <c r="S848" s="15" t="s">
        <v>2082</v>
      </c>
      <c r="T848" s="15" t="s">
        <v>2442</v>
      </c>
      <c r="U848" s="25" t="s">
        <v>2083</v>
      </c>
      <c r="V848" s="25" t="s">
        <v>2434</v>
      </c>
      <c r="W848" s="80">
        <v>45104</v>
      </c>
      <c r="X848" s="21" t="s">
        <v>2814</v>
      </c>
    </row>
    <row r="849" spans="1:24" x14ac:dyDescent="0.2">
      <c r="A849" s="1">
        <v>832</v>
      </c>
      <c r="B849" s="1" t="s">
        <v>555</v>
      </c>
      <c r="C849" s="1" t="s">
        <v>2782</v>
      </c>
      <c r="D849" s="11" t="s">
        <v>2590</v>
      </c>
      <c r="E849" s="35" t="s">
        <v>863</v>
      </c>
      <c r="F849" s="66" t="s">
        <v>901</v>
      </c>
      <c r="G849" s="24" t="s">
        <v>2805</v>
      </c>
      <c r="H849" s="15" t="s">
        <v>2789</v>
      </c>
      <c r="I849" s="16">
        <v>22</v>
      </c>
      <c r="J849" s="16" t="str">
        <f t="shared" si="41"/>
        <v>Young</v>
      </c>
      <c r="K849" s="25">
        <v>3</v>
      </c>
      <c r="L849" s="42">
        <v>4200</v>
      </c>
      <c r="M849" s="15">
        <v>2200</v>
      </c>
      <c r="N849" s="39">
        <f t="shared" si="39"/>
        <v>12600</v>
      </c>
      <c r="O849" s="39">
        <f t="shared" si="40"/>
        <v>6000</v>
      </c>
      <c r="P849" s="24" t="s">
        <v>2027</v>
      </c>
      <c r="Q849" s="24" t="s">
        <v>2014</v>
      </c>
      <c r="R849" s="1" t="s">
        <v>2013</v>
      </c>
      <c r="S849" s="15" t="s">
        <v>2082</v>
      </c>
      <c r="T849" s="15" t="s">
        <v>2442</v>
      </c>
      <c r="U849" s="25" t="s">
        <v>2083</v>
      </c>
      <c r="V849" s="25" t="s">
        <v>2436</v>
      </c>
      <c r="W849" s="80">
        <v>45286</v>
      </c>
      <c r="X849" s="21" t="s">
        <v>2822</v>
      </c>
    </row>
    <row r="850" spans="1:24" x14ac:dyDescent="0.2">
      <c r="A850" s="1">
        <v>833</v>
      </c>
      <c r="B850" s="1" t="s">
        <v>570</v>
      </c>
      <c r="C850" s="1" t="s">
        <v>2782</v>
      </c>
      <c r="D850" s="11" t="s">
        <v>624</v>
      </c>
      <c r="E850" s="35" t="s">
        <v>864</v>
      </c>
      <c r="F850" s="66" t="s">
        <v>885</v>
      </c>
      <c r="G850" s="24" t="s">
        <v>2807</v>
      </c>
      <c r="H850" s="15" t="s">
        <v>2789</v>
      </c>
      <c r="I850" s="16">
        <v>47</v>
      </c>
      <c r="J850" s="16" t="str">
        <f t="shared" si="41"/>
        <v>Middle Age</v>
      </c>
      <c r="K850" s="25">
        <v>2</v>
      </c>
      <c r="L850" s="42">
        <v>2450</v>
      </c>
      <c r="M850" s="15">
        <v>1150</v>
      </c>
      <c r="N850" s="39">
        <f t="shared" si="39"/>
        <v>4900</v>
      </c>
      <c r="O850" s="39">
        <f t="shared" si="40"/>
        <v>2600</v>
      </c>
      <c r="P850" s="24" t="s">
        <v>2038</v>
      </c>
      <c r="Q850" s="15" t="s">
        <v>2016</v>
      </c>
      <c r="R850" s="1" t="s">
        <v>2013</v>
      </c>
      <c r="S850" s="15" t="s">
        <v>2082</v>
      </c>
      <c r="T850" s="15" t="s">
        <v>2442</v>
      </c>
      <c r="U850" s="25" t="s">
        <v>2085</v>
      </c>
      <c r="V850" s="25" t="s">
        <v>2437</v>
      </c>
      <c r="W850" s="80">
        <v>45027</v>
      </c>
      <c r="X850" s="21" t="s">
        <v>2815</v>
      </c>
    </row>
    <row r="851" spans="1:24" x14ac:dyDescent="0.2">
      <c r="A851" s="1">
        <v>834</v>
      </c>
      <c r="B851" s="1" t="s">
        <v>625</v>
      </c>
      <c r="C851" s="1" t="s">
        <v>2782</v>
      </c>
      <c r="D851" s="11" t="s">
        <v>2688</v>
      </c>
      <c r="E851" s="35" t="s">
        <v>823</v>
      </c>
      <c r="F851" s="66" t="s">
        <v>882</v>
      </c>
      <c r="G851" s="24" t="s">
        <v>2809</v>
      </c>
      <c r="H851" s="15" t="s">
        <v>2788</v>
      </c>
      <c r="I851" s="16">
        <v>55</v>
      </c>
      <c r="J851" s="16" t="str">
        <f t="shared" si="41"/>
        <v>Old</v>
      </c>
      <c r="K851" s="25">
        <v>4</v>
      </c>
      <c r="L851" s="42">
        <v>3550</v>
      </c>
      <c r="M851" s="15">
        <v>2050</v>
      </c>
      <c r="N851" s="39">
        <f t="shared" si="39"/>
        <v>14200</v>
      </c>
      <c r="O851" s="39">
        <f t="shared" si="40"/>
        <v>6000</v>
      </c>
      <c r="P851" s="24" t="s">
        <v>2043</v>
      </c>
      <c r="Q851" s="24" t="s">
        <v>2016</v>
      </c>
      <c r="R851" s="1" t="s">
        <v>2013</v>
      </c>
      <c r="S851" s="15" t="s">
        <v>2082</v>
      </c>
      <c r="T851" s="15" t="s">
        <v>2442</v>
      </c>
      <c r="U851" s="25" t="s">
        <v>2089</v>
      </c>
      <c r="V851" s="25" t="s">
        <v>2435</v>
      </c>
      <c r="W851" s="80">
        <v>45011</v>
      </c>
      <c r="X851" s="21" t="s">
        <v>2816</v>
      </c>
    </row>
    <row r="852" spans="1:24" x14ac:dyDescent="0.2">
      <c r="A852" s="1">
        <v>835</v>
      </c>
      <c r="B852" s="1" t="s">
        <v>64</v>
      </c>
      <c r="C852" s="1" t="s">
        <v>2782</v>
      </c>
      <c r="D852" s="11" t="s">
        <v>626</v>
      </c>
      <c r="E852" s="35" t="s">
        <v>823</v>
      </c>
      <c r="F852" s="66" t="s">
        <v>942</v>
      </c>
      <c r="G852" s="24" t="s">
        <v>2794</v>
      </c>
      <c r="H852" s="15" t="s">
        <v>2789</v>
      </c>
      <c r="I852" s="16">
        <v>36</v>
      </c>
      <c r="J852" s="16" t="str">
        <f t="shared" si="41"/>
        <v>Middle Age</v>
      </c>
      <c r="K852" s="25">
        <v>5</v>
      </c>
      <c r="L852" s="42">
        <f>3690+350</f>
        <v>4040</v>
      </c>
      <c r="M852" s="15">
        <f>1620+200</f>
        <v>1820</v>
      </c>
      <c r="N852" s="39">
        <f t="shared" si="39"/>
        <v>20200</v>
      </c>
      <c r="O852" s="39">
        <f t="shared" si="40"/>
        <v>11100</v>
      </c>
      <c r="P852" s="24" t="s">
        <v>2060</v>
      </c>
      <c r="Q852" s="24" t="s">
        <v>2024</v>
      </c>
      <c r="R852" s="1" t="s">
        <v>2013</v>
      </c>
      <c r="S852" s="15" t="s">
        <v>2082</v>
      </c>
      <c r="T852" s="15" t="s">
        <v>2442</v>
      </c>
      <c r="U852" s="25" t="s">
        <v>2083</v>
      </c>
      <c r="V852" s="25" t="s">
        <v>2436</v>
      </c>
      <c r="W852" s="80">
        <v>44995</v>
      </c>
      <c r="X852" s="21" t="s">
        <v>2816</v>
      </c>
    </row>
    <row r="853" spans="1:24" x14ac:dyDescent="0.2">
      <c r="A853" s="1">
        <v>836</v>
      </c>
      <c r="B853" s="1" t="s">
        <v>627</v>
      </c>
      <c r="C853" s="1" t="s">
        <v>2782</v>
      </c>
      <c r="D853" s="11" t="s">
        <v>384</v>
      </c>
      <c r="E853" s="35" t="s">
        <v>863</v>
      </c>
      <c r="F853" s="66" t="s">
        <v>943</v>
      </c>
      <c r="G853" s="24" t="s">
        <v>2792</v>
      </c>
      <c r="H853" s="15" t="s">
        <v>2789</v>
      </c>
      <c r="I853" s="16">
        <v>28</v>
      </c>
      <c r="J853" s="16" t="str">
        <f t="shared" si="41"/>
        <v>Young</v>
      </c>
      <c r="K853" s="25">
        <v>3</v>
      </c>
      <c r="L853" s="42">
        <v>3890</v>
      </c>
      <c r="M853" s="15">
        <v>1890</v>
      </c>
      <c r="N853" s="39">
        <f t="shared" si="39"/>
        <v>11670</v>
      </c>
      <c r="O853" s="39">
        <f t="shared" si="40"/>
        <v>6000</v>
      </c>
      <c r="P853" s="24" t="s">
        <v>2046</v>
      </c>
      <c r="Q853" s="24" t="s">
        <v>2016</v>
      </c>
      <c r="R853" s="1" t="s">
        <v>2013</v>
      </c>
      <c r="S853" s="15" t="s">
        <v>2082</v>
      </c>
      <c r="T853" s="15" t="s">
        <v>2442</v>
      </c>
      <c r="U853" s="25" t="s">
        <v>2088</v>
      </c>
      <c r="V853" s="25" t="s">
        <v>2434</v>
      </c>
      <c r="W853" s="80">
        <v>45123</v>
      </c>
      <c r="X853" s="21" t="s">
        <v>2813</v>
      </c>
    </row>
    <row r="854" spans="1:24" x14ac:dyDescent="0.2">
      <c r="A854" s="1">
        <v>837</v>
      </c>
      <c r="B854" s="1" t="s">
        <v>629</v>
      </c>
      <c r="C854" s="1" t="s">
        <v>2782</v>
      </c>
      <c r="D854" s="11" t="s">
        <v>628</v>
      </c>
      <c r="E854" s="35" t="s">
        <v>822</v>
      </c>
      <c r="F854" s="66" t="s">
        <v>907</v>
      </c>
      <c r="G854" s="24" t="s">
        <v>2796</v>
      </c>
      <c r="H854" s="15" t="s">
        <v>2789</v>
      </c>
      <c r="I854" s="16">
        <v>50</v>
      </c>
      <c r="J854" s="16" t="str">
        <f t="shared" si="41"/>
        <v>Old</v>
      </c>
      <c r="K854" s="25">
        <v>2</v>
      </c>
      <c r="L854" s="42">
        <v>9200</v>
      </c>
      <c r="M854" s="15">
        <v>5200</v>
      </c>
      <c r="N854" s="39">
        <f t="shared" si="39"/>
        <v>18400</v>
      </c>
      <c r="O854" s="39">
        <f t="shared" si="40"/>
        <v>8000</v>
      </c>
      <c r="P854" s="24" t="s">
        <v>2062</v>
      </c>
      <c r="Q854" s="15" t="s">
        <v>2828</v>
      </c>
      <c r="R854" s="1" t="s">
        <v>2013</v>
      </c>
      <c r="S854" s="15" t="s">
        <v>2082</v>
      </c>
      <c r="T854" s="15" t="s">
        <v>2442</v>
      </c>
      <c r="U854" s="25" t="s">
        <v>2084</v>
      </c>
      <c r="V854" s="25" t="s">
        <v>2437</v>
      </c>
      <c r="W854" s="80">
        <v>45120</v>
      </c>
      <c r="X854" s="21" t="s">
        <v>2813</v>
      </c>
    </row>
    <row r="855" spans="1:24" x14ac:dyDescent="0.2">
      <c r="A855" s="1">
        <v>838</v>
      </c>
      <c r="B855" s="1" t="s">
        <v>6</v>
      </c>
      <c r="C855" s="1" t="s">
        <v>2782</v>
      </c>
      <c r="D855" s="11" t="s">
        <v>2689</v>
      </c>
      <c r="E855" s="35" t="s">
        <v>864</v>
      </c>
      <c r="F855" s="66" t="s">
        <v>870</v>
      </c>
      <c r="G855" s="24" t="s">
        <v>2798</v>
      </c>
      <c r="H855" s="15" t="s">
        <v>2788</v>
      </c>
      <c r="I855" s="16">
        <v>39</v>
      </c>
      <c r="J855" s="16" t="str">
        <f t="shared" si="41"/>
        <v>Middle Age</v>
      </c>
      <c r="K855" s="25">
        <v>4</v>
      </c>
      <c r="L855" s="42">
        <f>2150+250</f>
        <v>2400</v>
      </c>
      <c r="M855" s="15">
        <f>950+150</f>
        <v>1100</v>
      </c>
      <c r="N855" s="39">
        <f t="shared" si="39"/>
        <v>9600</v>
      </c>
      <c r="O855" s="39">
        <f t="shared" si="40"/>
        <v>5200</v>
      </c>
      <c r="P855" s="24" t="s">
        <v>2057</v>
      </c>
      <c r="Q855" s="24" t="s">
        <v>2020</v>
      </c>
      <c r="R855" s="1" t="s">
        <v>2013</v>
      </c>
      <c r="S855" s="15" t="s">
        <v>2082</v>
      </c>
      <c r="T855" s="15" t="s">
        <v>2442</v>
      </c>
      <c r="U855" s="25" t="s">
        <v>2086</v>
      </c>
      <c r="V855" s="25" t="s">
        <v>2435</v>
      </c>
      <c r="W855" s="80">
        <v>45211</v>
      </c>
      <c r="X855" s="21" t="s">
        <v>2821</v>
      </c>
    </row>
    <row r="856" spans="1:24" x14ac:dyDescent="0.2">
      <c r="A856" s="1">
        <v>839</v>
      </c>
      <c r="B856" s="1" t="s">
        <v>630</v>
      </c>
      <c r="C856" s="1" t="s">
        <v>2782</v>
      </c>
      <c r="D856" s="11" t="s">
        <v>2690</v>
      </c>
      <c r="E856" s="35" t="s">
        <v>863</v>
      </c>
      <c r="F856" s="66" t="s">
        <v>944</v>
      </c>
      <c r="G856" s="24" t="s">
        <v>2800</v>
      </c>
      <c r="H856" s="15" t="s">
        <v>2789</v>
      </c>
      <c r="I856" s="16">
        <v>31</v>
      </c>
      <c r="J856" s="16" t="str">
        <f t="shared" si="41"/>
        <v>Young</v>
      </c>
      <c r="K856" s="25">
        <v>1</v>
      </c>
      <c r="L856" s="42">
        <v>4850</v>
      </c>
      <c r="M856" s="15">
        <v>2630</v>
      </c>
      <c r="N856" s="39">
        <f t="shared" si="39"/>
        <v>4850</v>
      </c>
      <c r="O856" s="39">
        <f t="shared" si="40"/>
        <v>2220</v>
      </c>
      <c r="P856" s="24" t="s">
        <v>2043</v>
      </c>
      <c r="Q856" s="24" t="s">
        <v>2016</v>
      </c>
      <c r="R856" s="1" t="s">
        <v>2013</v>
      </c>
      <c r="S856" s="15" t="s">
        <v>2082</v>
      </c>
      <c r="T856" s="15" t="s">
        <v>2442</v>
      </c>
      <c r="U856" s="25" t="s">
        <v>2088</v>
      </c>
      <c r="V856" s="25" t="s">
        <v>2434</v>
      </c>
      <c r="W856" s="80">
        <v>45047</v>
      </c>
      <c r="X856" s="21" t="s">
        <v>2786</v>
      </c>
    </row>
    <row r="857" spans="1:24" x14ac:dyDescent="0.2">
      <c r="A857" s="1">
        <v>840</v>
      </c>
      <c r="B857" s="1" t="s">
        <v>631</v>
      </c>
      <c r="C857" s="1" t="s">
        <v>2782</v>
      </c>
      <c r="D857" s="11" t="s">
        <v>811</v>
      </c>
      <c r="E857" s="35" t="s">
        <v>864</v>
      </c>
      <c r="F857" s="66" t="s">
        <v>945</v>
      </c>
      <c r="G857" s="24" t="s">
        <v>2802</v>
      </c>
      <c r="H857" s="15" t="s">
        <v>2788</v>
      </c>
      <c r="I857" s="16">
        <v>44</v>
      </c>
      <c r="J857" s="16" t="str">
        <f t="shared" si="41"/>
        <v>Middle Age</v>
      </c>
      <c r="K857" s="25">
        <v>5</v>
      </c>
      <c r="L857" s="42">
        <f>6400+550</f>
        <v>6950</v>
      </c>
      <c r="M857" s="15">
        <f>3880+450</f>
        <v>4330</v>
      </c>
      <c r="N857" s="39">
        <f t="shared" si="39"/>
        <v>34750</v>
      </c>
      <c r="O857" s="39">
        <f t="shared" si="40"/>
        <v>13100</v>
      </c>
      <c r="P857" s="24" t="s">
        <v>2061</v>
      </c>
      <c r="Q857" s="24" t="s">
        <v>2014</v>
      </c>
      <c r="R857" s="1" t="s">
        <v>2013</v>
      </c>
      <c r="S857" s="15" t="s">
        <v>2082</v>
      </c>
      <c r="T857" s="15" t="s">
        <v>2442</v>
      </c>
      <c r="U857" s="25" t="s">
        <v>2085</v>
      </c>
      <c r="V857" s="25" t="s">
        <v>2436</v>
      </c>
      <c r="W857" s="80">
        <v>45096</v>
      </c>
      <c r="X857" s="21" t="s">
        <v>2814</v>
      </c>
    </row>
    <row r="858" spans="1:24" x14ac:dyDescent="0.2">
      <c r="A858" s="1">
        <v>841</v>
      </c>
      <c r="B858" s="1" t="s">
        <v>633</v>
      </c>
      <c r="C858" s="1" t="s">
        <v>2782</v>
      </c>
      <c r="D858" s="11" t="s">
        <v>632</v>
      </c>
      <c r="E858" s="35" t="s">
        <v>822</v>
      </c>
      <c r="F858" s="66" t="s">
        <v>946</v>
      </c>
      <c r="G858" s="24" t="s">
        <v>2804</v>
      </c>
      <c r="H858" s="15" t="s">
        <v>2788</v>
      </c>
      <c r="I858" s="16">
        <v>26</v>
      </c>
      <c r="J858" s="16" t="str">
        <f t="shared" si="41"/>
        <v>Young</v>
      </c>
      <c r="K858" s="25">
        <v>2</v>
      </c>
      <c r="L858" s="42">
        <v>1670</v>
      </c>
      <c r="M858" s="15">
        <v>670</v>
      </c>
      <c r="N858" s="39">
        <f t="shared" si="39"/>
        <v>3340</v>
      </c>
      <c r="O858" s="39">
        <f t="shared" si="40"/>
        <v>2000</v>
      </c>
      <c r="P858" s="24" t="s">
        <v>2041</v>
      </c>
      <c r="Q858" s="24" t="s">
        <v>2016</v>
      </c>
      <c r="R858" s="1" t="s">
        <v>2013</v>
      </c>
      <c r="S858" s="15" t="s">
        <v>2082</v>
      </c>
      <c r="T858" s="15" t="s">
        <v>2442</v>
      </c>
      <c r="U858" s="25" t="s">
        <v>2089</v>
      </c>
      <c r="V858" s="25" t="s">
        <v>2437</v>
      </c>
      <c r="W858" s="80">
        <v>45215</v>
      </c>
      <c r="X858" s="21" t="s">
        <v>2821</v>
      </c>
    </row>
    <row r="859" spans="1:24" x14ac:dyDescent="0.2">
      <c r="A859" s="1">
        <v>842</v>
      </c>
      <c r="B859" s="1" t="s">
        <v>635</v>
      </c>
      <c r="C859" s="1" t="s">
        <v>2782</v>
      </c>
      <c r="D859" s="11" t="s">
        <v>634</v>
      </c>
      <c r="E859" s="35" t="s">
        <v>863</v>
      </c>
      <c r="F859" s="66" t="s">
        <v>947</v>
      </c>
      <c r="G859" s="24" t="s">
        <v>2806</v>
      </c>
      <c r="H859" s="15" t="s">
        <v>2788</v>
      </c>
      <c r="I859" s="16">
        <v>48</v>
      </c>
      <c r="J859" s="16" t="str">
        <f t="shared" si="41"/>
        <v>Middle Age</v>
      </c>
      <c r="K859" s="25">
        <v>3</v>
      </c>
      <c r="L859" s="42">
        <f>4200+220</f>
        <v>4420</v>
      </c>
      <c r="M859" s="15">
        <f>1750+90</f>
        <v>1840</v>
      </c>
      <c r="N859" s="39">
        <f t="shared" si="39"/>
        <v>13260</v>
      </c>
      <c r="O859" s="39">
        <f t="shared" si="40"/>
        <v>7740</v>
      </c>
      <c r="P859" s="24" t="s">
        <v>2029</v>
      </c>
      <c r="Q859" s="24" t="s">
        <v>2016</v>
      </c>
      <c r="R859" s="1" t="s">
        <v>2013</v>
      </c>
      <c r="S859" s="15" t="s">
        <v>2082</v>
      </c>
      <c r="T859" s="15" t="s">
        <v>2442</v>
      </c>
      <c r="U859" s="25" t="s">
        <v>2088</v>
      </c>
      <c r="V859" s="25" t="s">
        <v>2435</v>
      </c>
      <c r="W859" s="80">
        <v>45286</v>
      </c>
      <c r="X859" s="21" t="s">
        <v>2822</v>
      </c>
    </row>
    <row r="860" spans="1:24" x14ac:dyDescent="0.2">
      <c r="A860" s="1">
        <v>843</v>
      </c>
      <c r="B860" s="1" t="s">
        <v>127</v>
      </c>
      <c r="C860" s="1" t="s">
        <v>2782</v>
      </c>
      <c r="D860" s="11" t="s">
        <v>636</v>
      </c>
      <c r="E860" s="35" t="s">
        <v>864</v>
      </c>
      <c r="F860" s="66" t="s">
        <v>948</v>
      </c>
      <c r="G860" s="24" t="s">
        <v>2808</v>
      </c>
      <c r="H860" s="15" t="s">
        <v>2788</v>
      </c>
      <c r="I860" s="16">
        <v>53</v>
      </c>
      <c r="J860" s="16" t="str">
        <f t="shared" si="41"/>
        <v>Old</v>
      </c>
      <c r="K860" s="25">
        <v>4</v>
      </c>
      <c r="L860" s="42">
        <v>3800</v>
      </c>
      <c r="M860" s="15">
        <v>1790</v>
      </c>
      <c r="N860" s="39">
        <f t="shared" si="39"/>
        <v>15200</v>
      </c>
      <c r="O860" s="39">
        <f t="shared" si="40"/>
        <v>8040</v>
      </c>
      <c r="P860" s="24" t="s">
        <v>2029</v>
      </c>
      <c r="Q860" s="24" t="s">
        <v>2016</v>
      </c>
      <c r="R860" s="1" t="s">
        <v>2013</v>
      </c>
      <c r="S860" s="15" t="s">
        <v>2082</v>
      </c>
      <c r="T860" s="15" t="s">
        <v>2442</v>
      </c>
      <c r="U860" s="25" t="s">
        <v>2085</v>
      </c>
      <c r="V860" s="25" t="s">
        <v>2436</v>
      </c>
      <c r="W860" s="80">
        <v>45143</v>
      </c>
      <c r="X860" s="21" t="s">
        <v>2819</v>
      </c>
    </row>
    <row r="861" spans="1:24" x14ac:dyDescent="0.2">
      <c r="A861" s="1">
        <v>844</v>
      </c>
      <c r="B861" s="1" t="s">
        <v>637</v>
      </c>
      <c r="C861" s="1" t="s">
        <v>2782</v>
      </c>
      <c r="D861" s="11" t="s">
        <v>2691</v>
      </c>
      <c r="E861" s="35" t="s">
        <v>822</v>
      </c>
      <c r="F861" s="66" t="s">
        <v>949</v>
      </c>
      <c r="G861" s="24" t="s">
        <v>2810</v>
      </c>
      <c r="H861" s="15" t="s">
        <v>2788</v>
      </c>
      <c r="I861" s="16">
        <v>30</v>
      </c>
      <c r="J861" s="16" t="str">
        <f t="shared" si="41"/>
        <v>Young</v>
      </c>
      <c r="K861" s="25">
        <v>1</v>
      </c>
      <c r="L861" s="42">
        <v>7950</v>
      </c>
      <c r="M861" s="15">
        <v>3770</v>
      </c>
      <c r="N861" s="39">
        <f t="shared" si="39"/>
        <v>7950</v>
      </c>
      <c r="O861" s="39">
        <f t="shared" si="40"/>
        <v>4180</v>
      </c>
      <c r="P861" s="24" t="s">
        <v>2060</v>
      </c>
      <c r="Q861" s="24" t="s">
        <v>2024</v>
      </c>
      <c r="R861" s="1" t="s">
        <v>2013</v>
      </c>
      <c r="S861" s="15" t="s">
        <v>2082</v>
      </c>
      <c r="T861" s="15" t="s">
        <v>2442</v>
      </c>
      <c r="U861" s="25" t="s">
        <v>2088</v>
      </c>
      <c r="V861" s="25" t="s">
        <v>2434</v>
      </c>
      <c r="W861" s="80">
        <v>45234</v>
      </c>
      <c r="X861" s="21" t="s">
        <v>2823</v>
      </c>
    </row>
    <row r="862" spans="1:24" x14ac:dyDescent="0.2">
      <c r="A862" s="1">
        <v>845</v>
      </c>
      <c r="B862" s="1" t="s">
        <v>38</v>
      </c>
      <c r="C862" s="1" t="s">
        <v>2782</v>
      </c>
      <c r="D862" s="11" t="s">
        <v>2539</v>
      </c>
      <c r="E862" s="35" t="s">
        <v>823</v>
      </c>
      <c r="F862" s="66" t="s">
        <v>874</v>
      </c>
      <c r="G862" s="24" t="s">
        <v>2793</v>
      </c>
      <c r="H862" s="15" t="s">
        <v>2788</v>
      </c>
      <c r="I862" s="16">
        <v>37</v>
      </c>
      <c r="J862" s="16" t="str">
        <f t="shared" si="41"/>
        <v>Middle Age</v>
      </c>
      <c r="K862" s="25">
        <v>5</v>
      </c>
      <c r="L862" s="42">
        <v>3480</v>
      </c>
      <c r="M862" s="15">
        <v>1240</v>
      </c>
      <c r="N862" s="39">
        <f t="shared" si="39"/>
        <v>17400</v>
      </c>
      <c r="O862" s="39">
        <f t="shared" si="40"/>
        <v>11200</v>
      </c>
      <c r="P862" s="24" t="s">
        <v>2053</v>
      </c>
      <c r="Q862" s="24" t="s">
        <v>2014</v>
      </c>
      <c r="R862" s="1" t="s">
        <v>2013</v>
      </c>
      <c r="S862" s="15" t="s">
        <v>2082</v>
      </c>
      <c r="T862" s="15" t="s">
        <v>2442</v>
      </c>
      <c r="U862" s="25" t="s">
        <v>2084</v>
      </c>
      <c r="V862" s="25" t="s">
        <v>2437</v>
      </c>
      <c r="W862" s="80">
        <v>45156</v>
      </c>
      <c r="X862" s="21" t="s">
        <v>2819</v>
      </c>
    </row>
    <row r="863" spans="1:24" x14ac:dyDescent="0.2">
      <c r="A863" s="1">
        <v>846</v>
      </c>
      <c r="B863" s="1" t="s">
        <v>638</v>
      </c>
      <c r="C863" s="1" t="s">
        <v>2782</v>
      </c>
      <c r="D863" s="11" t="s">
        <v>2692</v>
      </c>
      <c r="E863" s="35" t="s">
        <v>822</v>
      </c>
      <c r="F863" s="66" t="s">
        <v>950</v>
      </c>
      <c r="G863" s="24" t="s">
        <v>2791</v>
      </c>
      <c r="H863" s="15" t="s">
        <v>2788</v>
      </c>
      <c r="I863" s="16">
        <v>42</v>
      </c>
      <c r="J863" s="16" t="str">
        <f t="shared" si="41"/>
        <v>Middle Age</v>
      </c>
      <c r="K863" s="25">
        <v>3</v>
      </c>
      <c r="L863" s="42">
        <v>4200</v>
      </c>
      <c r="M863" s="15">
        <v>1450</v>
      </c>
      <c r="N863" s="39">
        <f t="shared" si="39"/>
        <v>12600</v>
      </c>
      <c r="O863" s="39">
        <f t="shared" si="40"/>
        <v>8250</v>
      </c>
      <c r="P863" s="24" t="s">
        <v>2039</v>
      </c>
      <c r="Q863" s="24" t="s">
        <v>2014</v>
      </c>
      <c r="R863" s="1" t="s">
        <v>2013</v>
      </c>
      <c r="S863" s="15" t="s">
        <v>2082</v>
      </c>
      <c r="T863" s="15" t="s">
        <v>2442</v>
      </c>
      <c r="U863" s="25" t="s">
        <v>2085</v>
      </c>
      <c r="V863" s="25" t="s">
        <v>2437</v>
      </c>
      <c r="W863" s="80">
        <v>45125</v>
      </c>
      <c r="X863" s="21" t="s">
        <v>2813</v>
      </c>
    </row>
    <row r="864" spans="1:24" x14ac:dyDescent="0.2">
      <c r="A864" s="1">
        <v>847</v>
      </c>
      <c r="B864" s="1" t="s">
        <v>121</v>
      </c>
      <c r="C864" s="1" t="s">
        <v>2782</v>
      </c>
      <c r="D864" s="11" t="s">
        <v>639</v>
      </c>
      <c r="E864" s="35" t="s">
        <v>828</v>
      </c>
      <c r="F864" s="66" t="s">
        <v>951</v>
      </c>
      <c r="G864" s="24" t="s">
        <v>2795</v>
      </c>
      <c r="H864" s="15" t="s">
        <v>2788</v>
      </c>
      <c r="I864" s="16">
        <v>24</v>
      </c>
      <c r="J864" s="16" t="str">
        <f t="shared" si="41"/>
        <v>Young</v>
      </c>
      <c r="K864" s="25">
        <v>5</v>
      </c>
      <c r="L864" s="42">
        <v>4000</v>
      </c>
      <c r="M864" s="15">
        <f>1750+200</f>
        <v>1950</v>
      </c>
      <c r="N864" s="39">
        <f t="shared" si="39"/>
        <v>20000</v>
      </c>
      <c r="O864" s="39">
        <f t="shared" si="40"/>
        <v>10250</v>
      </c>
      <c r="P864" s="24" t="s">
        <v>2018</v>
      </c>
      <c r="Q864" s="15" t="s">
        <v>2828</v>
      </c>
      <c r="R864" s="1" t="s">
        <v>2013</v>
      </c>
      <c r="S864" s="15" t="s">
        <v>2082</v>
      </c>
      <c r="T864" s="15" t="s">
        <v>2442</v>
      </c>
      <c r="U864" s="25" t="s">
        <v>2089</v>
      </c>
      <c r="V864" s="25" t="s">
        <v>2436</v>
      </c>
      <c r="W864" s="80">
        <v>44966</v>
      </c>
      <c r="X864" s="21" t="s">
        <v>2817</v>
      </c>
    </row>
    <row r="865" spans="1:24" x14ac:dyDescent="0.2">
      <c r="A865" s="1">
        <v>848</v>
      </c>
      <c r="B865" s="1" t="s">
        <v>575</v>
      </c>
      <c r="C865" s="1" t="s">
        <v>2782</v>
      </c>
      <c r="D865" s="11" t="s">
        <v>2693</v>
      </c>
      <c r="E865" s="35" t="s">
        <v>863</v>
      </c>
      <c r="F865" s="66" t="s">
        <v>894</v>
      </c>
      <c r="G865" s="24" t="s">
        <v>2797</v>
      </c>
      <c r="H865" s="15" t="s">
        <v>2789</v>
      </c>
      <c r="I865" s="16">
        <v>57</v>
      </c>
      <c r="J865" s="16" t="str">
        <f t="shared" si="41"/>
        <v>Old</v>
      </c>
      <c r="K865" s="25">
        <v>2</v>
      </c>
      <c r="L865" s="42">
        <v>2990</v>
      </c>
      <c r="M865" s="15">
        <v>1470</v>
      </c>
      <c r="N865" s="39">
        <f t="shared" si="39"/>
        <v>5980</v>
      </c>
      <c r="O865" s="39">
        <f t="shared" si="40"/>
        <v>3040</v>
      </c>
      <c r="P865" s="24" t="s">
        <v>2042</v>
      </c>
      <c r="Q865" s="15" t="s">
        <v>2828</v>
      </c>
      <c r="R865" s="1" t="s">
        <v>2013</v>
      </c>
      <c r="S865" s="15" t="s">
        <v>2082</v>
      </c>
      <c r="T865" s="15" t="s">
        <v>2442</v>
      </c>
      <c r="U865" s="25" t="s">
        <v>2087</v>
      </c>
      <c r="V865" s="25" t="s">
        <v>2434</v>
      </c>
      <c r="W865" s="80">
        <v>45212</v>
      </c>
      <c r="X865" s="21" t="s">
        <v>2821</v>
      </c>
    </row>
    <row r="866" spans="1:24" x14ac:dyDescent="0.2">
      <c r="A866" s="1">
        <v>849</v>
      </c>
      <c r="B866" s="1" t="s">
        <v>99</v>
      </c>
      <c r="C866" s="1" t="s">
        <v>2782</v>
      </c>
      <c r="D866" s="11" t="s">
        <v>640</v>
      </c>
      <c r="E866" s="35" t="s">
        <v>828</v>
      </c>
      <c r="F866" s="66" t="s">
        <v>888</v>
      </c>
      <c r="G866" s="24" t="s">
        <v>2799</v>
      </c>
      <c r="H866" s="15" t="s">
        <v>2788</v>
      </c>
      <c r="I866" s="16">
        <v>35</v>
      </c>
      <c r="J866" s="16" t="str">
        <f t="shared" si="41"/>
        <v>Young</v>
      </c>
      <c r="K866" s="25">
        <v>1</v>
      </c>
      <c r="L866" s="42">
        <v>4790</v>
      </c>
      <c r="M866" s="15">
        <f>2270+450+100</f>
        <v>2820</v>
      </c>
      <c r="N866" s="39">
        <f t="shared" si="39"/>
        <v>4790</v>
      </c>
      <c r="O866" s="39">
        <f t="shared" si="40"/>
        <v>1970</v>
      </c>
      <c r="P866" s="24" t="s">
        <v>2017</v>
      </c>
      <c r="Q866" s="24" t="s">
        <v>2016</v>
      </c>
      <c r="R866" s="1" t="s">
        <v>2013</v>
      </c>
      <c r="S866" s="15" t="s">
        <v>2082</v>
      </c>
      <c r="T866" s="15" t="s">
        <v>2442</v>
      </c>
      <c r="U866" s="25" t="s">
        <v>2088</v>
      </c>
      <c r="V866" s="25" t="s">
        <v>2437</v>
      </c>
      <c r="W866" s="80">
        <v>45123</v>
      </c>
      <c r="X866" s="21" t="s">
        <v>2813</v>
      </c>
    </row>
    <row r="867" spans="1:24" x14ac:dyDescent="0.2">
      <c r="A867" s="1">
        <v>850</v>
      </c>
      <c r="B867" s="1" t="s">
        <v>642</v>
      </c>
      <c r="C867" s="1" t="s">
        <v>2782</v>
      </c>
      <c r="D867" s="11" t="s">
        <v>641</v>
      </c>
      <c r="E867" s="35" t="s">
        <v>822</v>
      </c>
      <c r="F867" s="67" t="s">
        <v>889</v>
      </c>
      <c r="G867" s="24" t="s">
        <v>2801</v>
      </c>
      <c r="H867" s="15" t="s">
        <v>2788</v>
      </c>
      <c r="I867" s="16">
        <v>40</v>
      </c>
      <c r="J867" s="16" t="str">
        <f t="shared" si="41"/>
        <v>Middle Age</v>
      </c>
      <c r="K867" s="25">
        <v>3</v>
      </c>
      <c r="L867" s="42">
        <v>4765</v>
      </c>
      <c r="M867" s="15">
        <f>1930</f>
        <v>1930</v>
      </c>
      <c r="N867" s="39">
        <f t="shared" si="39"/>
        <v>14295</v>
      </c>
      <c r="O867" s="39">
        <f t="shared" si="40"/>
        <v>8505</v>
      </c>
      <c r="P867" s="24" t="s">
        <v>2030</v>
      </c>
      <c r="Q867" s="24" t="s">
        <v>2024</v>
      </c>
      <c r="R867" s="1" t="s">
        <v>2013</v>
      </c>
      <c r="S867" s="15" t="s">
        <v>2082</v>
      </c>
      <c r="T867" s="15" t="s">
        <v>2442</v>
      </c>
      <c r="U867" s="25" t="s">
        <v>2089</v>
      </c>
      <c r="V867" s="25" t="s">
        <v>2435</v>
      </c>
      <c r="W867" s="80">
        <v>44932</v>
      </c>
      <c r="X867" s="21" t="s">
        <v>2818</v>
      </c>
    </row>
    <row r="868" spans="1:24" x14ac:dyDescent="0.2">
      <c r="A868" s="1">
        <v>851</v>
      </c>
      <c r="B868" s="1" t="s">
        <v>186</v>
      </c>
      <c r="C868" s="1" t="s">
        <v>2782</v>
      </c>
      <c r="D868" s="11" t="s">
        <v>643</v>
      </c>
      <c r="E868" s="35" t="s">
        <v>822</v>
      </c>
      <c r="F868" s="67" t="s">
        <v>890</v>
      </c>
      <c r="G868" s="24" t="s">
        <v>2803</v>
      </c>
      <c r="H868" s="15" t="s">
        <v>2788</v>
      </c>
      <c r="I868" s="16">
        <v>21</v>
      </c>
      <c r="J868" s="16" t="str">
        <f t="shared" si="41"/>
        <v>Young</v>
      </c>
      <c r="K868" s="25">
        <v>4</v>
      </c>
      <c r="L868" s="42">
        <v>3210</v>
      </c>
      <c r="M868" s="15">
        <f>1150-90</f>
        <v>1060</v>
      </c>
      <c r="N868" s="39">
        <f t="shared" si="39"/>
        <v>12840</v>
      </c>
      <c r="O868" s="39">
        <f t="shared" si="40"/>
        <v>8600</v>
      </c>
      <c r="P868" s="24" t="s">
        <v>2054</v>
      </c>
      <c r="Q868" s="24" t="s">
        <v>2016</v>
      </c>
      <c r="R868" s="1" t="s">
        <v>2013</v>
      </c>
      <c r="S868" s="15" t="s">
        <v>2082</v>
      </c>
      <c r="T868" s="15" t="s">
        <v>2442</v>
      </c>
      <c r="U868" s="25" t="s">
        <v>2088</v>
      </c>
      <c r="V868" s="25" t="s">
        <v>2434</v>
      </c>
      <c r="W868" s="80">
        <v>45199</v>
      </c>
      <c r="X868" s="21" t="s">
        <v>2820</v>
      </c>
    </row>
    <row r="869" spans="1:24" x14ac:dyDescent="0.2">
      <c r="A869" s="1">
        <v>852</v>
      </c>
      <c r="B869" s="1" t="s">
        <v>8</v>
      </c>
      <c r="C869" s="1" t="s">
        <v>2782</v>
      </c>
      <c r="D869" s="11" t="s">
        <v>4</v>
      </c>
      <c r="E869" s="35" t="s">
        <v>863</v>
      </c>
      <c r="F869" s="66" t="s">
        <v>891</v>
      </c>
      <c r="G869" s="24" t="s">
        <v>2805</v>
      </c>
      <c r="H869" s="15" t="s">
        <v>2788</v>
      </c>
      <c r="I869" s="16">
        <v>59</v>
      </c>
      <c r="J869" s="16" t="str">
        <f t="shared" si="41"/>
        <v>Old</v>
      </c>
      <c r="K869" s="25">
        <v>5</v>
      </c>
      <c r="L869" s="42">
        <v>1090</v>
      </c>
      <c r="M869" s="15">
        <v>550</v>
      </c>
      <c r="N869" s="39">
        <f t="shared" si="39"/>
        <v>5450</v>
      </c>
      <c r="O869" s="39">
        <f t="shared" si="40"/>
        <v>2700</v>
      </c>
      <c r="P869" s="24" t="s">
        <v>2018</v>
      </c>
      <c r="Q869" s="15" t="s">
        <v>2828</v>
      </c>
      <c r="R869" s="1" t="s">
        <v>2013</v>
      </c>
      <c r="S869" s="15" t="s">
        <v>2082</v>
      </c>
      <c r="T869" s="15" t="s">
        <v>2442</v>
      </c>
      <c r="U869" s="25" t="s">
        <v>2087</v>
      </c>
      <c r="V869" s="25" t="s">
        <v>2436</v>
      </c>
      <c r="W869" s="80">
        <v>45074</v>
      </c>
      <c r="X869" s="21" t="s">
        <v>2786</v>
      </c>
    </row>
    <row r="870" spans="1:24" x14ac:dyDescent="0.2">
      <c r="A870" s="1">
        <v>853</v>
      </c>
      <c r="B870" s="1" t="s">
        <v>478</v>
      </c>
      <c r="C870" s="1" t="s">
        <v>2782</v>
      </c>
      <c r="D870" s="11" t="s">
        <v>644</v>
      </c>
      <c r="E870" s="35" t="s">
        <v>864</v>
      </c>
      <c r="F870" s="67" t="s">
        <v>892</v>
      </c>
      <c r="G870" s="24" t="s">
        <v>2807</v>
      </c>
      <c r="H870" s="15" t="s">
        <v>2789</v>
      </c>
      <c r="I870" s="16">
        <v>32</v>
      </c>
      <c r="J870" s="16" t="str">
        <f t="shared" si="41"/>
        <v>Young</v>
      </c>
      <c r="K870" s="25">
        <v>2</v>
      </c>
      <c r="L870" s="42">
        <v>2770</v>
      </c>
      <c r="M870" s="15">
        <v>1490</v>
      </c>
      <c r="N870" s="39">
        <f t="shared" si="39"/>
        <v>5540</v>
      </c>
      <c r="O870" s="39">
        <f t="shared" si="40"/>
        <v>2560</v>
      </c>
      <c r="P870" s="24" t="s">
        <v>2033</v>
      </c>
      <c r="Q870" s="24" t="s">
        <v>2016</v>
      </c>
      <c r="R870" s="1" t="s">
        <v>2013</v>
      </c>
      <c r="S870" s="15" t="s">
        <v>2082</v>
      </c>
      <c r="T870" s="15" t="s">
        <v>2442</v>
      </c>
      <c r="U870" s="25" t="s">
        <v>2090</v>
      </c>
      <c r="V870" s="25" t="s">
        <v>2437</v>
      </c>
      <c r="W870" s="80">
        <v>44942</v>
      </c>
      <c r="X870" s="21" t="s">
        <v>2818</v>
      </c>
    </row>
    <row r="871" spans="1:24" x14ac:dyDescent="0.2">
      <c r="A871" s="1">
        <v>854</v>
      </c>
      <c r="B871" s="1" t="s">
        <v>646</v>
      </c>
      <c r="C871" s="1" t="s">
        <v>2782</v>
      </c>
      <c r="D871" s="11" t="s">
        <v>645</v>
      </c>
      <c r="E871" s="35" t="s">
        <v>823</v>
      </c>
      <c r="F871" s="67" t="s">
        <v>876</v>
      </c>
      <c r="G871" s="24" t="s">
        <v>2809</v>
      </c>
      <c r="H871" s="15" t="s">
        <v>2788</v>
      </c>
      <c r="I871" s="16">
        <v>46</v>
      </c>
      <c r="J871" s="16" t="str">
        <f t="shared" si="41"/>
        <v>Middle Age</v>
      </c>
      <c r="K871" s="25">
        <v>3</v>
      </c>
      <c r="L871" s="42">
        <v>3000</v>
      </c>
      <c r="M871" s="15">
        <f>100+200+350+200</f>
        <v>850</v>
      </c>
      <c r="N871" s="39">
        <f t="shared" si="39"/>
        <v>9000</v>
      </c>
      <c r="O871" s="39">
        <f t="shared" si="40"/>
        <v>6450</v>
      </c>
      <c r="P871" s="24" t="s">
        <v>2022</v>
      </c>
      <c r="Q871" s="24" t="s">
        <v>2016</v>
      </c>
      <c r="R871" s="1" t="s">
        <v>2013</v>
      </c>
      <c r="S871" s="15" t="s">
        <v>2082</v>
      </c>
      <c r="T871" s="15" t="s">
        <v>2442</v>
      </c>
      <c r="U871" s="25" t="s">
        <v>2088</v>
      </c>
      <c r="V871" s="25" t="s">
        <v>2435</v>
      </c>
      <c r="W871" s="80">
        <v>45104</v>
      </c>
      <c r="X871" s="21" t="s">
        <v>2814</v>
      </c>
    </row>
    <row r="872" spans="1:24" x14ac:dyDescent="0.2">
      <c r="A872" s="1">
        <v>855</v>
      </c>
      <c r="B872" s="1" t="s">
        <v>127</v>
      </c>
      <c r="C872" s="1" t="s">
        <v>2782</v>
      </c>
      <c r="D872" s="11" t="s">
        <v>647</v>
      </c>
      <c r="E872" s="35" t="s">
        <v>823</v>
      </c>
      <c r="F872" s="67" t="s">
        <v>885</v>
      </c>
      <c r="G872" s="24" t="s">
        <v>2794</v>
      </c>
      <c r="H872" s="15" t="s">
        <v>2789</v>
      </c>
      <c r="I872" s="16">
        <v>54</v>
      </c>
      <c r="J872" s="16" t="str">
        <f t="shared" si="41"/>
        <v>Old</v>
      </c>
      <c r="K872" s="25">
        <v>1</v>
      </c>
      <c r="L872" s="42">
        <v>3380</v>
      </c>
      <c r="M872" s="15">
        <v>1480</v>
      </c>
      <c r="N872" s="39">
        <f t="shared" si="39"/>
        <v>3380</v>
      </c>
      <c r="O872" s="39">
        <f t="shared" si="40"/>
        <v>1900</v>
      </c>
      <c r="P872" s="24" t="s">
        <v>2041</v>
      </c>
      <c r="Q872" s="24" t="s">
        <v>2016</v>
      </c>
      <c r="R872" s="1" t="s">
        <v>2013</v>
      </c>
      <c r="S872" s="15" t="s">
        <v>2082</v>
      </c>
      <c r="T872" s="15" t="s">
        <v>2442</v>
      </c>
      <c r="U872" s="25" t="s">
        <v>2085</v>
      </c>
      <c r="V872" s="25" t="s">
        <v>2436</v>
      </c>
      <c r="W872" s="80">
        <v>45195</v>
      </c>
      <c r="X872" s="21" t="s">
        <v>2820</v>
      </c>
    </row>
    <row r="873" spans="1:24" x14ac:dyDescent="0.2">
      <c r="A873" s="1">
        <v>856</v>
      </c>
      <c r="B873" s="1" t="s">
        <v>648</v>
      </c>
      <c r="C873" s="1" t="s">
        <v>2782</v>
      </c>
      <c r="D873" s="11" t="s">
        <v>413</v>
      </c>
      <c r="E873" s="35" t="s">
        <v>863</v>
      </c>
      <c r="F873" s="67" t="s">
        <v>893</v>
      </c>
      <c r="G873" s="24" t="s">
        <v>2792</v>
      </c>
      <c r="H873" s="15" t="s">
        <v>2789</v>
      </c>
      <c r="I873" s="16">
        <v>25</v>
      </c>
      <c r="J873" s="16" t="str">
        <f t="shared" si="41"/>
        <v>Young</v>
      </c>
      <c r="K873" s="25">
        <v>2</v>
      </c>
      <c r="L873" s="42">
        <v>8180</v>
      </c>
      <c r="M873" s="15">
        <f>4630+450</f>
        <v>5080</v>
      </c>
      <c r="N873" s="39">
        <f t="shared" si="39"/>
        <v>16360</v>
      </c>
      <c r="O873" s="39">
        <f t="shared" si="40"/>
        <v>6200</v>
      </c>
      <c r="P873" s="24" t="s">
        <v>2015</v>
      </c>
      <c r="Q873" s="24" t="s">
        <v>2014</v>
      </c>
      <c r="R873" s="1" t="s">
        <v>2013</v>
      </c>
      <c r="S873" s="15" t="s">
        <v>2082</v>
      </c>
      <c r="T873" s="15" t="s">
        <v>2442</v>
      </c>
      <c r="U873" s="25" t="s">
        <v>2087</v>
      </c>
      <c r="V873" s="25" t="s">
        <v>2434</v>
      </c>
      <c r="W873" s="80">
        <v>45266</v>
      </c>
      <c r="X873" s="21" t="s">
        <v>2822</v>
      </c>
    </row>
    <row r="874" spans="1:24" x14ac:dyDescent="0.2">
      <c r="A874" s="1">
        <v>857</v>
      </c>
      <c r="B874" s="1" t="s">
        <v>555</v>
      </c>
      <c r="C874" s="1" t="s">
        <v>2782</v>
      </c>
      <c r="D874" s="11" t="s">
        <v>863</v>
      </c>
      <c r="E874" s="35" t="s">
        <v>822</v>
      </c>
      <c r="F874" s="67" t="s">
        <v>894</v>
      </c>
      <c r="G874" s="24" t="s">
        <v>2796</v>
      </c>
      <c r="H874" s="15" t="s">
        <v>2789</v>
      </c>
      <c r="I874" s="16">
        <v>43</v>
      </c>
      <c r="J874" s="16" t="str">
        <f t="shared" si="41"/>
        <v>Middle Age</v>
      </c>
      <c r="K874" s="25">
        <v>4</v>
      </c>
      <c r="L874" s="42">
        <v>1000</v>
      </c>
      <c r="M874" s="15">
        <v>470</v>
      </c>
      <c r="N874" s="39">
        <f t="shared" si="39"/>
        <v>4000</v>
      </c>
      <c r="O874" s="39">
        <f t="shared" si="40"/>
        <v>2120</v>
      </c>
      <c r="P874" s="24" t="s">
        <v>2015</v>
      </c>
      <c r="Q874" s="24" t="s">
        <v>2014</v>
      </c>
      <c r="R874" s="1" t="s">
        <v>2013</v>
      </c>
      <c r="S874" s="15" t="s">
        <v>2082</v>
      </c>
      <c r="T874" s="15" t="s">
        <v>2442</v>
      </c>
      <c r="U874" s="25" t="s">
        <v>2087</v>
      </c>
      <c r="V874" s="25" t="s">
        <v>2437</v>
      </c>
      <c r="W874" s="80">
        <v>45194</v>
      </c>
      <c r="X874" s="21" t="s">
        <v>2820</v>
      </c>
    </row>
    <row r="875" spans="1:24" x14ac:dyDescent="0.2">
      <c r="A875" s="1">
        <v>858</v>
      </c>
      <c r="B875" s="1" t="s">
        <v>649</v>
      </c>
      <c r="C875" s="1" t="s">
        <v>2782</v>
      </c>
      <c r="D875" s="11" t="s">
        <v>2694</v>
      </c>
      <c r="E875" s="35" t="s">
        <v>864</v>
      </c>
      <c r="F875" s="67" t="s">
        <v>882</v>
      </c>
      <c r="G875" s="24" t="s">
        <v>2798</v>
      </c>
      <c r="H875" s="15" t="s">
        <v>2788</v>
      </c>
      <c r="I875" s="16">
        <v>58</v>
      </c>
      <c r="J875" s="16" t="str">
        <f t="shared" si="41"/>
        <v>Old</v>
      </c>
      <c r="K875" s="25">
        <v>5</v>
      </c>
      <c r="L875" s="42">
        <f>3300+550</f>
        <v>3850</v>
      </c>
      <c r="M875" s="15">
        <f>1800+450</f>
        <v>2250</v>
      </c>
      <c r="N875" s="39">
        <f t="shared" si="39"/>
        <v>19250</v>
      </c>
      <c r="O875" s="39">
        <f t="shared" si="40"/>
        <v>8000</v>
      </c>
      <c r="P875" s="24" t="s">
        <v>2028</v>
      </c>
      <c r="Q875" s="15" t="s">
        <v>2024</v>
      </c>
      <c r="R875" s="1" t="s">
        <v>2013</v>
      </c>
      <c r="S875" s="15" t="s">
        <v>2082</v>
      </c>
      <c r="T875" s="15" t="s">
        <v>2442</v>
      </c>
      <c r="U875" s="25" t="s">
        <v>2088</v>
      </c>
      <c r="V875" s="25" t="s">
        <v>2435</v>
      </c>
      <c r="W875" s="80">
        <v>45157</v>
      </c>
      <c r="X875" s="21" t="s">
        <v>2819</v>
      </c>
    </row>
    <row r="876" spans="1:24" x14ac:dyDescent="0.2">
      <c r="A876" s="1">
        <v>859</v>
      </c>
      <c r="B876" s="1" t="s">
        <v>651</v>
      </c>
      <c r="C876" s="1" t="s">
        <v>2782</v>
      </c>
      <c r="D876" s="11" t="s">
        <v>650</v>
      </c>
      <c r="E876" s="35" t="s">
        <v>863</v>
      </c>
      <c r="F876" s="67" t="s">
        <v>895</v>
      </c>
      <c r="G876" s="24" t="s">
        <v>2800</v>
      </c>
      <c r="H876" s="15" t="s">
        <v>2788</v>
      </c>
      <c r="I876" s="16">
        <v>20</v>
      </c>
      <c r="J876" s="16" t="str">
        <f t="shared" si="41"/>
        <v>Young</v>
      </c>
      <c r="K876" s="25">
        <v>2</v>
      </c>
      <c r="L876" s="42">
        <v>2780</v>
      </c>
      <c r="M876" s="15">
        <v>1180</v>
      </c>
      <c r="N876" s="39">
        <f t="shared" si="39"/>
        <v>5560</v>
      </c>
      <c r="O876" s="39">
        <f t="shared" si="40"/>
        <v>3200</v>
      </c>
      <c r="P876" s="24" t="s">
        <v>2037</v>
      </c>
      <c r="Q876" s="24" t="s">
        <v>2014</v>
      </c>
      <c r="R876" s="1" t="s">
        <v>2013</v>
      </c>
      <c r="S876" s="15" t="s">
        <v>2082</v>
      </c>
      <c r="T876" s="15" t="s">
        <v>2442</v>
      </c>
      <c r="U876" s="25" t="s">
        <v>2090</v>
      </c>
      <c r="V876" s="25" t="s">
        <v>2434</v>
      </c>
      <c r="W876" s="80">
        <v>45208</v>
      </c>
      <c r="X876" s="21" t="s">
        <v>2821</v>
      </c>
    </row>
    <row r="877" spans="1:24" x14ac:dyDescent="0.2">
      <c r="A877" s="1">
        <v>860</v>
      </c>
      <c r="B877" s="1" t="s">
        <v>652</v>
      </c>
      <c r="C877" s="1" t="s">
        <v>2782</v>
      </c>
      <c r="D877" s="11" t="s">
        <v>2695</v>
      </c>
      <c r="E877" s="35" t="s">
        <v>864</v>
      </c>
      <c r="F877" s="67" t="s">
        <v>896</v>
      </c>
      <c r="G877" s="24" t="s">
        <v>2802</v>
      </c>
      <c r="H877" s="15" t="s">
        <v>2788</v>
      </c>
      <c r="I877" s="16">
        <v>49</v>
      </c>
      <c r="J877" s="16" t="str">
        <f t="shared" si="41"/>
        <v>Middle Age</v>
      </c>
      <c r="K877" s="25">
        <v>3</v>
      </c>
      <c r="L877" s="42">
        <v>6090</v>
      </c>
      <c r="M877" s="15">
        <v>2790</v>
      </c>
      <c r="N877" s="39">
        <f t="shared" si="39"/>
        <v>18270</v>
      </c>
      <c r="O877" s="39">
        <f t="shared" si="40"/>
        <v>9900</v>
      </c>
      <c r="P877" s="24" t="s">
        <v>2034</v>
      </c>
      <c r="Q877" s="24" t="s">
        <v>2016</v>
      </c>
      <c r="R877" s="1" t="s">
        <v>2013</v>
      </c>
      <c r="S877" s="15" t="s">
        <v>2082</v>
      </c>
      <c r="T877" s="15" t="s">
        <v>2442</v>
      </c>
      <c r="U877" s="25" t="s">
        <v>2087</v>
      </c>
      <c r="V877" s="25" t="s">
        <v>2436</v>
      </c>
      <c r="W877" s="80">
        <v>44941</v>
      </c>
      <c r="X877" s="21" t="s">
        <v>2818</v>
      </c>
    </row>
    <row r="878" spans="1:24" x14ac:dyDescent="0.2">
      <c r="A878" s="1">
        <v>865</v>
      </c>
      <c r="B878" s="1" t="s">
        <v>601</v>
      </c>
      <c r="C878" s="1" t="s">
        <v>2782</v>
      </c>
      <c r="D878" s="11" t="s">
        <v>653</v>
      </c>
      <c r="E878" s="35" t="s">
        <v>822</v>
      </c>
      <c r="F878" s="67" t="s">
        <v>897</v>
      </c>
      <c r="G878" s="24" t="s">
        <v>2804</v>
      </c>
      <c r="H878" s="15" t="s">
        <v>2788</v>
      </c>
      <c r="I878" s="24">
        <v>25</v>
      </c>
      <c r="J878" s="16" t="str">
        <f t="shared" si="41"/>
        <v>Young</v>
      </c>
      <c r="K878" s="25">
        <v>1</v>
      </c>
      <c r="L878" s="42">
        <v>6220</v>
      </c>
      <c r="M878" s="15">
        <v>2890</v>
      </c>
      <c r="N878" s="39">
        <f t="shared" si="39"/>
        <v>6220</v>
      </c>
      <c r="O878" s="39">
        <f t="shared" si="40"/>
        <v>3330</v>
      </c>
      <c r="P878" s="24" t="s">
        <v>2041</v>
      </c>
      <c r="Q878" s="24" t="s">
        <v>2016</v>
      </c>
      <c r="R878" s="1" t="s">
        <v>2013</v>
      </c>
      <c r="S878" s="15" t="s">
        <v>2082</v>
      </c>
      <c r="T878" s="15" t="s">
        <v>2442</v>
      </c>
      <c r="U878" s="25" t="s">
        <v>2088</v>
      </c>
      <c r="V878" s="25" t="s">
        <v>2437</v>
      </c>
      <c r="W878" s="80">
        <v>45277</v>
      </c>
      <c r="X878" s="21" t="s">
        <v>2822</v>
      </c>
    </row>
    <row r="879" spans="1:24" x14ac:dyDescent="0.2">
      <c r="A879" s="14">
        <v>861</v>
      </c>
      <c r="B879" s="1" t="s">
        <v>654</v>
      </c>
      <c r="C879" s="1" t="s">
        <v>2782</v>
      </c>
      <c r="D879" s="11" t="s">
        <v>2696</v>
      </c>
      <c r="E879" s="35" t="s">
        <v>863</v>
      </c>
      <c r="F879" s="66" t="s">
        <v>898</v>
      </c>
      <c r="G879" s="24" t="s">
        <v>2806</v>
      </c>
      <c r="H879" s="15" t="s">
        <v>2788</v>
      </c>
      <c r="I879" s="24">
        <v>31</v>
      </c>
      <c r="J879" s="16" t="str">
        <f t="shared" si="41"/>
        <v>Young</v>
      </c>
      <c r="K879" s="25">
        <v>4</v>
      </c>
      <c r="L879" s="42">
        <v>3060</v>
      </c>
      <c r="M879" s="15">
        <v>1080</v>
      </c>
      <c r="N879" s="39">
        <f t="shared" si="39"/>
        <v>12240</v>
      </c>
      <c r="O879" s="39">
        <f t="shared" si="40"/>
        <v>7920</v>
      </c>
      <c r="P879" s="24" t="s">
        <v>2057</v>
      </c>
      <c r="Q879" s="24" t="s">
        <v>2020</v>
      </c>
      <c r="R879" s="1" t="s">
        <v>2013</v>
      </c>
      <c r="S879" s="15" t="s">
        <v>2082</v>
      </c>
      <c r="T879" s="15" t="s">
        <v>2442</v>
      </c>
      <c r="U879" s="25" t="s">
        <v>2083</v>
      </c>
      <c r="V879" s="25" t="s">
        <v>2435</v>
      </c>
      <c r="W879" s="80">
        <v>45135</v>
      </c>
      <c r="X879" s="21" t="s">
        <v>2813</v>
      </c>
    </row>
    <row r="880" spans="1:24" x14ac:dyDescent="0.2">
      <c r="A880" s="14">
        <v>862</v>
      </c>
      <c r="B880" s="1" t="s">
        <v>656</v>
      </c>
      <c r="C880" s="1" t="s">
        <v>2782</v>
      </c>
      <c r="D880" s="11" t="s">
        <v>655</v>
      </c>
      <c r="E880" s="35" t="s">
        <v>864</v>
      </c>
      <c r="F880" s="66" t="s">
        <v>895</v>
      </c>
      <c r="G880" s="24" t="s">
        <v>2808</v>
      </c>
      <c r="H880" s="15" t="s">
        <v>2788</v>
      </c>
      <c r="I880" s="24">
        <v>56</v>
      </c>
      <c r="J880" s="16" t="str">
        <f t="shared" si="41"/>
        <v>Old</v>
      </c>
      <c r="K880" s="25">
        <v>5</v>
      </c>
      <c r="L880" s="42">
        <v>2960</v>
      </c>
      <c r="M880" s="15">
        <v>1100</v>
      </c>
      <c r="N880" s="39">
        <f t="shared" si="39"/>
        <v>14800</v>
      </c>
      <c r="O880" s="39">
        <f t="shared" si="40"/>
        <v>9300</v>
      </c>
      <c r="P880" s="24" t="s">
        <v>2031</v>
      </c>
      <c r="Q880" s="24" t="s">
        <v>2016</v>
      </c>
      <c r="R880" s="1" t="s">
        <v>2013</v>
      </c>
      <c r="S880" s="15" t="s">
        <v>2082</v>
      </c>
      <c r="T880" s="15" t="s">
        <v>2442</v>
      </c>
      <c r="U880" s="25" t="s">
        <v>2086</v>
      </c>
      <c r="V880" s="25" t="s">
        <v>2436</v>
      </c>
      <c r="W880" s="80">
        <v>45207</v>
      </c>
      <c r="X880" s="21" t="s">
        <v>2821</v>
      </c>
    </row>
    <row r="881" spans="1:24" x14ac:dyDescent="0.2">
      <c r="A881" s="14">
        <v>863</v>
      </c>
      <c r="B881" s="1" t="s">
        <v>657</v>
      </c>
      <c r="C881" s="1" t="s">
        <v>2782</v>
      </c>
      <c r="D881" s="11" t="s">
        <v>2697</v>
      </c>
      <c r="E881" s="35" t="s">
        <v>822</v>
      </c>
      <c r="F881" s="66" t="s">
        <v>899</v>
      </c>
      <c r="G881" s="24" t="s">
        <v>2810</v>
      </c>
      <c r="H881" s="15" t="s">
        <v>2788</v>
      </c>
      <c r="I881" s="24">
        <v>42</v>
      </c>
      <c r="J881" s="16" t="str">
        <f t="shared" si="41"/>
        <v>Middle Age</v>
      </c>
      <c r="K881" s="25">
        <v>3</v>
      </c>
      <c r="L881" s="42">
        <v>3780</v>
      </c>
      <c r="M881" s="15">
        <v>1980</v>
      </c>
      <c r="N881" s="39">
        <f t="shared" si="39"/>
        <v>11340</v>
      </c>
      <c r="O881" s="39">
        <f t="shared" si="40"/>
        <v>5400</v>
      </c>
      <c r="P881" s="24" t="s">
        <v>2051</v>
      </c>
      <c r="Q881" s="15" t="s">
        <v>2828</v>
      </c>
      <c r="R881" s="1" t="s">
        <v>2013</v>
      </c>
      <c r="S881" s="15" t="s">
        <v>2082</v>
      </c>
      <c r="T881" s="15" t="s">
        <v>2442</v>
      </c>
      <c r="U881" s="25" t="s">
        <v>2090</v>
      </c>
      <c r="V881" s="25" t="s">
        <v>2437</v>
      </c>
      <c r="W881" s="80">
        <v>45129</v>
      </c>
      <c r="X881" s="21" t="s">
        <v>2813</v>
      </c>
    </row>
    <row r="882" spans="1:24" x14ac:dyDescent="0.2">
      <c r="A882" s="14">
        <v>864</v>
      </c>
      <c r="B882" s="1" t="s">
        <v>658</v>
      </c>
      <c r="C882" s="1" t="s">
        <v>2782</v>
      </c>
      <c r="D882" s="11" t="s">
        <v>2698</v>
      </c>
      <c r="E882" s="35" t="s">
        <v>863</v>
      </c>
      <c r="F882" s="66" t="s">
        <v>900</v>
      </c>
      <c r="G882" s="24" t="s">
        <v>2793</v>
      </c>
      <c r="H882" s="15" t="s">
        <v>2789</v>
      </c>
      <c r="I882" s="24">
        <v>34</v>
      </c>
      <c r="J882" s="16" t="str">
        <f t="shared" si="41"/>
        <v>Young</v>
      </c>
      <c r="K882" s="25">
        <v>2</v>
      </c>
      <c r="L882" s="42">
        <v>3080</v>
      </c>
      <c r="M882" s="15">
        <v>1480</v>
      </c>
      <c r="N882" s="39">
        <f t="shared" si="39"/>
        <v>6160</v>
      </c>
      <c r="O882" s="39">
        <f t="shared" si="40"/>
        <v>3200</v>
      </c>
      <c r="P882" s="24" t="s">
        <v>2027</v>
      </c>
      <c r="Q882" s="24" t="s">
        <v>2014</v>
      </c>
      <c r="R882" s="1" t="s">
        <v>2013</v>
      </c>
      <c r="S882" s="15" t="s">
        <v>2082</v>
      </c>
      <c r="T882" s="15" t="s">
        <v>2442</v>
      </c>
      <c r="U882" s="25" t="s">
        <v>2088</v>
      </c>
      <c r="V882" s="25" t="s">
        <v>2435</v>
      </c>
      <c r="W882" s="80">
        <v>45205</v>
      </c>
      <c r="X882" s="21" t="s">
        <v>2821</v>
      </c>
    </row>
    <row r="883" spans="1:24" x14ac:dyDescent="0.2">
      <c r="A883" s="1">
        <v>867</v>
      </c>
      <c r="B883" s="1" t="s">
        <v>659</v>
      </c>
      <c r="C883" s="1" t="s">
        <v>2782</v>
      </c>
      <c r="D883" s="11" t="s">
        <v>2699</v>
      </c>
      <c r="E883" s="35" t="s">
        <v>864</v>
      </c>
      <c r="F883" s="66" t="s">
        <v>900</v>
      </c>
      <c r="G883" s="24" t="s">
        <v>2791</v>
      </c>
      <c r="H883" s="15" t="s">
        <v>2789</v>
      </c>
      <c r="I883" s="24">
        <v>23</v>
      </c>
      <c r="J883" s="16" t="str">
        <f t="shared" si="41"/>
        <v>Young</v>
      </c>
      <c r="K883" s="25">
        <v>4</v>
      </c>
      <c r="L883" s="42">
        <v>12250</v>
      </c>
      <c r="M883" s="15">
        <v>6650</v>
      </c>
      <c r="N883" s="39">
        <f t="shared" si="39"/>
        <v>49000</v>
      </c>
      <c r="O883" s="39">
        <f t="shared" si="40"/>
        <v>22400</v>
      </c>
      <c r="P883" s="24" t="s">
        <v>2027</v>
      </c>
      <c r="Q883" s="24" t="s">
        <v>2014</v>
      </c>
      <c r="R883" s="1" t="s">
        <v>2013</v>
      </c>
      <c r="S883" s="15" t="s">
        <v>2082</v>
      </c>
      <c r="T883" s="15" t="s">
        <v>2442</v>
      </c>
      <c r="U883" s="25" t="s">
        <v>2087</v>
      </c>
      <c r="V883" s="25" t="s">
        <v>2436</v>
      </c>
      <c r="W883" s="80">
        <v>44948</v>
      </c>
      <c r="X883" s="21" t="s">
        <v>2818</v>
      </c>
    </row>
    <row r="884" spans="1:24" x14ac:dyDescent="0.2">
      <c r="A884" s="1">
        <v>868</v>
      </c>
      <c r="B884" s="1" t="s">
        <v>660</v>
      </c>
      <c r="C884" s="1" t="s">
        <v>2782</v>
      </c>
      <c r="D884" s="11" t="s">
        <v>2700</v>
      </c>
      <c r="E884" s="35" t="s">
        <v>822</v>
      </c>
      <c r="F884" s="66" t="s">
        <v>887</v>
      </c>
      <c r="G884" s="24" t="s">
        <v>2795</v>
      </c>
      <c r="H884" s="15" t="s">
        <v>2788</v>
      </c>
      <c r="I884" s="24">
        <v>56</v>
      </c>
      <c r="J884" s="16" t="str">
        <f t="shared" si="41"/>
        <v>Old</v>
      </c>
      <c r="K884" s="25">
        <v>1</v>
      </c>
      <c r="L884" s="42">
        <v>7600</v>
      </c>
      <c r="M884" s="15">
        <f>4250-700</f>
        <v>3550</v>
      </c>
      <c r="N884" s="39">
        <f t="shared" si="39"/>
        <v>7600</v>
      </c>
      <c r="O884" s="39">
        <f t="shared" si="40"/>
        <v>4050</v>
      </c>
      <c r="P884" s="24" t="s">
        <v>2034</v>
      </c>
      <c r="Q884" s="24" t="s">
        <v>2016</v>
      </c>
      <c r="R884" s="1" t="s">
        <v>2013</v>
      </c>
      <c r="S884" s="15" t="s">
        <v>2082</v>
      </c>
      <c r="T884" s="15" t="s">
        <v>2442</v>
      </c>
      <c r="U884" s="25" t="s">
        <v>2083</v>
      </c>
      <c r="V884" s="25" t="s">
        <v>2434</v>
      </c>
      <c r="W884" s="80">
        <v>44943</v>
      </c>
      <c r="X884" s="21" t="s">
        <v>2818</v>
      </c>
    </row>
    <row r="885" spans="1:24" x14ac:dyDescent="0.2">
      <c r="A885" s="1">
        <v>869</v>
      </c>
      <c r="B885" s="1" t="s">
        <v>661</v>
      </c>
      <c r="C885" s="1" t="s">
        <v>2782</v>
      </c>
      <c r="D885" s="11" t="s">
        <v>2701</v>
      </c>
      <c r="E885" s="35" t="s">
        <v>863</v>
      </c>
      <c r="F885" s="66" t="s">
        <v>900</v>
      </c>
      <c r="G885" s="24" t="s">
        <v>2797</v>
      </c>
      <c r="H885" s="15" t="s">
        <v>2789</v>
      </c>
      <c r="I885" s="24">
        <v>24</v>
      </c>
      <c r="J885" s="16" t="str">
        <f t="shared" si="41"/>
        <v>Young</v>
      </c>
      <c r="K885" s="25">
        <v>5</v>
      </c>
      <c r="L885" s="42">
        <v>3460</v>
      </c>
      <c r="M885" s="15">
        <v>2120</v>
      </c>
      <c r="N885" s="39">
        <f t="shared" si="39"/>
        <v>17300</v>
      </c>
      <c r="O885" s="39">
        <f t="shared" si="40"/>
        <v>6700</v>
      </c>
      <c r="P885" s="24" t="s">
        <v>2055</v>
      </c>
      <c r="Q885" s="24" t="s">
        <v>2014</v>
      </c>
      <c r="R885" s="1" t="s">
        <v>2013</v>
      </c>
      <c r="S885" s="15" t="s">
        <v>2082</v>
      </c>
      <c r="T885" s="15" t="s">
        <v>2442</v>
      </c>
      <c r="U885" s="25" t="s">
        <v>2083</v>
      </c>
      <c r="V885" s="25" t="s">
        <v>2437</v>
      </c>
      <c r="W885" s="80">
        <v>44994</v>
      </c>
      <c r="X885" s="21" t="s">
        <v>2816</v>
      </c>
    </row>
    <row r="886" spans="1:24" x14ac:dyDescent="0.2">
      <c r="A886" s="14">
        <v>870</v>
      </c>
      <c r="B886" s="1" t="s">
        <v>662</v>
      </c>
      <c r="C886" s="1" t="s">
        <v>2782</v>
      </c>
      <c r="D886" s="11" t="s">
        <v>287</v>
      </c>
      <c r="E886" s="35" t="s">
        <v>822</v>
      </c>
      <c r="F886" s="66" t="s">
        <v>885</v>
      </c>
      <c r="G886" s="24" t="s">
        <v>2799</v>
      </c>
      <c r="H886" s="15" t="s">
        <v>2789</v>
      </c>
      <c r="I886" s="24">
        <v>64</v>
      </c>
      <c r="J886" s="16" t="str">
        <f t="shared" si="41"/>
        <v>Old</v>
      </c>
      <c r="K886" s="25">
        <v>2</v>
      </c>
      <c r="L886" s="42">
        <v>6500</v>
      </c>
      <c r="M886" s="15">
        <f>2980+450</f>
        <v>3430</v>
      </c>
      <c r="N886" s="39">
        <f t="shared" si="39"/>
        <v>13000</v>
      </c>
      <c r="O886" s="39">
        <f t="shared" si="40"/>
        <v>6140</v>
      </c>
      <c r="P886" s="24" t="s">
        <v>2027</v>
      </c>
      <c r="Q886" s="24" t="s">
        <v>2014</v>
      </c>
      <c r="R886" s="1" t="s">
        <v>2013</v>
      </c>
      <c r="S886" s="15" t="s">
        <v>2082</v>
      </c>
      <c r="T886" s="15" t="s">
        <v>2442</v>
      </c>
      <c r="U886" s="25" t="s">
        <v>2086</v>
      </c>
      <c r="V886" s="25" t="s">
        <v>2435</v>
      </c>
      <c r="W886" s="80">
        <v>45190</v>
      </c>
      <c r="X886" s="21" t="s">
        <v>2820</v>
      </c>
    </row>
    <row r="887" spans="1:24" x14ac:dyDescent="0.2">
      <c r="A887" s="1">
        <v>871</v>
      </c>
      <c r="B887" s="1" t="s">
        <v>555</v>
      </c>
      <c r="C887" s="1" t="s">
        <v>2782</v>
      </c>
      <c r="D887" s="11" t="s">
        <v>2702</v>
      </c>
      <c r="E887" s="35" t="s">
        <v>863</v>
      </c>
      <c r="F887" s="66" t="s">
        <v>901</v>
      </c>
      <c r="G887" s="24" t="s">
        <v>2801</v>
      </c>
      <c r="H887" s="15" t="s">
        <v>2789</v>
      </c>
      <c r="I887" s="24">
        <v>64</v>
      </c>
      <c r="J887" s="16" t="str">
        <f t="shared" si="41"/>
        <v>Old</v>
      </c>
      <c r="K887" s="25">
        <v>3</v>
      </c>
      <c r="L887" s="42">
        <v>500</v>
      </c>
      <c r="M887" s="15">
        <v>250</v>
      </c>
      <c r="N887" s="39">
        <f t="shared" si="39"/>
        <v>1500</v>
      </c>
      <c r="O887" s="39">
        <f t="shared" si="40"/>
        <v>750</v>
      </c>
      <c r="P887" s="24" t="s">
        <v>2035</v>
      </c>
      <c r="Q887" s="24" t="s">
        <v>2020</v>
      </c>
      <c r="R887" s="1" t="s">
        <v>2013</v>
      </c>
      <c r="S887" s="15" t="s">
        <v>2082</v>
      </c>
      <c r="T887" s="15" t="s">
        <v>2442</v>
      </c>
      <c r="U887" s="25" t="s">
        <v>2090</v>
      </c>
      <c r="V887" s="25" t="s">
        <v>2434</v>
      </c>
      <c r="W887" s="80">
        <v>44935</v>
      </c>
      <c r="X887" s="21" t="s">
        <v>2818</v>
      </c>
    </row>
    <row r="888" spans="1:24" x14ac:dyDescent="0.2">
      <c r="A888" s="1">
        <v>872</v>
      </c>
      <c r="B888" s="1" t="s">
        <v>843</v>
      </c>
      <c r="C888" s="1" t="s">
        <v>2782</v>
      </c>
      <c r="D888" s="11" t="s">
        <v>2703</v>
      </c>
      <c r="E888" s="35" t="s">
        <v>864</v>
      </c>
      <c r="F888" s="66" t="s">
        <v>902</v>
      </c>
      <c r="G888" s="24" t="s">
        <v>2803</v>
      </c>
      <c r="H888" s="15" t="s">
        <v>2789</v>
      </c>
      <c r="I888" s="24">
        <v>23</v>
      </c>
      <c r="J888" s="16" t="str">
        <f t="shared" si="41"/>
        <v>Young</v>
      </c>
      <c r="K888" s="25">
        <v>4</v>
      </c>
      <c r="L888" s="42">
        <v>6360</v>
      </c>
      <c r="M888" s="15">
        <v>3280</v>
      </c>
      <c r="N888" s="39">
        <f t="shared" si="39"/>
        <v>25440</v>
      </c>
      <c r="O888" s="39">
        <f t="shared" si="40"/>
        <v>12320</v>
      </c>
      <c r="P888" s="24" t="s">
        <v>2029</v>
      </c>
      <c r="Q888" s="24" t="s">
        <v>2016</v>
      </c>
      <c r="R888" s="1" t="s">
        <v>2013</v>
      </c>
      <c r="S888" s="15" t="s">
        <v>2082</v>
      </c>
      <c r="T888" s="15" t="s">
        <v>2442</v>
      </c>
      <c r="U888" s="25" t="s">
        <v>2090</v>
      </c>
      <c r="V888" s="25" t="s">
        <v>2436</v>
      </c>
      <c r="W888" s="80">
        <v>44956</v>
      </c>
      <c r="X888" s="21" t="s">
        <v>2818</v>
      </c>
    </row>
    <row r="889" spans="1:24" x14ac:dyDescent="0.2">
      <c r="A889" s="1">
        <v>873</v>
      </c>
      <c r="B889" s="1" t="s">
        <v>663</v>
      </c>
      <c r="C889" s="1" t="s">
        <v>2782</v>
      </c>
      <c r="D889" s="11" t="s">
        <v>549</v>
      </c>
      <c r="E889" s="35" t="s">
        <v>823</v>
      </c>
      <c r="F889" s="66" t="s">
        <v>903</v>
      </c>
      <c r="G889" s="24" t="s">
        <v>2805</v>
      </c>
      <c r="H889" s="15" t="s">
        <v>2788</v>
      </c>
      <c r="I889" s="24">
        <v>19</v>
      </c>
      <c r="J889" s="16" t="str">
        <f t="shared" si="41"/>
        <v>Young</v>
      </c>
      <c r="K889" s="25">
        <v>1</v>
      </c>
      <c r="L889" s="42">
        <v>3730</v>
      </c>
      <c r="M889" s="15">
        <v>2170</v>
      </c>
      <c r="N889" s="39">
        <f t="shared" si="39"/>
        <v>3730</v>
      </c>
      <c r="O889" s="39">
        <f t="shared" si="40"/>
        <v>1560</v>
      </c>
      <c r="P889" s="24" t="s">
        <v>2047</v>
      </c>
      <c r="Q889" s="24" t="s">
        <v>2024</v>
      </c>
      <c r="R889" s="1" t="s">
        <v>2013</v>
      </c>
      <c r="S889" s="15" t="s">
        <v>2082</v>
      </c>
      <c r="T889" s="15" t="s">
        <v>2442</v>
      </c>
      <c r="U889" s="25" t="s">
        <v>2090</v>
      </c>
      <c r="V889" s="25" t="s">
        <v>2437</v>
      </c>
      <c r="W889" s="80">
        <v>45105</v>
      </c>
      <c r="X889" s="21" t="s">
        <v>2814</v>
      </c>
    </row>
    <row r="890" spans="1:24" x14ac:dyDescent="0.2">
      <c r="A890" s="1">
        <v>874</v>
      </c>
      <c r="B890" s="1" t="s">
        <v>663</v>
      </c>
      <c r="C890" s="1" t="s">
        <v>2782</v>
      </c>
      <c r="D890" s="11" t="s">
        <v>2590</v>
      </c>
      <c r="E890" s="35" t="s">
        <v>823</v>
      </c>
      <c r="F890" s="66" t="s">
        <v>882</v>
      </c>
      <c r="G890" s="24" t="s">
        <v>2807</v>
      </c>
      <c r="H890" s="15" t="s">
        <v>2788</v>
      </c>
      <c r="I890" s="24">
        <v>21</v>
      </c>
      <c r="J890" s="16" t="str">
        <f t="shared" si="41"/>
        <v>Young</v>
      </c>
      <c r="K890" s="25">
        <v>5</v>
      </c>
      <c r="L890" s="42">
        <v>3730</v>
      </c>
      <c r="M890" s="15">
        <v>2170</v>
      </c>
      <c r="N890" s="39">
        <f t="shared" si="39"/>
        <v>18650</v>
      </c>
      <c r="O890" s="39">
        <f t="shared" si="40"/>
        <v>7800</v>
      </c>
      <c r="P890" s="24" t="s">
        <v>2059</v>
      </c>
      <c r="Q890" s="24" t="s">
        <v>2016</v>
      </c>
      <c r="R890" s="1" t="s">
        <v>2013</v>
      </c>
      <c r="S890" s="15" t="s">
        <v>2082</v>
      </c>
      <c r="T890" s="15" t="s">
        <v>2442</v>
      </c>
      <c r="U890" s="25" t="s">
        <v>2089</v>
      </c>
      <c r="V890" s="25" t="s">
        <v>2435</v>
      </c>
      <c r="W890" s="80">
        <v>45218</v>
      </c>
      <c r="X890" s="21" t="s">
        <v>2821</v>
      </c>
    </row>
    <row r="891" spans="1:24" x14ac:dyDescent="0.2">
      <c r="A891" s="1">
        <v>875</v>
      </c>
      <c r="B891" s="1" t="s">
        <v>526</v>
      </c>
      <c r="C891" s="1" t="s">
        <v>2782</v>
      </c>
      <c r="D891" s="11" t="s">
        <v>2704</v>
      </c>
      <c r="E891" s="35" t="s">
        <v>823</v>
      </c>
      <c r="F891" s="66" t="s">
        <v>904</v>
      </c>
      <c r="G891" s="24" t="s">
        <v>2809</v>
      </c>
      <c r="H891" s="15" t="s">
        <v>2788</v>
      </c>
      <c r="I891" s="24">
        <v>56</v>
      </c>
      <c r="J891" s="16" t="str">
        <f t="shared" si="41"/>
        <v>Old</v>
      </c>
      <c r="K891" s="25">
        <v>3</v>
      </c>
      <c r="L891" s="42">
        <v>5950</v>
      </c>
      <c r="M891" s="15">
        <v>3150</v>
      </c>
      <c r="N891" s="39">
        <f t="shared" si="39"/>
        <v>17850</v>
      </c>
      <c r="O891" s="39">
        <f t="shared" si="40"/>
        <v>8400</v>
      </c>
      <c r="P891" s="24" t="s">
        <v>2030</v>
      </c>
      <c r="Q891" s="24" t="s">
        <v>2024</v>
      </c>
      <c r="R891" s="1" t="s">
        <v>2013</v>
      </c>
      <c r="S891" s="15" t="s">
        <v>2082</v>
      </c>
      <c r="T891" s="15" t="s">
        <v>2442</v>
      </c>
      <c r="U891" s="25" t="s">
        <v>2090</v>
      </c>
      <c r="V891" s="25" t="s">
        <v>2436</v>
      </c>
      <c r="W891" s="80">
        <v>45060</v>
      </c>
      <c r="X891" s="21" t="s">
        <v>2786</v>
      </c>
    </row>
    <row r="892" spans="1:24" x14ac:dyDescent="0.2">
      <c r="A892" s="1">
        <v>876</v>
      </c>
      <c r="B892" s="1" t="s">
        <v>7</v>
      </c>
      <c r="C892" s="1" t="s">
        <v>2781</v>
      </c>
      <c r="D892" s="11" t="s">
        <v>869</v>
      </c>
      <c r="E892" s="35" t="s">
        <v>818</v>
      </c>
      <c r="F892" s="66" t="s">
        <v>905</v>
      </c>
      <c r="G892" s="24" t="s">
        <v>2794</v>
      </c>
      <c r="H892" s="15" t="s">
        <v>2788</v>
      </c>
      <c r="I892" s="24">
        <v>34</v>
      </c>
      <c r="J892" s="16" t="str">
        <f t="shared" si="41"/>
        <v>Young</v>
      </c>
      <c r="K892" s="25">
        <v>2</v>
      </c>
      <c r="L892" s="42">
        <v>2450</v>
      </c>
      <c r="M892" s="15">
        <v>1600</v>
      </c>
      <c r="N892" s="39">
        <f t="shared" si="39"/>
        <v>4900</v>
      </c>
      <c r="O892" s="39">
        <f t="shared" si="40"/>
        <v>1700</v>
      </c>
      <c r="P892" s="24" t="s">
        <v>2058</v>
      </c>
      <c r="Q892" s="24" t="s">
        <v>2020</v>
      </c>
      <c r="R892" s="1" t="s">
        <v>2013</v>
      </c>
      <c r="S892" s="15" t="s">
        <v>2082</v>
      </c>
      <c r="T892" s="15" t="s">
        <v>2442</v>
      </c>
      <c r="U892" s="25" t="s">
        <v>2083</v>
      </c>
      <c r="V892" s="25" t="s">
        <v>2434</v>
      </c>
      <c r="W892" s="80">
        <v>45037</v>
      </c>
      <c r="X892" s="21" t="s">
        <v>2815</v>
      </c>
    </row>
    <row r="893" spans="1:24" x14ac:dyDescent="0.2">
      <c r="A893" s="1">
        <v>877</v>
      </c>
      <c r="B893" s="1" t="s">
        <v>601</v>
      </c>
      <c r="C893" s="1" t="s">
        <v>2782</v>
      </c>
      <c r="D893" s="11" t="s">
        <v>664</v>
      </c>
      <c r="E893" s="35" t="s">
        <v>863</v>
      </c>
      <c r="F893" s="66" t="s">
        <v>870</v>
      </c>
      <c r="G893" s="24" t="s">
        <v>2792</v>
      </c>
      <c r="H893" s="15" t="s">
        <v>2788</v>
      </c>
      <c r="I893" s="24">
        <v>64</v>
      </c>
      <c r="J893" s="16" t="str">
        <f t="shared" si="41"/>
        <v>Old</v>
      </c>
      <c r="K893" s="25">
        <v>4</v>
      </c>
      <c r="L893" s="42">
        <v>3900</v>
      </c>
      <c r="M893" s="15">
        <v>2000</v>
      </c>
      <c r="N893" s="39">
        <f t="shared" si="39"/>
        <v>15600</v>
      </c>
      <c r="O893" s="39">
        <f t="shared" si="40"/>
        <v>7600</v>
      </c>
      <c r="P893" s="24" t="s">
        <v>2039</v>
      </c>
      <c r="Q893" s="24" t="s">
        <v>2014</v>
      </c>
      <c r="R893" s="1" t="s">
        <v>2013</v>
      </c>
      <c r="S893" s="15" t="s">
        <v>2082</v>
      </c>
      <c r="T893" s="15" t="s">
        <v>2442</v>
      </c>
      <c r="U893" s="25" t="s">
        <v>2085</v>
      </c>
      <c r="V893" s="25" t="s">
        <v>2437</v>
      </c>
      <c r="W893" s="80">
        <v>45227</v>
      </c>
      <c r="X893" s="21" t="s">
        <v>2821</v>
      </c>
    </row>
    <row r="894" spans="1:24" x14ac:dyDescent="0.2">
      <c r="A894" s="1">
        <v>878</v>
      </c>
      <c r="B894" s="1" t="s">
        <v>666</v>
      </c>
      <c r="C894" s="1" t="s">
        <v>2782</v>
      </c>
      <c r="D894" s="11" t="s">
        <v>665</v>
      </c>
      <c r="E894" s="35" t="s">
        <v>864</v>
      </c>
      <c r="F894" s="66" t="s">
        <v>952</v>
      </c>
      <c r="G894" s="24" t="s">
        <v>2796</v>
      </c>
      <c r="H894" s="15" t="s">
        <v>2788</v>
      </c>
      <c r="I894" s="24">
        <v>78</v>
      </c>
      <c r="J894" s="16" t="str">
        <f t="shared" si="41"/>
        <v>Old</v>
      </c>
      <c r="K894" s="25">
        <v>1</v>
      </c>
      <c r="L894" s="42">
        <v>3640</v>
      </c>
      <c r="M894" s="15">
        <v>1570</v>
      </c>
      <c r="N894" s="39">
        <f t="shared" si="39"/>
        <v>3640</v>
      </c>
      <c r="O894" s="39">
        <f t="shared" si="40"/>
        <v>2070</v>
      </c>
      <c r="P894" s="24" t="s">
        <v>2017</v>
      </c>
      <c r="Q894" s="24" t="s">
        <v>2016</v>
      </c>
      <c r="R894" s="1" t="s">
        <v>2013</v>
      </c>
      <c r="S894" s="15" t="s">
        <v>2082</v>
      </c>
      <c r="T894" s="15" t="s">
        <v>2442</v>
      </c>
      <c r="U894" s="25" t="s">
        <v>2087</v>
      </c>
      <c r="V894" s="25" t="s">
        <v>2435</v>
      </c>
      <c r="W894" s="80">
        <v>45275</v>
      </c>
      <c r="X894" s="21" t="s">
        <v>2822</v>
      </c>
    </row>
    <row r="895" spans="1:24" x14ac:dyDescent="0.2">
      <c r="A895" s="1">
        <v>879</v>
      </c>
      <c r="B895" s="1" t="s">
        <v>668</v>
      </c>
      <c r="C895" s="1" t="s">
        <v>2782</v>
      </c>
      <c r="D895" s="11" t="s">
        <v>667</v>
      </c>
      <c r="E895" s="35" t="s">
        <v>822</v>
      </c>
      <c r="F895" s="66" t="s">
        <v>945</v>
      </c>
      <c r="G895" s="24" t="s">
        <v>2798</v>
      </c>
      <c r="H895" s="15" t="s">
        <v>2788</v>
      </c>
      <c r="I895" s="24">
        <v>54</v>
      </c>
      <c r="J895" s="16" t="str">
        <f t="shared" si="41"/>
        <v>Old</v>
      </c>
      <c r="K895" s="25">
        <v>5</v>
      </c>
      <c r="L895" s="42">
        <v>2980</v>
      </c>
      <c r="M895" s="15">
        <v>1680</v>
      </c>
      <c r="N895" s="39">
        <f t="shared" si="39"/>
        <v>14900</v>
      </c>
      <c r="O895" s="39">
        <f t="shared" si="40"/>
        <v>6500</v>
      </c>
      <c r="P895" s="24" t="s">
        <v>2028</v>
      </c>
      <c r="Q895" s="15" t="s">
        <v>2024</v>
      </c>
      <c r="R895" s="1" t="s">
        <v>2013</v>
      </c>
      <c r="S895" s="15" t="s">
        <v>2082</v>
      </c>
      <c r="T895" s="15" t="s">
        <v>2442</v>
      </c>
      <c r="U895" s="25" t="s">
        <v>2084</v>
      </c>
      <c r="V895" s="25" t="s">
        <v>2434</v>
      </c>
      <c r="W895" s="80">
        <v>45266</v>
      </c>
      <c r="X895" s="21" t="s">
        <v>2822</v>
      </c>
    </row>
    <row r="896" spans="1:24" x14ac:dyDescent="0.2">
      <c r="A896" s="14">
        <v>880</v>
      </c>
      <c r="B896" s="1" t="s">
        <v>131</v>
      </c>
      <c r="C896" s="1" t="s">
        <v>2782</v>
      </c>
      <c r="D896" s="11" t="s">
        <v>669</v>
      </c>
      <c r="E896" s="35" t="s">
        <v>823</v>
      </c>
      <c r="F896" s="66" t="s">
        <v>946</v>
      </c>
      <c r="G896" s="24" t="s">
        <v>2800</v>
      </c>
      <c r="H896" s="15" t="s">
        <v>2788</v>
      </c>
      <c r="I896" s="24">
        <v>32</v>
      </c>
      <c r="J896" s="16" t="str">
        <f t="shared" si="41"/>
        <v>Young</v>
      </c>
      <c r="K896" s="25">
        <v>2</v>
      </c>
      <c r="L896" s="42">
        <v>3650</v>
      </c>
      <c r="M896" s="15">
        <v>1650</v>
      </c>
      <c r="N896" s="39">
        <f t="shared" si="39"/>
        <v>7300</v>
      </c>
      <c r="O896" s="39">
        <f t="shared" si="40"/>
        <v>4000</v>
      </c>
      <c r="P896" s="24" t="s">
        <v>2056</v>
      </c>
      <c r="Q896" s="24" t="s">
        <v>2024</v>
      </c>
      <c r="R896" s="1" t="s">
        <v>2013</v>
      </c>
      <c r="S896" s="15" t="s">
        <v>2082</v>
      </c>
      <c r="T896" s="15" t="s">
        <v>2442</v>
      </c>
      <c r="U896" s="25" t="s">
        <v>2086</v>
      </c>
      <c r="V896" s="25" t="s">
        <v>2436</v>
      </c>
      <c r="W896" s="80">
        <v>45029</v>
      </c>
      <c r="X896" s="21" t="s">
        <v>2815</v>
      </c>
    </row>
    <row r="897" spans="1:24" x14ac:dyDescent="0.2">
      <c r="A897" s="14">
        <v>881</v>
      </c>
      <c r="B897" s="1" t="s">
        <v>642</v>
      </c>
      <c r="C897" s="1" t="s">
        <v>2782</v>
      </c>
      <c r="D897" s="11" t="s">
        <v>670</v>
      </c>
      <c r="E897" s="35" t="s">
        <v>822</v>
      </c>
      <c r="F897" s="66" t="s">
        <v>947</v>
      </c>
      <c r="G897" s="24" t="s">
        <v>2802</v>
      </c>
      <c r="H897" s="15" t="s">
        <v>2788</v>
      </c>
      <c r="I897" s="16">
        <v>24</v>
      </c>
      <c r="J897" s="16" t="str">
        <f t="shared" si="41"/>
        <v>Young</v>
      </c>
      <c r="K897" s="25">
        <v>3</v>
      </c>
      <c r="L897" s="42">
        <v>3450</v>
      </c>
      <c r="M897" s="15">
        <v>1790</v>
      </c>
      <c r="N897" s="39">
        <f t="shared" si="39"/>
        <v>10350</v>
      </c>
      <c r="O897" s="39">
        <f t="shared" si="40"/>
        <v>4980</v>
      </c>
      <c r="P897" s="24" t="s">
        <v>2051</v>
      </c>
      <c r="Q897" s="15" t="s">
        <v>2828</v>
      </c>
      <c r="R897" s="1" t="s">
        <v>2013</v>
      </c>
      <c r="S897" s="15" t="s">
        <v>2082</v>
      </c>
      <c r="T897" s="15" t="s">
        <v>2442</v>
      </c>
      <c r="U897" s="25" t="s">
        <v>2090</v>
      </c>
      <c r="V897" s="25" t="s">
        <v>2437</v>
      </c>
      <c r="W897" s="80">
        <v>44993</v>
      </c>
      <c r="X897" s="21" t="s">
        <v>2816</v>
      </c>
    </row>
    <row r="898" spans="1:24" x14ac:dyDescent="0.2">
      <c r="A898" s="14">
        <v>882</v>
      </c>
      <c r="B898" s="1" t="s">
        <v>672</v>
      </c>
      <c r="C898" s="1" t="s">
        <v>2782</v>
      </c>
      <c r="D898" s="11" t="s">
        <v>671</v>
      </c>
      <c r="E898" s="35" t="s">
        <v>828</v>
      </c>
      <c r="F898" s="66" t="s">
        <v>948</v>
      </c>
      <c r="G898" s="24" t="s">
        <v>2804</v>
      </c>
      <c r="H898" s="15" t="s">
        <v>2788</v>
      </c>
      <c r="I898" s="16">
        <v>57</v>
      </c>
      <c r="J898" s="16" t="str">
        <f t="shared" si="41"/>
        <v>Old</v>
      </c>
      <c r="K898" s="25">
        <v>4</v>
      </c>
      <c r="L898" s="42">
        <v>5700</v>
      </c>
      <c r="M898" s="15">
        <v>2700</v>
      </c>
      <c r="N898" s="39">
        <f t="shared" ref="N898:N961" si="42">L898*K898</f>
        <v>22800</v>
      </c>
      <c r="O898" s="39">
        <f t="shared" ref="O898:O961" si="43">N898-(M898*K898)</f>
        <v>12000</v>
      </c>
      <c r="P898" s="24" t="s">
        <v>2043</v>
      </c>
      <c r="Q898" s="24" t="s">
        <v>2016</v>
      </c>
      <c r="R898" s="1" t="s">
        <v>2013</v>
      </c>
      <c r="S898" s="15" t="s">
        <v>2082</v>
      </c>
      <c r="T898" s="15" t="s">
        <v>2442</v>
      </c>
      <c r="U898" s="25" t="s">
        <v>2088</v>
      </c>
      <c r="V898" s="25" t="s">
        <v>2435</v>
      </c>
      <c r="W898" s="80">
        <v>45275</v>
      </c>
      <c r="X898" s="21" t="s">
        <v>2822</v>
      </c>
    </row>
    <row r="899" spans="1:24" x14ac:dyDescent="0.2">
      <c r="A899" s="14">
        <v>883</v>
      </c>
      <c r="B899" s="1" t="s">
        <v>674</v>
      </c>
      <c r="C899" s="1" t="s">
        <v>2782</v>
      </c>
      <c r="D899" s="11" t="s">
        <v>673</v>
      </c>
      <c r="E899" s="35" t="s">
        <v>863</v>
      </c>
      <c r="F899" s="66" t="s">
        <v>949</v>
      </c>
      <c r="G899" s="24" t="s">
        <v>2806</v>
      </c>
      <c r="H899" s="15" t="s">
        <v>2788</v>
      </c>
      <c r="I899" s="16">
        <v>35</v>
      </c>
      <c r="J899" s="16" t="str">
        <f t="shared" ref="J899:J962" si="44">IF(I899&lt;=35,"Young",IF(I899&lt;=49,"Middle Age",IF(I899&gt;=50,"Old")))</f>
        <v>Young</v>
      </c>
      <c r="K899" s="25">
        <v>1</v>
      </c>
      <c r="L899" s="42">
        <v>2850</v>
      </c>
      <c r="M899" s="15">
        <v>1150</v>
      </c>
      <c r="N899" s="39">
        <f t="shared" si="42"/>
        <v>2850</v>
      </c>
      <c r="O899" s="39">
        <f t="shared" si="43"/>
        <v>1700</v>
      </c>
      <c r="P899" s="24" t="s">
        <v>2028</v>
      </c>
      <c r="Q899" s="15" t="s">
        <v>2024</v>
      </c>
      <c r="R899" s="1" t="s">
        <v>2013</v>
      </c>
      <c r="S899" s="15" t="s">
        <v>2082</v>
      </c>
      <c r="T899" s="15" t="s">
        <v>2442</v>
      </c>
      <c r="U899" s="25" t="s">
        <v>2088</v>
      </c>
      <c r="V899" s="25" t="s">
        <v>2436</v>
      </c>
      <c r="W899" s="80">
        <v>45010</v>
      </c>
      <c r="X899" s="21" t="s">
        <v>2816</v>
      </c>
    </row>
    <row r="900" spans="1:24" x14ac:dyDescent="0.2">
      <c r="A900" s="1">
        <v>884</v>
      </c>
      <c r="B900" s="1" t="s">
        <v>157</v>
      </c>
      <c r="C900" s="1" t="s">
        <v>2782</v>
      </c>
      <c r="D900" s="11" t="s">
        <v>2705</v>
      </c>
      <c r="E900" s="35" t="s">
        <v>828</v>
      </c>
      <c r="F900" s="66" t="s">
        <v>874</v>
      </c>
      <c r="G900" s="24" t="s">
        <v>2808</v>
      </c>
      <c r="H900" s="15" t="s">
        <v>2788</v>
      </c>
      <c r="I900" s="16">
        <v>40</v>
      </c>
      <c r="J900" s="16" t="str">
        <f t="shared" si="44"/>
        <v>Middle Age</v>
      </c>
      <c r="K900" s="25">
        <v>5</v>
      </c>
      <c r="L900" s="42">
        <v>1500</v>
      </c>
      <c r="M900" s="15">
        <v>750</v>
      </c>
      <c r="N900" s="39">
        <f t="shared" si="42"/>
        <v>7500</v>
      </c>
      <c r="O900" s="39">
        <f t="shared" si="43"/>
        <v>3750</v>
      </c>
      <c r="P900" s="24" t="s">
        <v>2031</v>
      </c>
      <c r="Q900" s="24" t="s">
        <v>2016</v>
      </c>
      <c r="R900" s="1" t="s">
        <v>2013</v>
      </c>
      <c r="S900" s="15" t="s">
        <v>2082</v>
      </c>
      <c r="T900" s="15" t="s">
        <v>2442</v>
      </c>
      <c r="U900" s="25" t="s">
        <v>2086</v>
      </c>
      <c r="V900" s="25" t="s">
        <v>2434</v>
      </c>
      <c r="W900" s="80">
        <v>45024</v>
      </c>
      <c r="X900" s="21" t="s">
        <v>2815</v>
      </c>
    </row>
    <row r="901" spans="1:24" x14ac:dyDescent="0.2">
      <c r="A901" s="14">
        <v>885</v>
      </c>
      <c r="B901" s="1" t="s">
        <v>285</v>
      </c>
      <c r="C901" s="1" t="s">
        <v>2782</v>
      </c>
      <c r="D901" s="11" t="s">
        <v>675</v>
      </c>
      <c r="E901" s="35" t="s">
        <v>822</v>
      </c>
      <c r="F901" s="66" t="s">
        <v>950</v>
      </c>
      <c r="G901" s="24" t="s">
        <v>2810</v>
      </c>
      <c r="H901" s="15" t="s">
        <v>2788</v>
      </c>
      <c r="I901" s="16">
        <v>21</v>
      </c>
      <c r="J901" s="16" t="str">
        <f t="shared" si="44"/>
        <v>Young</v>
      </c>
      <c r="K901" s="25">
        <v>3</v>
      </c>
      <c r="L901" s="42">
        <v>2140</v>
      </c>
      <c r="M901" s="15">
        <f>920-90+90</f>
        <v>920</v>
      </c>
      <c r="N901" s="39">
        <f t="shared" si="42"/>
        <v>6420</v>
      </c>
      <c r="O901" s="39">
        <f t="shared" si="43"/>
        <v>3660</v>
      </c>
      <c r="P901" s="24" t="s">
        <v>2023</v>
      </c>
      <c r="Q901" s="15" t="s">
        <v>2828</v>
      </c>
      <c r="R901" s="1" t="s">
        <v>2013</v>
      </c>
      <c r="S901" s="15" t="s">
        <v>2082</v>
      </c>
      <c r="T901" s="15" t="s">
        <v>2442</v>
      </c>
      <c r="U901" s="25" t="s">
        <v>2089</v>
      </c>
      <c r="V901" s="25" t="s">
        <v>2437</v>
      </c>
      <c r="W901" s="80">
        <v>45068</v>
      </c>
      <c r="X901" s="21" t="s">
        <v>2786</v>
      </c>
    </row>
    <row r="902" spans="1:24" x14ac:dyDescent="0.2">
      <c r="A902" s="14">
        <v>886</v>
      </c>
      <c r="B902" s="1" t="s">
        <v>677</v>
      </c>
      <c r="C902" s="1" t="s">
        <v>2782</v>
      </c>
      <c r="D902" s="11" t="s">
        <v>676</v>
      </c>
      <c r="E902" s="35" t="s">
        <v>822</v>
      </c>
      <c r="F902" s="66" t="s">
        <v>951</v>
      </c>
      <c r="G902" s="24" t="s">
        <v>2793</v>
      </c>
      <c r="H902" s="15" t="s">
        <v>2788</v>
      </c>
      <c r="I902" s="16">
        <v>59</v>
      </c>
      <c r="J902" s="16" t="str">
        <f t="shared" si="44"/>
        <v>Old</v>
      </c>
      <c r="K902" s="25">
        <v>2</v>
      </c>
      <c r="L902" s="42">
        <f>11150+550</f>
        <v>11700</v>
      </c>
      <c r="M902" s="15">
        <f>5950+450</f>
        <v>6400</v>
      </c>
      <c r="N902" s="39">
        <f t="shared" si="42"/>
        <v>23400</v>
      </c>
      <c r="O902" s="39">
        <f t="shared" si="43"/>
        <v>10600</v>
      </c>
      <c r="P902" s="24" t="s">
        <v>2028</v>
      </c>
      <c r="Q902" s="15" t="s">
        <v>2024</v>
      </c>
      <c r="R902" s="1" t="s">
        <v>2013</v>
      </c>
      <c r="S902" s="15" t="s">
        <v>2082</v>
      </c>
      <c r="T902" s="15" t="s">
        <v>2442</v>
      </c>
      <c r="U902" s="25" t="s">
        <v>2086</v>
      </c>
      <c r="V902" s="25" t="s">
        <v>2435</v>
      </c>
      <c r="W902" s="80">
        <v>45086</v>
      </c>
      <c r="X902" s="21" t="s">
        <v>2814</v>
      </c>
    </row>
    <row r="903" spans="1:24" x14ac:dyDescent="0.2">
      <c r="A903" s="14">
        <v>887</v>
      </c>
      <c r="B903" s="1" t="s">
        <v>678</v>
      </c>
      <c r="C903" s="1" t="s">
        <v>2782</v>
      </c>
      <c r="D903" s="11" t="s">
        <v>2706</v>
      </c>
      <c r="E903" s="35" t="s">
        <v>863</v>
      </c>
      <c r="F903" s="66" t="s">
        <v>952</v>
      </c>
      <c r="G903" s="24" t="s">
        <v>2791</v>
      </c>
      <c r="H903" s="15" t="s">
        <v>2788</v>
      </c>
      <c r="I903" s="16">
        <v>32</v>
      </c>
      <c r="J903" s="16" t="str">
        <f t="shared" si="44"/>
        <v>Young</v>
      </c>
      <c r="K903" s="25">
        <v>4</v>
      </c>
      <c r="L903" s="49">
        <v>3370</v>
      </c>
      <c r="M903" s="15">
        <v>1270</v>
      </c>
      <c r="N903" s="39">
        <f t="shared" si="42"/>
        <v>13480</v>
      </c>
      <c r="O903" s="39">
        <f t="shared" si="43"/>
        <v>8400</v>
      </c>
      <c r="P903" s="24" t="s">
        <v>2040</v>
      </c>
      <c r="Q903" s="15" t="s">
        <v>2014</v>
      </c>
      <c r="R903" s="1" t="s">
        <v>2013</v>
      </c>
      <c r="S903" s="15" t="s">
        <v>2082</v>
      </c>
      <c r="T903" s="15" t="s">
        <v>2442</v>
      </c>
      <c r="U903" s="25" t="s">
        <v>2090</v>
      </c>
      <c r="V903" s="25" t="s">
        <v>2434</v>
      </c>
      <c r="W903" s="80">
        <v>44955</v>
      </c>
      <c r="X903" s="21" t="s">
        <v>2818</v>
      </c>
    </row>
    <row r="904" spans="1:24" x14ac:dyDescent="0.2">
      <c r="A904" s="14">
        <v>888</v>
      </c>
      <c r="B904" s="1" t="s">
        <v>680</v>
      </c>
      <c r="C904" s="1" t="s">
        <v>2782</v>
      </c>
      <c r="D904" s="11" t="s">
        <v>2707</v>
      </c>
      <c r="E904" s="35" t="s">
        <v>864</v>
      </c>
      <c r="F904" s="66" t="s">
        <v>888</v>
      </c>
      <c r="G904" s="24" t="s">
        <v>2795</v>
      </c>
      <c r="H904" s="15" t="s">
        <v>2788</v>
      </c>
      <c r="I904" s="16">
        <v>46</v>
      </c>
      <c r="J904" s="16" t="str">
        <f t="shared" si="44"/>
        <v>Middle Age</v>
      </c>
      <c r="K904" s="25">
        <v>1</v>
      </c>
      <c r="L904" s="42">
        <v>3520</v>
      </c>
      <c r="M904" s="15">
        <v>1320</v>
      </c>
      <c r="N904" s="39">
        <f t="shared" si="42"/>
        <v>3520</v>
      </c>
      <c r="O904" s="39">
        <f t="shared" si="43"/>
        <v>2200</v>
      </c>
      <c r="P904" s="24" t="s">
        <v>2057</v>
      </c>
      <c r="Q904" s="24" t="s">
        <v>2020</v>
      </c>
      <c r="R904" s="1" t="s">
        <v>2013</v>
      </c>
      <c r="S904" s="15" t="s">
        <v>2082</v>
      </c>
      <c r="T904" s="15" t="s">
        <v>2442</v>
      </c>
      <c r="U904" s="25" t="s">
        <v>2087</v>
      </c>
      <c r="V904" s="25" t="s">
        <v>2436</v>
      </c>
      <c r="W904" s="80">
        <v>45090</v>
      </c>
      <c r="X904" s="21" t="s">
        <v>2814</v>
      </c>
    </row>
    <row r="905" spans="1:24" x14ac:dyDescent="0.2">
      <c r="A905" s="14">
        <v>889</v>
      </c>
      <c r="B905" s="1" t="s">
        <v>681</v>
      </c>
      <c r="C905" s="1" t="s">
        <v>2782</v>
      </c>
      <c r="D905" s="11" t="s">
        <v>679</v>
      </c>
      <c r="E905" s="35" t="s">
        <v>823</v>
      </c>
      <c r="F905" s="67" t="s">
        <v>889</v>
      </c>
      <c r="G905" s="24" t="s">
        <v>2797</v>
      </c>
      <c r="H905" s="15" t="s">
        <v>2788</v>
      </c>
      <c r="I905" s="16">
        <v>54</v>
      </c>
      <c r="J905" s="16" t="str">
        <f t="shared" si="44"/>
        <v>Old</v>
      </c>
      <c r="K905" s="25">
        <v>5</v>
      </c>
      <c r="L905" s="42">
        <v>2830</v>
      </c>
      <c r="M905" s="15">
        <v>1230</v>
      </c>
      <c r="N905" s="39">
        <f t="shared" si="42"/>
        <v>14150</v>
      </c>
      <c r="O905" s="39">
        <f t="shared" si="43"/>
        <v>8000</v>
      </c>
      <c r="P905" s="24" t="s">
        <v>2037</v>
      </c>
      <c r="Q905" s="24" t="s">
        <v>2014</v>
      </c>
      <c r="R905" s="1" t="s">
        <v>2013</v>
      </c>
      <c r="S905" s="15" t="s">
        <v>2082</v>
      </c>
      <c r="T905" s="15" t="s">
        <v>2442</v>
      </c>
      <c r="U905" s="25" t="s">
        <v>2087</v>
      </c>
      <c r="V905" s="25" t="s">
        <v>2437</v>
      </c>
      <c r="W905" s="80">
        <v>45279</v>
      </c>
      <c r="X905" s="21" t="s">
        <v>2822</v>
      </c>
    </row>
    <row r="906" spans="1:24" x14ac:dyDescent="0.2">
      <c r="A906" s="14">
        <v>890</v>
      </c>
      <c r="B906" s="1" t="s">
        <v>360</v>
      </c>
      <c r="C906" s="1" t="s">
        <v>2782</v>
      </c>
      <c r="D906" s="11" t="s">
        <v>682</v>
      </c>
      <c r="E906" s="35" t="s">
        <v>823</v>
      </c>
      <c r="F906" s="67" t="s">
        <v>890</v>
      </c>
      <c r="G906" s="24" t="s">
        <v>2799</v>
      </c>
      <c r="H906" s="15" t="s">
        <v>2788</v>
      </c>
      <c r="I906" s="16">
        <v>25</v>
      </c>
      <c r="J906" s="16" t="str">
        <f t="shared" si="44"/>
        <v>Young</v>
      </c>
      <c r="K906" s="25">
        <v>2</v>
      </c>
      <c r="L906" s="42">
        <f>2150</f>
        <v>2150</v>
      </c>
      <c r="M906" s="15">
        <f>1050-90</f>
        <v>960</v>
      </c>
      <c r="N906" s="39">
        <f t="shared" si="42"/>
        <v>4300</v>
      </c>
      <c r="O906" s="39">
        <f t="shared" si="43"/>
        <v>2380</v>
      </c>
      <c r="P906" s="24" t="s">
        <v>2030</v>
      </c>
      <c r="Q906" s="24" t="s">
        <v>2024</v>
      </c>
      <c r="R906" s="1" t="s">
        <v>2013</v>
      </c>
      <c r="S906" s="15" t="s">
        <v>2082</v>
      </c>
      <c r="T906" s="15" t="s">
        <v>2442</v>
      </c>
      <c r="U906" s="25" t="s">
        <v>2089</v>
      </c>
      <c r="V906" s="25" t="s">
        <v>2435</v>
      </c>
      <c r="W906" s="80">
        <v>45167</v>
      </c>
      <c r="X906" s="21" t="s">
        <v>2819</v>
      </c>
    </row>
    <row r="907" spans="1:24" x14ac:dyDescent="0.2">
      <c r="A907" s="14">
        <v>891</v>
      </c>
      <c r="B907" s="1" t="s">
        <v>550</v>
      </c>
      <c r="C907" s="1" t="s">
        <v>2782</v>
      </c>
      <c r="D907" s="11" t="s">
        <v>683</v>
      </c>
      <c r="E907" s="35" t="s">
        <v>863</v>
      </c>
      <c r="F907" s="66" t="s">
        <v>891</v>
      </c>
      <c r="G907" s="24" t="s">
        <v>2801</v>
      </c>
      <c r="H907" s="15" t="s">
        <v>2788</v>
      </c>
      <c r="I907" s="16">
        <v>43</v>
      </c>
      <c r="J907" s="16" t="str">
        <f t="shared" si="44"/>
        <v>Middle Age</v>
      </c>
      <c r="K907" s="25">
        <v>3</v>
      </c>
      <c r="L907" s="42">
        <v>3500</v>
      </c>
      <c r="M907" s="15">
        <v>1900</v>
      </c>
      <c r="N907" s="39">
        <f t="shared" si="42"/>
        <v>10500</v>
      </c>
      <c r="O907" s="39">
        <f t="shared" si="43"/>
        <v>4800</v>
      </c>
      <c r="P907" s="24" t="s">
        <v>2038</v>
      </c>
      <c r="Q907" s="15" t="s">
        <v>2016</v>
      </c>
      <c r="R907" s="1" t="s">
        <v>2013</v>
      </c>
      <c r="S907" s="15" t="s">
        <v>2082</v>
      </c>
      <c r="T907" s="15" t="s">
        <v>2442</v>
      </c>
      <c r="U907" s="25" t="s">
        <v>2089</v>
      </c>
      <c r="V907" s="25" t="s">
        <v>2436</v>
      </c>
      <c r="W907" s="80">
        <v>45033</v>
      </c>
      <c r="X907" s="21" t="s">
        <v>2815</v>
      </c>
    </row>
    <row r="908" spans="1:24" x14ac:dyDescent="0.2">
      <c r="A908" s="1">
        <v>892</v>
      </c>
      <c r="B908" s="1" t="s">
        <v>684</v>
      </c>
      <c r="C908" s="1" t="s">
        <v>2782</v>
      </c>
      <c r="D908" s="11" t="s">
        <v>2708</v>
      </c>
      <c r="E908" s="35" t="s">
        <v>822</v>
      </c>
      <c r="F908" s="67" t="s">
        <v>892</v>
      </c>
      <c r="G908" s="24" t="s">
        <v>2803</v>
      </c>
      <c r="H908" s="15" t="s">
        <v>2789</v>
      </c>
      <c r="I908" s="16">
        <v>58</v>
      </c>
      <c r="J908" s="16" t="str">
        <f t="shared" si="44"/>
        <v>Old</v>
      </c>
      <c r="K908" s="25">
        <v>4</v>
      </c>
      <c r="L908" s="42">
        <v>6400</v>
      </c>
      <c r="M908" s="15">
        <v>3600</v>
      </c>
      <c r="N908" s="39">
        <f t="shared" si="42"/>
        <v>25600</v>
      </c>
      <c r="O908" s="39">
        <f t="shared" si="43"/>
        <v>11200</v>
      </c>
      <c r="P908" s="24" t="s">
        <v>2047</v>
      </c>
      <c r="Q908" s="24" t="s">
        <v>2024</v>
      </c>
      <c r="R908" s="1" t="s">
        <v>2013</v>
      </c>
      <c r="S908" s="15" t="s">
        <v>2082</v>
      </c>
      <c r="T908" s="15" t="s">
        <v>2442</v>
      </c>
      <c r="U908" s="25" t="s">
        <v>2085</v>
      </c>
      <c r="V908" s="25" t="s">
        <v>2434</v>
      </c>
      <c r="W908" s="80">
        <v>45083</v>
      </c>
      <c r="X908" s="21" t="s">
        <v>2814</v>
      </c>
    </row>
    <row r="909" spans="1:24" x14ac:dyDescent="0.2">
      <c r="A909" s="1">
        <v>893</v>
      </c>
      <c r="B909" s="1" t="s">
        <v>157</v>
      </c>
      <c r="C909" s="1" t="s">
        <v>2782</v>
      </c>
      <c r="D909" s="11" t="s">
        <v>2709</v>
      </c>
      <c r="E909" s="35" t="s">
        <v>864</v>
      </c>
      <c r="F909" s="67" t="s">
        <v>876</v>
      </c>
      <c r="G909" s="24" t="s">
        <v>2805</v>
      </c>
      <c r="H909" s="15" t="s">
        <v>2788</v>
      </c>
      <c r="I909" s="16">
        <v>20</v>
      </c>
      <c r="J909" s="16" t="str">
        <f t="shared" si="44"/>
        <v>Young</v>
      </c>
      <c r="K909" s="25">
        <v>1</v>
      </c>
      <c r="L909" s="42">
        <v>750</v>
      </c>
      <c r="M909" s="15">
        <v>300</v>
      </c>
      <c r="N909" s="39">
        <f t="shared" si="42"/>
        <v>750</v>
      </c>
      <c r="O909" s="39">
        <f t="shared" si="43"/>
        <v>450</v>
      </c>
      <c r="P909" s="24" t="s">
        <v>2044</v>
      </c>
      <c r="Q909" s="24" t="s">
        <v>2020</v>
      </c>
      <c r="R909" s="1" t="s">
        <v>2013</v>
      </c>
      <c r="S909" s="15" t="s">
        <v>2082</v>
      </c>
      <c r="T909" s="15" t="s">
        <v>2442</v>
      </c>
      <c r="U909" s="25" t="s">
        <v>2083</v>
      </c>
      <c r="V909" s="25" t="s">
        <v>2437</v>
      </c>
      <c r="W909" s="80">
        <v>45031</v>
      </c>
      <c r="X909" s="21" t="s">
        <v>2815</v>
      </c>
    </row>
    <row r="910" spans="1:24" x14ac:dyDescent="0.2">
      <c r="A910" s="1">
        <v>894</v>
      </c>
      <c r="B910" s="1" t="s">
        <v>62</v>
      </c>
      <c r="C910" s="1" t="s">
        <v>2782</v>
      </c>
      <c r="D910" s="11" t="s">
        <v>2710</v>
      </c>
      <c r="E910" s="35" t="s">
        <v>863</v>
      </c>
      <c r="F910" s="66" t="s">
        <v>984</v>
      </c>
      <c r="G910" s="24" t="s">
        <v>2807</v>
      </c>
      <c r="H910" s="15" t="s">
        <v>2789</v>
      </c>
      <c r="I910" s="16">
        <v>49</v>
      </c>
      <c r="J910" s="16" t="str">
        <f t="shared" si="44"/>
        <v>Middle Age</v>
      </c>
      <c r="K910" s="25">
        <v>5</v>
      </c>
      <c r="L910" s="42">
        <v>2880</v>
      </c>
      <c r="M910" s="15">
        <v>1260</v>
      </c>
      <c r="N910" s="39">
        <f t="shared" si="42"/>
        <v>14400</v>
      </c>
      <c r="O910" s="39">
        <f t="shared" si="43"/>
        <v>8100</v>
      </c>
      <c r="P910" s="24" t="s">
        <v>2029</v>
      </c>
      <c r="Q910" s="24" t="s">
        <v>2016</v>
      </c>
      <c r="R910" s="1" t="s">
        <v>2013</v>
      </c>
      <c r="S910" s="15" t="s">
        <v>2082</v>
      </c>
      <c r="T910" s="15" t="s">
        <v>2442</v>
      </c>
      <c r="U910" s="25" t="s">
        <v>2088</v>
      </c>
      <c r="V910" s="25" t="s">
        <v>2435</v>
      </c>
      <c r="W910" s="80">
        <v>44949</v>
      </c>
      <c r="X910" s="21" t="s">
        <v>2818</v>
      </c>
    </row>
    <row r="911" spans="1:24" x14ac:dyDescent="0.2">
      <c r="A911" s="1">
        <v>895</v>
      </c>
      <c r="B911" s="1" t="s">
        <v>686</v>
      </c>
      <c r="C911" s="1" t="s">
        <v>2782</v>
      </c>
      <c r="D911" s="11" t="s">
        <v>685</v>
      </c>
      <c r="E911" s="35" t="s">
        <v>864</v>
      </c>
      <c r="F911" s="66" t="s">
        <v>927</v>
      </c>
      <c r="G911" s="24" t="s">
        <v>2809</v>
      </c>
      <c r="H911" s="15" t="s">
        <v>2789</v>
      </c>
      <c r="I911" s="24">
        <v>25</v>
      </c>
      <c r="J911" s="16" t="str">
        <f t="shared" si="44"/>
        <v>Young</v>
      </c>
      <c r="K911" s="25">
        <v>3</v>
      </c>
      <c r="L911" s="42">
        <v>5990</v>
      </c>
      <c r="M911" s="15">
        <v>2900</v>
      </c>
      <c r="N911" s="39">
        <f t="shared" si="42"/>
        <v>17970</v>
      </c>
      <c r="O911" s="39">
        <f t="shared" si="43"/>
        <v>9270</v>
      </c>
      <c r="P911" s="24" t="s">
        <v>2025</v>
      </c>
      <c r="Q911" s="24" t="s">
        <v>2024</v>
      </c>
      <c r="R911" s="1" t="s">
        <v>2013</v>
      </c>
      <c r="S911" s="15" t="s">
        <v>2082</v>
      </c>
      <c r="T911" s="15" t="s">
        <v>2442</v>
      </c>
      <c r="U911" s="25" t="s">
        <v>2086</v>
      </c>
      <c r="V911" s="25" t="s">
        <v>2434</v>
      </c>
      <c r="W911" s="80">
        <v>45203</v>
      </c>
      <c r="X911" s="21" t="s">
        <v>2821</v>
      </c>
    </row>
    <row r="912" spans="1:24" x14ac:dyDescent="0.2">
      <c r="A912" s="1">
        <v>896</v>
      </c>
      <c r="B912" s="1" t="s">
        <v>687</v>
      </c>
      <c r="C912" s="1" t="s">
        <v>2782</v>
      </c>
      <c r="D912" s="11" t="s">
        <v>21</v>
      </c>
      <c r="E912" s="35" t="s">
        <v>822</v>
      </c>
      <c r="F912" s="67" t="s">
        <v>932</v>
      </c>
      <c r="G912" s="24" t="s">
        <v>2794</v>
      </c>
      <c r="H912" s="15" t="s">
        <v>2789</v>
      </c>
      <c r="I912" s="24">
        <v>31</v>
      </c>
      <c r="J912" s="16" t="str">
        <f t="shared" si="44"/>
        <v>Young</v>
      </c>
      <c r="K912" s="25">
        <v>2</v>
      </c>
      <c r="L912" s="42">
        <v>1880</v>
      </c>
      <c r="M912" s="15">
        <v>880</v>
      </c>
      <c r="N912" s="39">
        <f t="shared" si="42"/>
        <v>3760</v>
      </c>
      <c r="O912" s="39">
        <f t="shared" si="43"/>
        <v>2000</v>
      </c>
      <c r="P912" s="24" t="s">
        <v>2052</v>
      </c>
      <c r="Q912" s="15" t="s">
        <v>2016</v>
      </c>
      <c r="R912" s="1" t="s">
        <v>2013</v>
      </c>
      <c r="S912" s="15" t="s">
        <v>2082</v>
      </c>
      <c r="T912" s="15" t="s">
        <v>2442</v>
      </c>
      <c r="U912" s="25" t="s">
        <v>2090</v>
      </c>
      <c r="V912" s="25" t="s">
        <v>2436</v>
      </c>
      <c r="W912" s="80">
        <v>45050</v>
      </c>
      <c r="X912" s="21" t="s">
        <v>2786</v>
      </c>
    </row>
    <row r="913" spans="1:24" x14ac:dyDescent="0.2">
      <c r="A913" s="1">
        <v>897</v>
      </c>
      <c r="B913" s="1" t="s">
        <v>85</v>
      </c>
      <c r="C913" s="1" t="s">
        <v>2782</v>
      </c>
      <c r="D913" s="11" t="s">
        <v>688</v>
      </c>
      <c r="E913" s="35" t="s">
        <v>863</v>
      </c>
      <c r="F913" s="66" t="s">
        <v>881</v>
      </c>
      <c r="G913" s="24" t="s">
        <v>2792</v>
      </c>
      <c r="H913" s="15" t="s">
        <v>2789</v>
      </c>
      <c r="I913" s="24">
        <v>56</v>
      </c>
      <c r="J913" s="16" t="str">
        <f t="shared" si="44"/>
        <v>Old</v>
      </c>
      <c r="K913" s="25">
        <v>4</v>
      </c>
      <c r="L913" s="42">
        <v>3630</v>
      </c>
      <c r="M913" s="15">
        <v>1230</v>
      </c>
      <c r="N913" s="39">
        <f t="shared" si="42"/>
        <v>14520</v>
      </c>
      <c r="O913" s="39">
        <f t="shared" si="43"/>
        <v>9600</v>
      </c>
      <c r="P913" s="24" t="s">
        <v>2052</v>
      </c>
      <c r="Q913" s="15" t="s">
        <v>2016</v>
      </c>
      <c r="R913" s="1" t="s">
        <v>2013</v>
      </c>
      <c r="S913" s="15" t="s">
        <v>2082</v>
      </c>
      <c r="T913" s="15" t="s">
        <v>2442</v>
      </c>
      <c r="U913" s="25" t="s">
        <v>2084</v>
      </c>
      <c r="V913" s="25" t="s">
        <v>2437</v>
      </c>
      <c r="W913" s="80">
        <v>45161</v>
      </c>
      <c r="X913" s="21" t="s">
        <v>2819</v>
      </c>
    </row>
    <row r="914" spans="1:24" x14ac:dyDescent="0.2">
      <c r="A914" s="1">
        <v>898</v>
      </c>
      <c r="B914" s="1" t="s">
        <v>690</v>
      </c>
      <c r="C914" s="1" t="s">
        <v>2782</v>
      </c>
      <c r="D914" s="11" t="s">
        <v>689</v>
      </c>
      <c r="E914" s="35" t="s">
        <v>864</v>
      </c>
      <c r="F914" s="66" t="s">
        <v>883</v>
      </c>
      <c r="G914" s="24" t="s">
        <v>2796</v>
      </c>
      <c r="H914" s="15" t="s">
        <v>2788</v>
      </c>
      <c r="I914" s="24">
        <v>42</v>
      </c>
      <c r="J914" s="16" t="str">
        <f t="shared" si="44"/>
        <v>Middle Age</v>
      </c>
      <c r="K914" s="25">
        <v>4</v>
      </c>
      <c r="L914" s="42">
        <v>3860</v>
      </c>
      <c r="M914" s="15">
        <v>2350</v>
      </c>
      <c r="N914" s="39">
        <f t="shared" si="42"/>
        <v>15440</v>
      </c>
      <c r="O914" s="39">
        <f t="shared" si="43"/>
        <v>6040</v>
      </c>
      <c r="P914" s="24" t="s">
        <v>2039</v>
      </c>
      <c r="Q914" s="24" t="s">
        <v>2014</v>
      </c>
      <c r="R914" s="1" t="s">
        <v>2013</v>
      </c>
      <c r="S914" s="15" t="s">
        <v>2082</v>
      </c>
      <c r="T914" s="15" t="s">
        <v>2442</v>
      </c>
      <c r="U914" s="25" t="s">
        <v>2083</v>
      </c>
      <c r="V914" s="25" t="s">
        <v>2434</v>
      </c>
      <c r="W914" s="80">
        <v>44969</v>
      </c>
      <c r="X914" s="21" t="s">
        <v>2817</v>
      </c>
    </row>
    <row r="915" spans="1:24" x14ac:dyDescent="0.2">
      <c r="A915" s="1">
        <v>899</v>
      </c>
      <c r="B915" s="1" t="s">
        <v>285</v>
      </c>
      <c r="C915" s="1" t="s">
        <v>2782</v>
      </c>
      <c r="D915" s="11" t="s">
        <v>2711</v>
      </c>
      <c r="E915" s="35" t="s">
        <v>822</v>
      </c>
      <c r="F915" s="66" t="s">
        <v>884</v>
      </c>
      <c r="G915" s="24" t="s">
        <v>2798</v>
      </c>
      <c r="H915" s="15" t="s">
        <v>2788</v>
      </c>
      <c r="I915" s="24">
        <v>34</v>
      </c>
      <c r="J915" s="16" t="str">
        <f t="shared" si="44"/>
        <v>Young</v>
      </c>
      <c r="K915" s="25">
        <v>5</v>
      </c>
      <c r="L915" s="42">
        <v>2920</v>
      </c>
      <c r="M915" s="15">
        <v>1220</v>
      </c>
      <c r="N915" s="39">
        <f t="shared" si="42"/>
        <v>14600</v>
      </c>
      <c r="O915" s="39">
        <f t="shared" si="43"/>
        <v>8500</v>
      </c>
      <c r="P915" s="24" t="s">
        <v>2023</v>
      </c>
      <c r="Q915" s="15" t="s">
        <v>2828</v>
      </c>
      <c r="R915" s="1" t="s">
        <v>2013</v>
      </c>
      <c r="S915" s="15" t="s">
        <v>2082</v>
      </c>
      <c r="T915" s="15" t="s">
        <v>2442</v>
      </c>
      <c r="U915" s="25" t="s">
        <v>2086</v>
      </c>
      <c r="V915" s="25" t="s">
        <v>2436</v>
      </c>
      <c r="W915" s="80">
        <v>45203</v>
      </c>
      <c r="X915" s="21" t="s">
        <v>2821</v>
      </c>
    </row>
    <row r="916" spans="1:24" x14ac:dyDescent="0.2">
      <c r="A916" s="1">
        <v>900</v>
      </c>
      <c r="B916" s="1" t="s">
        <v>241</v>
      </c>
      <c r="C916" s="1" t="s">
        <v>2782</v>
      </c>
      <c r="D916" s="11" t="s">
        <v>2712</v>
      </c>
      <c r="E916" s="35" t="s">
        <v>863</v>
      </c>
      <c r="F916" s="67" t="s">
        <v>931</v>
      </c>
      <c r="G916" s="24" t="s">
        <v>2800</v>
      </c>
      <c r="H916" s="15" t="s">
        <v>2788</v>
      </c>
      <c r="I916" s="24">
        <v>23</v>
      </c>
      <c r="J916" s="16" t="str">
        <f t="shared" si="44"/>
        <v>Young</v>
      </c>
      <c r="K916" s="25">
        <v>3</v>
      </c>
      <c r="L916" s="42">
        <v>3290</v>
      </c>
      <c r="M916" s="15">
        <v>1250</v>
      </c>
      <c r="N916" s="39">
        <f t="shared" si="42"/>
        <v>9870</v>
      </c>
      <c r="O916" s="39">
        <f t="shared" si="43"/>
        <v>6120</v>
      </c>
      <c r="P916" s="24" t="s">
        <v>2026</v>
      </c>
      <c r="Q916" s="15" t="s">
        <v>2014</v>
      </c>
      <c r="R916" s="1" t="s">
        <v>2013</v>
      </c>
      <c r="S916" s="15" t="s">
        <v>2082</v>
      </c>
      <c r="T916" s="15" t="s">
        <v>2442</v>
      </c>
      <c r="U916" s="25" t="s">
        <v>2085</v>
      </c>
      <c r="V916" s="25" t="s">
        <v>2437</v>
      </c>
      <c r="W916" s="80">
        <v>45012</v>
      </c>
      <c r="X916" s="21" t="s">
        <v>2816</v>
      </c>
    </row>
    <row r="917" spans="1:24" x14ac:dyDescent="0.2">
      <c r="A917" s="1">
        <v>901</v>
      </c>
      <c r="B917" s="1" t="s">
        <v>29</v>
      </c>
      <c r="C917" s="1" t="s">
        <v>2782</v>
      </c>
      <c r="D917" s="11" t="s">
        <v>691</v>
      </c>
      <c r="E917" s="35" t="s">
        <v>864</v>
      </c>
      <c r="F917" s="66" t="s">
        <v>929</v>
      </c>
      <c r="G917" s="24" t="s">
        <v>2802</v>
      </c>
      <c r="H917" s="15" t="s">
        <v>2789</v>
      </c>
      <c r="I917" s="24">
        <v>56</v>
      </c>
      <c r="J917" s="16" t="str">
        <f t="shared" si="44"/>
        <v>Old</v>
      </c>
      <c r="K917" s="25">
        <v>2</v>
      </c>
      <c r="L917" s="42">
        <v>2300</v>
      </c>
      <c r="M917" s="15">
        <v>900</v>
      </c>
      <c r="N917" s="39">
        <f t="shared" si="42"/>
        <v>4600</v>
      </c>
      <c r="O917" s="39">
        <f t="shared" si="43"/>
        <v>2800</v>
      </c>
      <c r="P917" s="24" t="s">
        <v>2026</v>
      </c>
      <c r="Q917" s="15" t="s">
        <v>2014</v>
      </c>
      <c r="R917" s="1" t="s">
        <v>2013</v>
      </c>
      <c r="S917" s="15" t="s">
        <v>2082</v>
      </c>
      <c r="T917" s="15" t="s">
        <v>2442</v>
      </c>
      <c r="U917" s="25" t="s">
        <v>2087</v>
      </c>
      <c r="V917" s="25" t="s">
        <v>2435</v>
      </c>
      <c r="W917" s="80">
        <v>45079</v>
      </c>
      <c r="X917" s="21" t="s">
        <v>2814</v>
      </c>
    </row>
    <row r="918" spans="1:24" x14ac:dyDescent="0.2">
      <c r="A918" s="1">
        <v>902</v>
      </c>
      <c r="B918" s="1" t="s">
        <v>693</v>
      </c>
      <c r="C918" s="1" t="s">
        <v>2782</v>
      </c>
      <c r="D918" s="11" t="s">
        <v>692</v>
      </c>
      <c r="E918" s="35" t="s">
        <v>822</v>
      </c>
      <c r="F918" s="66" t="s">
        <v>882</v>
      </c>
      <c r="G918" s="24" t="s">
        <v>2804</v>
      </c>
      <c r="H918" s="15" t="s">
        <v>2788</v>
      </c>
      <c r="I918" s="24">
        <v>24</v>
      </c>
      <c r="J918" s="16" t="str">
        <f t="shared" si="44"/>
        <v>Young</v>
      </c>
      <c r="K918" s="25">
        <v>4</v>
      </c>
      <c r="L918" s="42">
        <f>1900+150</f>
        <v>2050</v>
      </c>
      <c r="M918" s="15">
        <f>800+50</f>
        <v>850</v>
      </c>
      <c r="N918" s="39">
        <f t="shared" si="42"/>
        <v>8200</v>
      </c>
      <c r="O918" s="39">
        <f t="shared" si="43"/>
        <v>4800</v>
      </c>
      <c r="P918" s="24" t="s">
        <v>2050</v>
      </c>
      <c r="Q918" s="24" t="s">
        <v>2024</v>
      </c>
      <c r="R918" s="1" t="s">
        <v>2013</v>
      </c>
      <c r="S918" s="15" t="s">
        <v>2082</v>
      </c>
      <c r="T918" s="15" t="s">
        <v>2442</v>
      </c>
      <c r="U918" s="25" t="s">
        <v>2086</v>
      </c>
      <c r="V918" s="25" t="s">
        <v>2434</v>
      </c>
      <c r="W918" s="80">
        <v>45002</v>
      </c>
      <c r="X918" s="21" t="s">
        <v>2816</v>
      </c>
    </row>
    <row r="919" spans="1:24" x14ac:dyDescent="0.2">
      <c r="A919" s="1">
        <v>903</v>
      </c>
      <c r="B919" s="1" t="s">
        <v>694</v>
      </c>
      <c r="C919" s="1" t="s">
        <v>2782</v>
      </c>
      <c r="D919" s="11" t="s">
        <v>2713</v>
      </c>
      <c r="E919" s="35" t="s">
        <v>863</v>
      </c>
      <c r="F919" s="66" t="s">
        <v>880</v>
      </c>
      <c r="G919" s="24" t="s">
        <v>2806</v>
      </c>
      <c r="H919" s="15" t="s">
        <v>2789</v>
      </c>
      <c r="I919" s="24">
        <v>64</v>
      </c>
      <c r="J919" s="16" t="str">
        <f t="shared" si="44"/>
        <v>Old</v>
      </c>
      <c r="K919" s="25">
        <v>1</v>
      </c>
      <c r="L919" s="42">
        <v>6070</v>
      </c>
      <c r="M919" s="15">
        <v>3570</v>
      </c>
      <c r="N919" s="39">
        <f t="shared" si="42"/>
        <v>6070</v>
      </c>
      <c r="O919" s="39">
        <f t="shared" si="43"/>
        <v>2500</v>
      </c>
      <c r="P919" s="24" t="s">
        <v>2041</v>
      </c>
      <c r="Q919" s="24" t="s">
        <v>2016</v>
      </c>
      <c r="R919" s="1" t="s">
        <v>2013</v>
      </c>
      <c r="S919" s="15" t="s">
        <v>2082</v>
      </c>
      <c r="T919" s="15" t="s">
        <v>2442</v>
      </c>
      <c r="U919" s="25" t="s">
        <v>2085</v>
      </c>
      <c r="V919" s="25" t="s">
        <v>2436</v>
      </c>
      <c r="W919" s="80">
        <v>45235</v>
      </c>
      <c r="X919" s="21" t="s">
        <v>2823</v>
      </c>
    </row>
    <row r="920" spans="1:24" x14ac:dyDescent="0.2">
      <c r="A920" s="1">
        <v>904</v>
      </c>
      <c r="B920" s="1" t="s">
        <v>150</v>
      </c>
      <c r="C920" s="1" t="s">
        <v>2782</v>
      </c>
      <c r="D920" s="11" t="s">
        <v>695</v>
      </c>
      <c r="E920" s="35" t="s">
        <v>822</v>
      </c>
      <c r="F920" s="66" t="s">
        <v>878</v>
      </c>
      <c r="G920" s="24" t="s">
        <v>2808</v>
      </c>
      <c r="H920" s="15" t="s">
        <v>2789</v>
      </c>
      <c r="I920" s="24">
        <v>64</v>
      </c>
      <c r="J920" s="16" t="str">
        <f t="shared" si="44"/>
        <v>Old</v>
      </c>
      <c r="K920" s="25">
        <v>5</v>
      </c>
      <c r="L920" s="42">
        <v>5860</v>
      </c>
      <c r="M920" s="15">
        <v>3000</v>
      </c>
      <c r="N920" s="39">
        <f t="shared" si="42"/>
        <v>29300</v>
      </c>
      <c r="O920" s="39">
        <f t="shared" si="43"/>
        <v>14300</v>
      </c>
      <c r="P920" s="24" t="s">
        <v>2038</v>
      </c>
      <c r="Q920" s="15" t="s">
        <v>2016</v>
      </c>
      <c r="R920" s="1" t="s">
        <v>2013</v>
      </c>
      <c r="S920" s="15" t="s">
        <v>2082</v>
      </c>
      <c r="T920" s="15" t="s">
        <v>2442</v>
      </c>
      <c r="U920" s="25" t="s">
        <v>2085</v>
      </c>
      <c r="V920" s="25" t="s">
        <v>2437</v>
      </c>
      <c r="W920" s="80">
        <v>44962</v>
      </c>
      <c r="X920" s="21" t="s">
        <v>2817</v>
      </c>
    </row>
    <row r="921" spans="1:24" x14ac:dyDescent="0.2">
      <c r="A921" s="1">
        <v>905</v>
      </c>
      <c r="B921" s="1" t="s">
        <v>697</v>
      </c>
      <c r="C921" s="1" t="s">
        <v>2782</v>
      </c>
      <c r="D921" s="11" t="s">
        <v>696</v>
      </c>
      <c r="E921" s="35" t="s">
        <v>863</v>
      </c>
      <c r="F921" s="66" t="s">
        <v>879</v>
      </c>
      <c r="G921" s="24" t="s">
        <v>2810</v>
      </c>
      <c r="H921" s="15" t="s">
        <v>2788</v>
      </c>
      <c r="I921" s="24">
        <v>23</v>
      </c>
      <c r="J921" s="16" t="str">
        <f t="shared" si="44"/>
        <v>Young</v>
      </c>
      <c r="K921" s="25">
        <v>2</v>
      </c>
      <c r="L921" s="42">
        <f>3200+550</f>
        <v>3750</v>
      </c>
      <c r="M921" s="15">
        <f>1600+450</f>
        <v>2050</v>
      </c>
      <c r="N921" s="39">
        <f t="shared" si="42"/>
        <v>7500</v>
      </c>
      <c r="O921" s="39">
        <f t="shared" si="43"/>
        <v>3400</v>
      </c>
      <c r="P921" s="24" t="s">
        <v>2056</v>
      </c>
      <c r="Q921" s="24" t="s">
        <v>2024</v>
      </c>
      <c r="R921" s="1" t="s">
        <v>2013</v>
      </c>
      <c r="S921" s="15" t="s">
        <v>2082</v>
      </c>
      <c r="T921" s="15" t="s">
        <v>2442</v>
      </c>
      <c r="U921" s="25" t="s">
        <v>2086</v>
      </c>
      <c r="V921" s="25" t="s">
        <v>2435</v>
      </c>
      <c r="W921" s="80">
        <v>45228</v>
      </c>
      <c r="X921" s="21" t="s">
        <v>2821</v>
      </c>
    </row>
    <row r="922" spans="1:24" x14ac:dyDescent="0.2">
      <c r="A922" s="1">
        <v>906</v>
      </c>
      <c r="B922" s="1" t="s">
        <v>698</v>
      </c>
      <c r="C922" s="1" t="s">
        <v>2782</v>
      </c>
      <c r="D922" s="11" t="s">
        <v>2714</v>
      </c>
      <c r="E922" s="35" t="s">
        <v>864</v>
      </c>
      <c r="F922" s="66" t="s">
        <v>880</v>
      </c>
      <c r="G922" s="24" t="s">
        <v>2793</v>
      </c>
      <c r="H922" s="15" t="s">
        <v>2789</v>
      </c>
      <c r="I922" s="24">
        <v>19</v>
      </c>
      <c r="J922" s="16" t="str">
        <f t="shared" si="44"/>
        <v>Young</v>
      </c>
      <c r="K922" s="25">
        <v>3</v>
      </c>
      <c r="L922" s="42">
        <v>1790</v>
      </c>
      <c r="M922" s="15">
        <v>700</v>
      </c>
      <c r="N922" s="39">
        <f t="shared" si="42"/>
        <v>5370</v>
      </c>
      <c r="O922" s="39">
        <f t="shared" si="43"/>
        <v>3270</v>
      </c>
      <c r="P922" s="24" t="s">
        <v>2055</v>
      </c>
      <c r="Q922" s="24" t="s">
        <v>2014</v>
      </c>
      <c r="R922" s="1" t="s">
        <v>2013</v>
      </c>
      <c r="S922" s="15" t="s">
        <v>2082</v>
      </c>
      <c r="T922" s="15" t="s">
        <v>2442</v>
      </c>
      <c r="U922" s="25" t="s">
        <v>2089</v>
      </c>
      <c r="V922" s="25" t="s">
        <v>2436</v>
      </c>
      <c r="W922" s="80">
        <v>45125</v>
      </c>
      <c r="X922" s="21" t="s">
        <v>2813</v>
      </c>
    </row>
    <row r="923" spans="1:24" x14ac:dyDescent="0.2">
      <c r="A923" s="1">
        <v>907</v>
      </c>
      <c r="B923" s="1" t="s">
        <v>699</v>
      </c>
      <c r="C923" s="1" t="s">
        <v>2782</v>
      </c>
      <c r="D923" s="11" t="s">
        <v>554</v>
      </c>
      <c r="E923" s="35" t="s">
        <v>823</v>
      </c>
      <c r="F923" s="66" t="s">
        <v>881</v>
      </c>
      <c r="G923" s="24" t="s">
        <v>2791</v>
      </c>
      <c r="H923" s="15" t="s">
        <v>2789</v>
      </c>
      <c r="I923" s="24">
        <v>21</v>
      </c>
      <c r="J923" s="16" t="str">
        <f t="shared" si="44"/>
        <v>Young</v>
      </c>
      <c r="K923" s="25">
        <v>4</v>
      </c>
      <c r="L923" s="42">
        <v>3330</v>
      </c>
      <c r="M923" s="15">
        <v>1830</v>
      </c>
      <c r="N923" s="39">
        <f t="shared" si="42"/>
        <v>13320</v>
      </c>
      <c r="O923" s="39">
        <f t="shared" si="43"/>
        <v>6000</v>
      </c>
      <c r="P923" s="24" t="s">
        <v>2051</v>
      </c>
      <c r="Q923" s="15" t="s">
        <v>2828</v>
      </c>
      <c r="R923" s="1" t="s">
        <v>2013</v>
      </c>
      <c r="S923" s="15" t="s">
        <v>2082</v>
      </c>
      <c r="T923" s="15" t="s">
        <v>2442</v>
      </c>
      <c r="U923" s="25" t="s">
        <v>2085</v>
      </c>
      <c r="V923" s="25" t="s">
        <v>2434</v>
      </c>
      <c r="W923" s="80">
        <v>45217</v>
      </c>
      <c r="X923" s="21" t="s">
        <v>2821</v>
      </c>
    </row>
    <row r="924" spans="1:24" x14ac:dyDescent="0.2">
      <c r="A924" s="1">
        <v>908</v>
      </c>
      <c r="B924" s="1" t="s">
        <v>701</v>
      </c>
      <c r="C924" s="1" t="s">
        <v>2782</v>
      </c>
      <c r="D924" s="11" t="s">
        <v>700</v>
      </c>
      <c r="E924" s="35" t="s">
        <v>864</v>
      </c>
      <c r="F924" s="66" t="s">
        <v>882</v>
      </c>
      <c r="G924" s="24" t="s">
        <v>2795</v>
      </c>
      <c r="H924" s="15" t="s">
        <v>2788</v>
      </c>
      <c r="I924" s="24">
        <v>56</v>
      </c>
      <c r="J924" s="16" t="str">
        <f t="shared" si="44"/>
        <v>Old</v>
      </c>
      <c r="K924" s="25">
        <v>1</v>
      </c>
      <c r="L924" s="42">
        <v>3780</v>
      </c>
      <c r="M924" s="15">
        <v>1880</v>
      </c>
      <c r="N924" s="39">
        <f t="shared" si="42"/>
        <v>3780</v>
      </c>
      <c r="O924" s="39">
        <f t="shared" si="43"/>
        <v>1900</v>
      </c>
      <c r="P924" s="24" t="s">
        <v>2053</v>
      </c>
      <c r="Q924" s="24" t="s">
        <v>2014</v>
      </c>
      <c r="R924" s="1" t="s">
        <v>2013</v>
      </c>
      <c r="S924" s="15" t="s">
        <v>2082</v>
      </c>
      <c r="T924" s="15" t="s">
        <v>2442</v>
      </c>
      <c r="U924" s="25" t="s">
        <v>2087</v>
      </c>
      <c r="V924" s="25" t="s">
        <v>2437</v>
      </c>
      <c r="W924" s="80">
        <v>45184</v>
      </c>
      <c r="X924" s="21" t="s">
        <v>2820</v>
      </c>
    </row>
    <row r="925" spans="1:24" x14ac:dyDescent="0.2">
      <c r="A925" s="1">
        <v>910</v>
      </c>
      <c r="B925" s="1" t="s">
        <v>8</v>
      </c>
      <c r="C925" s="1" t="s">
        <v>2782</v>
      </c>
      <c r="D925" s="11" t="s">
        <v>4</v>
      </c>
      <c r="E925" s="35" t="s">
        <v>822</v>
      </c>
      <c r="F925" s="66" t="s">
        <v>881</v>
      </c>
      <c r="G925" s="24" t="s">
        <v>2797</v>
      </c>
      <c r="H925" s="15" t="s">
        <v>2789</v>
      </c>
      <c r="I925" s="24">
        <v>34</v>
      </c>
      <c r="J925" s="16" t="str">
        <f t="shared" si="44"/>
        <v>Young</v>
      </c>
      <c r="K925" s="25">
        <v>5</v>
      </c>
      <c r="L925" s="42">
        <v>890</v>
      </c>
      <c r="M925" s="15">
        <v>500</v>
      </c>
      <c r="N925" s="39">
        <f t="shared" si="42"/>
        <v>4450</v>
      </c>
      <c r="O925" s="39">
        <f t="shared" si="43"/>
        <v>1950</v>
      </c>
      <c r="P925" s="24" t="s">
        <v>2019</v>
      </c>
      <c r="Q925" s="24" t="s">
        <v>2014</v>
      </c>
      <c r="R925" s="1" t="s">
        <v>2013</v>
      </c>
      <c r="S925" s="15" t="s">
        <v>2082</v>
      </c>
      <c r="T925" s="15" t="s">
        <v>2442</v>
      </c>
      <c r="U925" s="25" t="s">
        <v>2090</v>
      </c>
      <c r="V925" s="25" t="s">
        <v>2435</v>
      </c>
      <c r="W925" s="80">
        <v>45090</v>
      </c>
      <c r="X925" s="21" t="s">
        <v>2814</v>
      </c>
    </row>
    <row r="926" spans="1:24" x14ac:dyDescent="0.2">
      <c r="A926" s="1">
        <v>911</v>
      </c>
      <c r="B926" s="1" t="s">
        <v>8</v>
      </c>
      <c r="C926" s="1" t="s">
        <v>2782</v>
      </c>
      <c r="D926" s="11" t="s">
        <v>2715</v>
      </c>
      <c r="E926" s="35" t="s">
        <v>863</v>
      </c>
      <c r="F926" s="66" t="s">
        <v>883</v>
      </c>
      <c r="G926" s="24" t="s">
        <v>2799</v>
      </c>
      <c r="H926" s="15" t="s">
        <v>2788</v>
      </c>
      <c r="I926" s="16">
        <v>52</v>
      </c>
      <c r="J926" s="16" t="str">
        <f t="shared" si="44"/>
        <v>Old</v>
      </c>
      <c r="K926" s="25">
        <v>3</v>
      </c>
      <c r="L926" s="42">
        <f>260+70</f>
        <v>330</v>
      </c>
      <c r="M926" s="15">
        <v>170</v>
      </c>
      <c r="N926" s="39">
        <f t="shared" si="42"/>
        <v>990</v>
      </c>
      <c r="O926" s="39">
        <f t="shared" si="43"/>
        <v>480</v>
      </c>
      <c r="P926" s="24" t="s">
        <v>2021</v>
      </c>
      <c r="Q926" s="24" t="s">
        <v>2020</v>
      </c>
      <c r="R926" s="1" t="s">
        <v>2013</v>
      </c>
      <c r="S926" s="15" t="s">
        <v>2082</v>
      </c>
      <c r="T926" s="15" t="s">
        <v>2442</v>
      </c>
      <c r="U926" s="25" t="s">
        <v>2086</v>
      </c>
      <c r="V926" s="25" t="s">
        <v>2434</v>
      </c>
      <c r="W926" s="80">
        <v>45121</v>
      </c>
      <c r="X926" s="21" t="s">
        <v>2813</v>
      </c>
    </row>
    <row r="927" spans="1:24" x14ac:dyDescent="0.2">
      <c r="A927" s="1">
        <v>912</v>
      </c>
      <c r="B927" s="1" t="s">
        <v>13</v>
      </c>
      <c r="C927" s="1" t="s">
        <v>2781</v>
      </c>
      <c r="D927" s="11" t="s">
        <v>869</v>
      </c>
      <c r="E927" s="35" t="s">
        <v>821</v>
      </c>
      <c r="F927" s="66" t="s">
        <v>884</v>
      </c>
      <c r="G927" s="24" t="s">
        <v>2801</v>
      </c>
      <c r="H927" s="15" t="s">
        <v>2788</v>
      </c>
      <c r="I927" s="16">
        <v>23</v>
      </c>
      <c r="J927" s="16" t="str">
        <f t="shared" si="44"/>
        <v>Young</v>
      </c>
      <c r="K927" s="25">
        <v>2</v>
      </c>
      <c r="L927" s="42">
        <v>1190</v>
      </c>
      <c r="M927" s="15">
        <v>650</v>
      </c>
      <c r="N927" s="39">
        <f t="shared" si="42"/>
        <v>2380</v>
      </c>
      <c r="O927" s="39">
        <f t="shared" si="43"/>
        <v>1080</v>
      </c>
      <c r="P927" s="24" t="s">
        <v>2054</v>
      </c>
      <c r="Q927" s="24" t="s">
        <v>2016</v>
      </c>
      <c r="R927" s="1" t="s">
        <v>2013</v>
      </c>
      <c r="S927" s="15" t="s">
        <v>2082</v>
      </c>
      <c r="T927" s="15" t="s">
        <v>2442</v>
      </c>
      <c r="U927" s="25" t="s">
        <v>2089</v>
      </c>
      <c r="V927" s="25" t="s">
        <v>2436</v>
      </c>
      <c r="W927" s="80">
        <v>45280</v>
      </c>
      <c r="X927" s="21" t="s">
        <v>2822</v>
      </c>
    </row>
    <row r="928" spans="1:24" x14ac:dyDescent="0.2">
      <c r="A928" s="14">
        <v>913</v>
      </c>
      <c r="B928" s="1" t="s">
        <v>703</v>
      </c>
      <c r="C928" s="1" t="s">
        <v>2782</v>
      </c>
      <c r="D928" s="11" t="s">
        <v>702</v>
      </c>
      <c r="E928" s="35" t="s">
        <v>822</v>
      </c>
      <c r="F928" s="67" t="s">
        <v>931</v>
      </c>
      <c r="G928" s="24" t="s">
        <v>2803</v>
      </c>
      <c r="H928" s="15" t="s">
        <v>2788</v>
      </c>
      <c r="I928" s="16">
        <v>38</v>
      </c>
      <c r="J928" s="16" t="str">
        <f t="shared" si="44"/>
        <v>Middle Age</v>
      </c>
      <c r="K928" s="25">
        <v>4</v>
      </c>
      <c r="L928" s="42">
        <v>8180</v>
      </c>
      <c r="M928" s="15">
        <v>3330</v>
      </c>
      <c r="N928" s="39">
        <f t="shared" si="42"/>
        <v>32720</v>
      </c>
      <c r="O928" s="39">
        <f t="shared" si="43"/>
        <v>19400</v>
      </c>
      <c r="P928" s="24" t="s">
        <v>2053</v>
      </c>
      <c r="Q928" s="24" t="s">
        <v>2014</v>
      </c>
      <c r="R928" s="1" t="s">
        <v>2013</v>
      </c>
      <c r="S928" s="15" t="s">
        <v>2082</v>
      </c>
      <c r="T928" s="15" t="s">
        <v>2442</v>
      </c>
      <c r="U928" s="25" t="s">
        <v>2090</v>
      </c>
      <c r="V928" s="25" t="s">
        <v>2437</v>
      </c>
      <c r="W928" s="80">
        <v>45175</v>
      </c>
      <c r="X928" s="21" t="s">
        <v>2820</v>
      </c>
    </row>
    <row r="929" spans="1:24" x14ac:dyDescent="0.2">
      <c r="A929" s="14">
        <v>914</v>
      </c>
      <c r="B929" s="1" t="s">
        <v>705</v>
      </c>
      <c r="C929" s="1" t="s">
        <v>2782</v>
      </c>
      <c r="D929" s="11" t="s">
        <v>704</v>
      </c>
      <c r="E929" s="35" t="s">
        <v>863</v>
      </c>
      <c r="F929" s="66" t="s">
        <v>929</v>
      </c>
      <c r="G929" s="24" t="s">
        <v>2805</v>
      </c>
      <c r="H929" s="15" t="s">
        <v>2789</v>
      </c>
      <c r="I929" s="16">
        <v>41</v>
      </c>
      <c r="J929" s="16" t="str">
        <f t="shared" si="44"/>
        <v>Middle Age</v>
      </c>
      <c r="K929" s="25">
        <v>1</v>
      </c>
      <c r="L929" s="42">
        <v>3280</v>
      </c>
      <c r="M929" s="15">
        <v>1780</v>
      </c>
      <c r="N929" s="39">
        <f t="shared" si="42"/>
        <v>3280</v>
      </c>
      <c r="O929" s="39">
        <f t="shared" si="43"/>
        <v>1500</v>
      </c>
      <c r="P929" s="24" t="s">
        <v>2051</v>
      </c>
      <c r="Q929" s="15" t="s">
        <v>2828</v>
      </c>
      <c r="R929" s="1" t="s">
        <v>2013</v>
      </c>
      <c r="S929" s="15" t="s">
        <v>2082</v>
      </c>
      <c r="T929" s="15" t="s">
        <v>2442</v>
      </c>
      <c r="U929" s="25" t="s">
        <v>2087</v>
      </c>
      <c r="V929" s="25" t="s">
        <v>2435</v>
      </c>
      <c r="W929" s="80">
        <v>45059</v>
      </c>
      <c r="X929" s="21" t="s">
        <v>2786</v>
      </c>
    </row>
    <row r="930" spans="1:24" x14ac:dyDescent="0.2">
      <c r="A930" s="14">
        <v>915</v>
      </c>
      <c r="B930" s="1" t="s">
        <v>707</v>
      </c>
      <c r="C930" s="1" t="s">
        <v>2782</v>
      </c>
      <c r="D930" s="11" t="s">
        <v>706</v>
      </c>
      <c r="E930" s="35" t="s">
        <v>864</v>
      </c>
      <c r="F930" s="66" t="s">
        <v>882</v>
      </c>
      <c r="G930" s="24" t="s">
        <v>2807</v>
      </c>
      <c r="H930" s="15" t="s">
        <v>2788</v>
      </c>
      <c r="I930" s="16">
        <v>29</v>
      </c>
      <c r="J930" s="16" t="str">
        <f t="shared" si="44"/>
        <v>Young</v>
      </c>
      <c r="K930" s="25">
        <v>5</v>
      </c>
      <c r="L930" s="42">
        <f>5360+550</f>
        <v>5910</v>
      </c>
      <c r="M930" s="15">
        <f>2800+450</f>
        <v>3250</v>
      </c>
      <c r="N930" s="39">
        <f t="shared" si="42"/>
        <v>29550</v>
      </c>
      <c r="O930" s="39">
        <f t="shared" si="43"/>
        <v>13300</v>
      </c>
      <c r="P930" s="24" t="s">
        <v>2030</v>
      </c>
      <c r="Q930" s="24" t="s">
        <v>2024</v>
      </c>
      <c r="R930" s="1" t="s">
        <v>2013</v>
      </c>
      <c r="S930" s="15" t="s">
        <v>2082</v>
      </c>
      <c r="T930" s="15" t="s">
        <v>2442</v>
      </c>
      <c r="U930" s="25" t="s">
        <v>2087</v>
      </c>
      <c r="V930" s="25" t="s">
        <v>2435</v>
      </c>
      <c r="W930" s="80">
        <v>45170</v>
      </c>
      <c r="X930" s="21" t="s">
        <v>2820</v>
      </c>
    </row>
    <row r="931" spans="1:24" x14ac:dyDescent="0.2">
      <c r="A931" s="14">
        <v>916</v>
      </c>
      <c r="B931" s="1" t="s">
        <v>708</v>
      </c>
      <c r="C931" s="1" t="s">
        <v>2782</v>
      </c>
      <c r="D931" s="11" t="s">
        <v>2716</v>
      </c>
      <c r="E931" s="35" t="s">
        <v>822</v>
      </c>
      <c r="F931" s="66" t="s">
        <v>930</v>
      </c>
      <c r="G931" s="24" t="s">
        <v>2809</v>
      </c>
      <c r="H931" s="15" t="s">
        <v>2788</v>
      </c>
      <c r="I931" s="16">
        <v>60</v>
      </c>
      <c r="J931" s="16" t="str">
        <f t="shared" si="44"/>
        <v>Old</v>
      </c>
      <c r="K931" s="25">
        <v>2</v>
      </c>
      <c r="L931" s="42">
        <v>3770</v>
      </c>
      <c r="M931" s="15">
        <v>1700</v>
      </c>
      <c r="N931" s="39">
        <f t="shared" si="42"/>
        <v>7540</v>
      </c>
      <c r="O931" s="39">
        <f t="shared" si="43"/>
        <v>4140</v>
      </c>
      <c r="P931" s="24" t="s">
        <v>2039</v>
      </c>
      <c r="Q931" s="24" t="s">
        <v>2014</v>
      </c>
      <c r="R931" s="1" t="s">
        <v>2013</v>
      </c>
      <c r="S931" s="15" t="s">
        <v>2082</v>
      </c>
      <c r="T931" s="15" t="s">
        <v>2442</v>
      </c>
      <c r="U931" s="25" t="s">
        <v>2086</v>
      </c>
      <c r="V931" s="25" t="s">
        <v>2436</v>
      </c>
      <c r="W931" s="80">
        <v>45061</v>
      </c>
      <c r="X931" s="21" t="s">
        <v>2786</v>
      </c>
    </row>
    <row r="932" spans="1:24" x14ac:dyDescent="0.2">
      <c r="A932" s="14">
        <v>917</v>
      </c>
      <c r="B932" s="1" t="s">
        <v>709</v>
      </c>
      <c r="C932" s="1" t="s">
        <v>2782</v>
      </c>
      <c r="D932" s="11" t="s">
        <v>812</v>
      </c>
      <c r="E932" s="35" t="s">
        <v>863</v>
      </c>
      <c r="F932" s="67" t="s">
        <v>915</v>
      </c>
      <c r="G932" s="24" t="s">
        <v>2794</v>
      </c>
      <c r="H932" s="15" t="s">
        <v>2788</v>
      </c>
      <c r="I932" s="16">
        <v>33</v>
      </c>
      <c r="J932" s="16" t="str">
        <f t="shared" si="44"/>
        <v>Young</v>
      </c>
      <c r="K932" s="25">
        <v>3</v>
      </c>
      <c r="L932" s="42">
        <f>2850+250</f>
        <v>3100</v>
      </c>
      <c r="M932" s="15">
        <f>1350+200</f>
        <v>1550</v>
      </c>
      <c r="N932" s="39">
        <f t="shared" si="42"/>
        <v>9300</v>
      </c>
      <c r="O932" s="39">
        <f t="shared" si="43"/>
        <v>4650</v>
      </c>
      <c r="P932" s="24" t="s">
        <v>2040</v>
      </c>
      <c r="Q932" s="15" t="s">
        <v>2014</v>
      </c>
      <c r="R932" s="1" t="s">
        <v>2013</v>
      </c>
      <c r="S932" s="15" t="s">
        <v>2082</v>
      </c>
      <c r="T932" s="15" t="s">
        <v>2442</v>
      </c>
      <c r="U932" s="25" t="s">
        <v>2088</v>
      </c>
      <c r="V932" s="25" t="s">
        <v>2434</v>
      </c>
      <c r="W932" s="80">
        <v>45196</v>
      </c>
      <c r="X932" s="21" t="s">
        <v>2820</v>
      </c>
    </row>
    <row r="933" spans="1:24" x14ac:dyDescent="0.2">
      <c r="A933" s="14">
        <v>918</v>
      </c>
      <c r="B933" s="1" t="s">
        <v>710</v>
      </c>
      <c r="C933" s="1" t="s">
        <v>2782</v>
      </c>
      <c r="D933" s="11" t="s">
        <v>2717</v>
      </c>
      <c r="E933" s="35" t="s">
        <v>822</v>
      </c>
      <c r="F933" s="66" t="s">
        <v>920</v>
      </c>
      <c r="G933" s="24" t="s">
        <v>2792</v>
      </c>
      <c r="H933" s="15" t="s">
        <v>2789</v>
      </c>
      <c r="I933" s="16">
        <v>22</v>
      </c>
      <c r="J933" s="16" t="str">
        <f t="shared" si="44"/>
        <v>Young</v>
      </c>
      <c r="K933" s="25">
        <v>4</v>
      </c>
      <c r="L933" s="42">
        <v>8150</v>
      </c>
      <c r="M933" s="15">
        <v>4300</v>
      </c>
      <c r="N933" s="39">
        <f t="shared" si="42"/>
        <v>32600</v>
      </c>
      <c r="O933" s="39">
        <f t="shared" si="43"/>
        <v>15400</v>
      </c>
      <c r="P933" s="24" t="s">
        <v>2042</v>
      </c>
      <c r="Q933" s="15" t="s">
        <v>2828</v>
      </c>
      <c r="R933" s="1" t="s">
        <v>2013</v>
      </c>
      <c r="S933" s="15" t="s">
        <v>2082</v>
      </c>
      <c r="T933" s="15" t="s">
        <v>2442</v>
      </c>
      <c r="U933" s="25" t="s">
        <v>2083</v>
      </c>
      <c r="V933" s="25" t="s">
        <v>2437</v>
      </c>
      <c r="W933" s="80">
        <v>45028</v>
      </c>
      <c r="X933" s="21" t="s">
        <v>2815</v>
      </c>
    </row>
    <row r="934" spans="1:24" x14ac:dyDescent="0.2">
      <c r="A934" s="1">
        <v>919</v>
      </c>
      <c r="B934" s="1" t="s">
        <v>450</v>
      </c>
      <c r="C934" s="1" t="s">
        <v>2782</v>
      </c>
      <c r="D934" s="11" t="s">
        <v>711</v>
      </c>
      <c r="E934" s="35" t="s">
        <v>863</v>
      </c>
      <c r="F934" s="67" t="s">
        <v>921</v>
      </c>
      <c r="G934" s="24" t="s">
        <v>2796</v>
      </c>
      <c r="H934" s="15" t="s">
        <v>2789</v>
      </c>
      <c r="I934" s="16">
        <v>47</v>
      </c>
      <c r="J934" s="16" t="str">
        <f t="shared" si="44"/>
        <v>Middle Age</v>
      </c>
      <c r="K934" s="25">
        <v>1</v>
      </c>
      <c r="L934" s="42">
        <v>3000</v>
      </c>
      <c r="M934" s="15">
        <v>1500</v>
      </c>
      <c r="N934" s="39">
        <f t="shared" si="42"/>
        <v>3000</v>
      </c>
      <c r="O934" s="39">
        <f t="shared" si="43"/>
        <v>1500</v>
      </c>
      <c r="P934" s="24" t="s">
        <v>2052</v>
      </c>
      <c r="Q934" s="15" t="s">
        <v>2016</v>
      </c>
      <c r="R934" s="1" t="s">
        <v>2013</v>
      </c>
      <c r="S934" s="15" t="s">
        <v>2082</v>
      </c>
      <c r="T934" s="15" t="s">
        <v>2442</v>
      </c>
      <c r="U934" s="25" t="s">
        <v>2088</v>
      </c>
      <c r="V934" s="25" t="s">
        <v>2435</v>
      </c>
      <c r="W934" s="80">
        <v>45007</v>
      </c>
      <c r="X934" s="21" t="s">
        <v>2816</v>
      </c>
    </row>
    <row r="935" spans="1:24" x14ac:dyDescent="0.2">
      <c r="A935" s="1">
        <v>920</v>
      </c>
      <c r="B935" s="1" t="s">
        <v>712</v>
      </c>
      <c r="C935" s="1" t="s">
        <v>2782</v>
      </c>
      <c r="D935" s="11" t="s">
        <v>2718</v>
      </c>
      <c r="E935" s="35" t="s">
        <v>864</v>
      </c>
      <c r="F935" s="66" t="s">
        <v>930</v>
      </c>
      <c r="G935" s="24" t="s">
        <v>2798</v>
      </c>
      <c r="H935" s="15" t="s">
        <v>2788</v>
      </c>
      <c r="I935" s="16">
        <v>55</v>
      </c>
      <c r="J935" s="16" t="str">
        <f t="shared" si="44"/>
        <v>Old</v>
      </c>
      <c r="K935" s="25">
        <v>5</v>
      </c>
      <c r="L935" s="42">
        <v>3400</v>
      </c>
      <c r="M935" s="15">
        <v>1100</v>
      </c>
      <c r="N935" s="39">
        <f t="shared" si="42"/>
        <v>17000</v>
      </c>
      <c r="O935" s="39">
        <f t="shared" si="43"/>
        <v>11500</v>
      </c>
      <c r="P935" s="24" t="s">
        <v>2023</v>
      </c>
      <c r="Q935" s="15" t="s">
        <v>2828</v>
      </c>
      <c r="R935" s="1" t="s">
        <v>2013</v>
      </c>
      <c r="S935" s="15" t="s">
        <v>2082</v>
      </c>
      <c r="T935" s="15" t="s">
        <v>2442</v>
      </c>
      <c r="U935" s="25" t="s">
        <v>2083</v>
      </c>
      <c r="V935" s="25" t="s">
        <v>2434</v>
      </c>
      <c r="W935" s="80">
        <v>45034</v>
      </c>
      <c r="X935" s="21" t="s">
        <v>2815</v>
      </c>
    </row>
    <row r="936" spans="1:24" x14ac:dyDescent="0.2">
      <c r="A936" s="1">
        <v>921</v>
      </c>
      <c r="B936" s="1" t="s">
        <v>714</v>
      </c>
      <c r="C936" s="1" t="s">
        <v>2782</v>
      </c>
      <c r="D936" s="11" t="s">
        <v>713</v>
      </c>
      <c r="E936" s="35" t="s">
        <v>822</v>
      </c>
      <c r="F936" s="67" t="s">
        <v>915</v>
      </c>
      <c r="G936" s="24" t="s">
        <v>2800</v>
      </c>
      <c r="H936" s="15" t="s">
        <v>2788</v>
      </c>
      <c r="I936" s="16">
        <v>36</v>
      </c>
      <c r="J936" s="16" t="str">
        <f t="shared" si="44"/>
        <v>Middle Age</v>
      </c>
      <c r="K936" s="25">
        <v>3</v>
      </c>
      <c r="L936" s="42">
        <v>6500</v>
      </c>
      <c r="M936" s="15">
        <v>3200</v>
      </c>
      <c r="N936" s="39">
        <f t="shared" si="42"/>
        <v>19500</v>
      </c>
      <c r="O936" s="39">
        <f t="shared" si="43"/>
        <v>9900</v>
      </c>
      <c r="P936" s="24" t="s">
        <v>2033</v>
      </c>
      <c r="Q936" s="24" t="s">
        <v>2016</v>
      </c>
      <c r="R936" s="1" t="s">
        <v>2013</v>
      </c>
      <c r="S936" s="15" t="s">
        <v>2082</v>
      </c>
      <c r="T936" s="15" t="s">
        <v>2442</v>
      </c>
      <c r="U936" s="25" t="s">
        <v>2087</v>
      </c>
      <c r="V936" s="25" t="s">
        <v>2436</v>
      </c>
      <c r="W936" s="80">
        <v>45070</v>
      </c>
      <c r="X936" s="21" t="s">
        <v>2786</v>
      </c>
    </row>
    <row r="937" spans="1:24" x14ac:dyDescent="0.2">
      <c r="A937" s="1">
        <v>922</v>
      </c>
      <c r="B937" s="1" t="s">
        <v>716</v>
      </c>
      <c r="C937" s="1" t="s">
        <v>2782</v>
      </c>
      <c r="D937" s="11" t="s">
        <v>715</v>
      </c>
      <c r="E937" s="35" t="s">
        <v>863</v>
      </c>
      <c r="F937" s="66" t="s">
        <v>920</v>
      </c>
      <c r="G937" s="24" t="s">
        <v>2802</v>
      </c>
      <c r="H937" s="15" t="s">
        <v>2789</v>
      </c>
      <c r="I937" s="16">
        <v>28</v>
      </c>
      <c r="J937" s="16" t="str">
        <f t="shared" si="44"/>
        <v>Young</v>
      </c>
      <c r="K937" s="25">
        <v>2</v>
      </c>
      <c r="L937" s="42">
        <f>3780+550</f>
        <v>4330</v>
      </c>
      <c r="M937" s="15">
        <f>1480+450</f>
        <v>1930</v>
      </c>
      <c r="N937" s="39">
        <f t="shared" si="42"/>
        <v>8660</v>
      </c>
      <c r="O937" s="39">
        <f t="shared" si="43"/>
        <v>4800</v>
      </c>
      <c r="P937" s="24" t="s">
        <v>2031</v>
      </c>
      <c r="Q937" s="24" t="s">
        <v>2016</v>
      </c>
      <c r="R937" s="1" t="s">
        <v>2013</v>
      </c>
      <c r="S937" s="15" t="s">
        <v>2082</v>
      </c>
      <c r="T937" s="15" t="s">
        <v>2442</v>
      </c>
      <c r="U937" s="25" t="s">
        <v>2084</v>
      </c>
      <c r="V937" s="25" t="s">
        <v>2437</v>
      </c>
      <c r="W937" s="80">
        <v>44992</v>
      </c>
      <c r="X937" s="21" t="s">
        <v>2816</v>
      </c>
    </row>
    <row r="938" spans="1:24" x14ac:dyDescent="0.2">
      <c r="A938" s="1">
        <v>923</v>
      </c>
      <c r="B938" s="1" t="s">
        <v>718</v>
      </c>
      <c r="C938" s="1" t="s">
        <v>2782</v>
      </c>
      <c r="D938" s="11" t="s">
        <v>717</v>
      </c>
      <c r="E938" s="35" t="s">
        <v>864</v>
      </c>
      <c r="F938" s="67" t="s">
        <v>921</v>
      </c>
      <c r="G938" s="24" t="s">
        <v>2804</v>
      </c>
      <c r="H938" s="15" t="s">
        <v>2789</v>
      </c>
      <c r="I938" s="16">
        <v>50</v>
      </c>
      <c r="J938" s="16" t="str">
        <f t="shared" si="44"/>
        <v>Old</v>
      </c>
      <c r="K938" s="25">
        <v>4</v>
      </c>
      <c r="L938" s="42">
        <v>4850</v>
      </c>
      <c r="M938" s="15">
        <v>2350</v>
      </c>
      <c r="N938" s="39">
        <f t="shared" si="42"/>
        <v>19400</v>
      </c>
      <c r="O938" s="39">
        <f t="shared" si="43"/>
        <v>10000</v>
      </c>
      <c r="P938" s="24" t="s">
        <v>2051</v>
      </c>
      <c r="Q938" s="15" t="s">
        <v>2828</v>
      </c>
      <c r="R938" s="1" t="s">
        <v>2013</v>
      </c>
      <c r="S938" s="15" t="s">
        <v>2082</v>
      </c>
      <c r="T938" s="15" t="s">
        <v>2442</v>
      </c>
      <c r="U938" s="25" t="s">
        <v>2083</v>
      </c>
      <c r="V938" s="25" t="s">
        <v>2435</v>
      </c>
      <c r="W938" s="80">
        <v>45181</v>
      </c>
      <c r="X938" s="21" t="s">
        <v>2820</v>
      </c>
    </row>
    <row r="939" spans="1:24" x14ac:dyDescent="0.2">
      <c r="A939" s="1">
        <v>924</v>
      </c>
      <c r="B939" s="1" t="s">
        <v>719</v>
      </c>
      <c r="C939" s="1" t="s">
        <v>2782</v>
      </c>
      <c r="D939" s="11" t="s">
        <v>2719</v>
      </c>
      <c r="E939" s="35" t="s">
        <v>822</v>
      </c>
      <c r="F939" s="67" t="s">
        <v>922</v>
      </c>
      <c r="G939" s="24" t="s">
        <v>2806</v>
      </c>
      <c r="H939" s="15" t="s">
        <v>2788</v>
      </c>
      <c r="I939" s="16">
        <v>39</v>
      </c>
      <c r="J939" s="16" t="str">
        <f t="shared" si="44"/>
        <v>Middle Age</v>
      </c>
      <c r="K939" s="25">
        <v>1</v>
      </c>
      <c r="L939" s="42">
        <v>4010</v>
      </c>
      <c r="M939" s="15">
        <f>1400</f>
        <v>1400</v>
      </c>
      <c r="N939" s="39">
        <f t="shared" si="42"/>
        <v>4010</v>
      </c>
      <c r="O939" s="39">
        <f t="shared" si="43"/>
        <v>2610</v>
      </c>
      <c r="P939" s="24" t="s">
        <v>2050</v>
      </c>
      <c r="Q939" s="24" t="s">
        <v>2024</v>
      </c>
      <c r="R939" s="1" t="s">
        <v>2013</v>
      </c>
      <c r="S939" s="15" t="s">
        <v>2082</v>
      </c>
      <c r="T939" s="15" t="s">
        <v>2442</v>
      </c>
      <c r="U939" s="25" t="s">
        <v>2086</v>
      </c>
      <c r="V939" s="25" t="s">
        <v>2436</v>
      </c>
      <c r="W939" s="80">
        <v>45209</v>
      </c>
      <c r="X939" s="21" t="s">
        <v>2821</v>
      </c>
    </row>
    <row r="940" spans="1:24" x14ac:dyDescent="0.2">
      <c r="A940" s="1">
        <v>925</v>
      </c>
      <c r="B940" s="1" t="s">
        <v>335</v>
      </c>
      <c r="C940" s="1" t="s">
        <v>2782</v>
      </c>
      <c r="D940" s="11" t="s">
        <v>2554</v>
      </c>
      <c r="E940" s="35" t="s">
        <v>863</v>
      </c>
      <c r="F940" s="67" t="s">
        <v>923</v>
      </c>
      <c r="G940" s="24" t="s">
        <v>2808</v>
      </c>
      <c r="H940" s="15" t="s">
        <v>2788</v>
      </c>
      <c r="I940" s="16">
        <v>31</v>
      </c>
      <c r="J940" s="16" t="str">
        <f t="shared" si="44"/>
        <v>Young</v>
      </c>
      <c r="K940" s="25">
        <v>5</v>
      </c>
      <c r="L940" s="42">
        <v>3200</v>
      </c>
      <c r="M940" s="15">
        <v>1400</v>
      </c>
      <c r="N940" s="39">
        <f t="shared" si="42"/>
        <v>16000</v>
      </c>
      <c r="O940" s="39">
        <f t="shared" si="43"/>
        <v>9000</v>
      </c>
      <c r="P940" s="24" t="s">
        <v>2049</v>
      </c>
      <c r="Q940" s="24" t="s">
        <v>2016</v>
      </c>
      <c r="R940" s="1" t="s">
        <v>2013</v>
      </c>
      <c r="S940" s="15" t="s">
        <v>2082</v>
      </c>
      <c r="T940" s="15" t="s">
        <v>2442</v>
      </c>
      <c r="U940" s="25" t="s">
        <v>2083</v>
      </c>
      <c r="V940" s="25" t="s">
        <v>2434</v>
      </c>
      <c r="W940" s="80">
        <v>45231</v>
      </c>
      <c r="X940" s="21" t="s">
        <v>2823</v>
      </c>
    </row>
    <row r="941" spans="1:24" x14ac:dyDescent="0.2">
      <c r="A941" s="1">
        <v>926</v>
      </c>
      <c r="B941" s="1" t="s">
        <v>721</v>
      </c>
      <c r="C941" s="1" t="s">
        <v>2782</v>
      </c>
      <c r="D941" s="11" t="s">
        <v>720</v>
      </c>
      <c r="E941" s="35" t="s">
        <v>864</v>
      </c>
      <c r="F941" s="67" t="s">
        <v>924</v>
      </c>
      <c r="G941" s="24" t="s">
        <v>2810</v>
      </c>
      <c r="H941" s="15" t="s">
        <v>2789</v>
      </c>
      <c r="I941" s="16">
        <v>44</v>
      </c>
      <c r="J941" s="16" t="str">
        <f t="shared" si="44"/>
        <v>Middle Age</v>
      </c>
      <c r="K941" s="25">
        <v>3</v>
      </c>
      <c r="L941" s="42">
        <v>5930</v>
      </c>
      <c r="M941" s="15">
        <v>3430</v>
      </c>
      <c r="N941" s="39">
        <f t="shared" si="42"/>
        <v>17790</v>
      </c>
      <c r="O941" s="39">
        <f t="shared" si="43"/>
        <v>7500</v>
      </c>
      <c r="P941" s="24" t="s">
        <v>2042</v>
      </c>
      <c r="Q941" s="15" t="s">
        <v>2828</v>
      </c>
      <c r="R941" s="1" t="s">
        <v>2013</v>
      </c>
      <c r="S941" s="15" t="s">
        <v>2082</v>
      </c>
      <c r="T941" s="15" t="s">
        <v>2442</v>
      </c>
      <c r="U941" s="25" t="s">
        <v>2083</v>
      </c>
      <c r="V941" s="25" t="s">
        <v>2437</v>
      </c>
      <c r="W941" s="80">
        <v>45111</v>
      </c>
      <c r="X941" s="21" t="s">
        <v>2813</v>
      </c>
    </row>
    <row r="942" spans="1:24" x14ac:dyDescent="0.2">
      <c r="A942" s="1">
        <v>927</v>
      </c>
      <c r="B942" s="1" t="s">
        <v>51</v>
      </c>
      <c r="C942" s="1" t="s">
        <v>2782</v>
      </c>
      <c r="D942" s="11" t="s">
        <v>2720</v>
      </c>
      <c r="E942" s="35" t="s">
        <v>822</v>
      </c>
      <c r="F942" s="67" t="s">
        <v>925</v>
      </c>
      <c r="G942" s="24" t="s">
        <v>2793</v>
      </c>
      <c r="H942" s="15" t="s">
        <v>2788</v>
      </c>
      <c r="I942" s="16">
        <v>26</v>
      </c>
      <c r="J942" s="16" t="str">
        <f t="shared" si="44"/>
        <v>Young</v>
      </c>
      <c r="K942" s="25">
        <v>1</v>
      </c>
      <c r="L942" s="42">
        <v>6060</v>
      </c>
      <c r="M942" s="15">
        <v>4000</v>
      </c>
      <c r="N942" s="39">
        <f t="shared" si="42"/>
        <v>6060</v>
      </c>
      <c r="O942" s="39">
        <f t="shared" si="43"/>
        <v>2060</v>
      </c>
      <c r="P942" s="24" t="s">
        <v>2048</v>
      </c>
      <c r="Q942" s="24" t="s">
        <v>2014</v>
      </c>
      <c r="R942" s="1" t="s">
        <v>2013</v>
      </c>
      <c r="S942" s="15" t="s">
        <v>2082</v>
      </c>
      <c r="T942" s="15" t="s">
        <v>2442</v>
      </c>
      <c r="U942" s="25" t="s">
        <v>2083</v>
      </c>
      <c r="V942" s="25" t="s">
        <v>2435</v>
      </c>
      <c r="W942" s="80">
        <v>45242</v>
      </c>
      <c r="X942" s="21" t="s">
        <v>2823</v>
      </c>
    </row>
    <row r="943" spans="1:24" x14ac:dyDescent="0.2">
      <c r="A943" s="1">
        <v>928</v>
      </c>
      <c r="B943" s="1" t="s">
        <v>35</v>
      </c>
      <c r="C943" s="1" t="s">
        <v>2782</v>
      </c>
      <c r="D943" s="11" t="s">
        <v>2721</v>
      </c>
      <c r="E943" s="35" t="s">
        <v>863</v>
      </c>
      <c r="F943" s="69" t="s">
        <v>904</v>
      </c>
      <c r="G943" s="24" t="s">
        <v>2791</v>
      </c>
      <c r="H943" s="15" t="s">
        <v>2788</v>
      </c>
      <c r="I943" s="16">
        <v>48</v>
      </c>
      <c r="J943" s="16" t="str">
        <f t="shared" si="44"/>
        <v>Middle Age</v>
      </c>
      <c r="K943" s="25">
        <v>2</v>
      </c>
      <c r="L943" s="42">
        <v>4490</v>
      </c>
      <c r="M943" s="15">
        <v>2490</v>
      </c>
      <c r="N943" s="39">
        <f t="shared" si="42"/>
        <v>8980</v>
      </c>
      <c r="O943" s="39">
        <f t="shared" si="43"/>
        <v>4000</v>
      </c>
      <c r="P943" s="24" t="s">
        <v>2034</v>
      </c>
      <c r="Q943" s="24" t="s">
        <v>2016</v>
      </c>
      <c r="R943" s="1" t="s">
        <v>2013</v>
      </c>
      <c r="S943" s="15" t="s">
        <v>2082</v>
      </c>
      <c r="T943" s="15" t="s">
        <v>2442</v>
      </c>
      <c r="U943" s="25" t="s">
        <v>2084</v>
      </c>
      <c r="V943" s="25" t="s">
        <v>2434</v>
      </c>
      <c r="W943" s="80">
        <v>44935</v>
      </c>
      <c r="X943" s="21" t="s">
        <v>2818</v>
      </c>
    </row>
    <row r="944" spans="1:24" x14ac:dyDescent="0.2">
      <c r="A944" s="1">
        <v>928</v>
      </c>
      <c r="B944" s="1" t="s">
        <v>290</v>
      </c>
      <c r="C944" s="1" t="s">
        <v>2782</v>
      </c>
      <c r="D944" s="11" t="s">
        <v>468</v>
      </c>
      <c r="E944" s="35" t="s">
        <v>822</v>
      </c>
      <c r="F944" s="66" t="s">
        <v>926</v>
      </c>
      <c r="G944" s="24" t="s">
        <v>2795</v>
      </c>
      <c r="H944" s="15" t="s">
        <v>2788</v>
      </c>
      <c r="I944" s="16">
        <v>53</v>
      </c>
      <c r="J944" s="16" t="str">
        <f t="shared" si="44"/>
        <v>Old</v>
      </c>
      <c r="K944" s="25">
        <v>4</v>
      </c>
      <c r="L944" s="42">
        <v>4250</v>
      </c>
      <c r="M944" s="15">
        <v>2250</v>
      </c>
      <c r="N944" s="39">
        <f t="shared" si="42"/>
        <v>17000</v>
      </c>
      <c r="O944" s="39">
        <f t="shared" si="43"/>
        <v>8000</v>
      </c>
      <c r="P944" s="24" t="s">
        <v>2031</v>
      </c>
      <c r="Q944" s="24" t="s">
        <v>2016</v>
      </c>
      <c r="R944" s="1" t="s">
        <v>2013</v>
      </c>
      <c r="S944" s="15" t="s">
        <v>2082</v>
      </c>
      <c r="T944" s="15" t="s">
        <v>2442</v>
      </c>
      <c r="U944" s="25" t="s">
        <v>2087</v>
      </c>
      <c r="V944" s="25" t="s">
        <v>2436</v>
      </c>
      <c r="W944" s="80">
        <v>45196</v>
      </c>
      <c r="X944" s="21" t="s">
        <v>2820</v>
      </c>
    </row>
    <row r="945" spans="1:24" x14ac:dyDescent="0.2">
      <c r="A945" s="1">
        <v>929</v>
      </c>
      <c r="B945" s="1" t="s">
        <v>722</v>
      </c>
      <c r="C945" s="1" t="s">
        <v>2782</v>
      </c>
      <c r="D945" s="11" t="s">
        <v>2722</v>
      </c>
      <c r="E945" s="35" t="s">
        <v>863</v>
      </c>
      <c r="F945" s="66" t="s">
        <v>927</v>
      </c>
      <c r="G945" s="24" t="s">
        <v>2797</v>
      </c>
      <c r="H945" s="15" t="s">
        <v>2789</v>
      </c>
      <c r="I945" s="16">
        <v>30</v>
      </c>
      <c r="J945" s="16" t="str">
        <f t="shared" si="44"/>
        <v>Young</v>
      </c>
      <c r="K945" s="25">
        <v>5</v>
      </c>
      <c r="L945" s="42">
        <v>950</v>
      </c>
      <c r="M945" s="15">
        <v>300</v>
      </c>
      <c r="N945" s="39">
        <f t="shared" si="42"/>
        <v>4750</v>
      </c>
      <c r="O945" s="39">
        <f t="shared" si="43"/>
        <v>3250</v>
      </c>
      <c r="P945" s="24" t="s">
        <v>2015</v>
      </c>
      <c r="Q945" s="24" t="s">
        <v>2014</v>
      </c>
      <c r="R945" s="1" t="s">
        <v>2013</v>
      </c>
      <c r="S945" s="15" t="s">
        <v>2082</v>
      </c>
      <c r="T945" s="15" t="s">
        <v>2442</v>
      </c>
      <c r="U945" s="25" t="s">
        <v>2090</v>
      </c>
      <c r="V945" s="25" t="s">
        <v>2437</v>
      </c>
      <c r="W945" s="80">
        <v>45058</v>
      </c>
      <c r="X945" s="21" t="s">
        <v>2786</v>
      </c>
    </row>
    <row r="946" spans="1:24" x14ac:dyDescent="0.2">
      <c r="A946" s="1">
        <v>930</v>
      </c>
      <c r="B946" s="1" t="s">
        <v>724</v>
      </c>
      <c r="C946" s="1" t="s">
        <v>2782</v>
      </c>
      <c r="D946" s="11" t="s">
        <v>723</v>
      </c>
      <c r="E946" s="35" t="s">
        <v>864</v>
      </c>
      <c r="F946" s="67" t="s">
        <v>892</v>
      </c>
      <c r="G946" s="24" t="s">
        <v>2799</v>
      </c>
      <c r="H946" s="15" t="s">
        <v>2789</v>
      </c>
      <c r="I946" s="16">
        <v>37</v>
      </c>
      <c r="J946" s="16" t="str">
        <f t="shared" si="44"/>
        <v>Middle Age</v>
      </c>
      <c r="K946" s="25">
        <v>2</v>
      </c>
      <c r="L946" s="42">
        <v>5930</v>
      </c>
      <c r="M946" s="15">
        <v>3050</v>
      </c>
      <c r="N946" s="39">
        <f t="shared" si="42"/>
        <v>11860</v>
      </c>
      <c r="O946" s="39">
        <f t="shared" si="43"/>
        <v>5760</v>
      </c>
      <c r="P946" s="24" t="s">
        <v>2047</v>
      </c>
      <c r="Q946" s="24" t="s">
        <v>2024</v>
      </c>
      <c r="R946" s="1" t="s">
        <v>2013</v>
      </c>
      <c r="S946" s="15" t="s">
        <v>2082</v>
      </c>
      <c r="T946" s="15" t="s">
        <v>2442</v>
      </c>
      <c r="U946" s="25" t="s">
        <v>2090</v>
      </c>
      <c r="V946" s="25" t="s">
        <v>2435</v>
      </c>
      <c r="W946" s="80">
        <v>45052</v>
      </c>
      <c r="X946" s="21" t="s">
        <v>2786</v>
      </c>
    </row>
    <row r="947" spans="1:24" x14ac:dyDescent="0.2">
      <c r="A947" s="1">
        <v>931</v>
      </c>
      <c r="B947" s="1" t="s">
        <v>842</v>
      </c>
      <c r="C947" s="1" t="s">
        <v>2782</v>
      </c>
      <c r="D947" s="11" t="s">
        <v>2723</v>
      </c>
      <c r="E947" s="35" t="s">
        <v>823</v>
      </c>
      <c r="F947" s="67" t="s">
        <v>876</v>
      </c>
      <c r="G947" s="24" t="s">
        <v>2801</v>
      </c>
      <c r="H947" s="15" t="s">
        <v>2788</v>
      </c>
      <c r="I947" s="16">
        <v>42</v>
      </c>
      <c r="J947" s="16" t="str">
        <f t="shared" si="44"/>
        <v>Middle Age</v>
      </c>
      <c r="K947" s="25">
        <v>3</v>
      </c>
      <c r="L947" s="42">
        <v>1000</v>
      </c>
      <c r="M947" s="15">
        <v>500</v>
      </c>
      <c r="N947" s="39">
        <f t="shared" si="42"/>
        <v>3000</v>
      </c>
      <c r="O947" s="39">
        <f t="shared" si="43"/>
        <v>1500</v>
      </c>
      <c r="P947" s="24" t="s">
        <v>2041</v>
      </c>
      <c r="Q947" s="24" t="s">
        <v>2016</v>
      </c>
      <c r="R947" s="1" t="s">
        <v>2013</v>
      </c>
      <c r="S947" s="15" t="s">
        <v>2082</v>
      </c>
      <c r="T947" s="15" t="s">
        <v>2442</v>
      </c>
      <c r="U947" s="25" t="s">
        <v>2087</v>
      </c>
      <c r="V947" s="25" t="s">
        <v>2436</v>
      </c>
      <c r="W947" s="80">
        <v>45105</v>
      </c>
      <c r="X947" s="21" t="s">
        <v>2814</v>
      </c>
    </row>
    <row r="948" spans="1:24" x14ac:dyDescent="0.2">
      <c r="A948" s="1">
        <v>941</v>
      </c>
      <c r="B948" s="1" t="s">
        <v>725</v>
      </c>
      <c r="C948" s="1" t="s">
        <v>2782</v>
      </c>
      <c r="D948" s="1" t="s">
        <v>2724</v>
      </c>
      <c r="E948" s="35" t="s">
        <v>823</v>
      </c>
      <c r="F948" s="67" t="s">
        <v>885</v>
      </c>
      <c r="G948" s="24" t="s">
        <v>2803</v>
      </c>
      <c r="H948" s="15" t="s">
        <v>2788</v>
      </c>
      <c r="I948" s="16">
        <v>24</v>
      </c>
      <c r="J948" s="16" t="str">
        <f t="shared" si="44"/>
        <v>Young</v>
      </c>
      <c r="K948" s="25">
        <v>1</v>
      </c>
      <c r="L948" s="42">
        <v>4370</v>
      </c>
      <c r="M948" s="15">
        <v>1330</v>
      </c>
      <c r="N948" s="39">
        <f t="shared" si="42"/>
        <v>4370</v>
      </c>
      <c r="O948" s="39">
        <f t="shared" si="43"/>
        <v>3040</v>
      </c>
      <c r="P948" s="24" t="s">
        <v>2039</v>
      </c>
      <c r="Q948" s="24" t="s">
        <v>2014</v>
      </c>
      <c r="R948" s="1" t="s">
        <v>2013</v>
      </c>
      <c r="S948" s="15" t="s">
        <v>2082</v>
      </c>
      <c r="T948" s="15" t="s">
        <v>2442</v>
      </c>
      <c r="U948" s="25" t="s">
        <v>2086</v>
      </c>
      <c r="V948" s="25" t="s">
        <v>2434</v>
      </c>
      <c r="W948" s="80">
        <v>44975</v>
      </c>
      <c r="X948" s="21" t="s">
        <v>2817</v>
      </c>
    </row>
    <row r="949" spans="1:24" x14ac:dyDescent="0.2">
      <c r="A949" s="1">
        <v>942</v>
      </c>
      <c r="B949" s="1" t="s">
        <v>726</v>
      </c>
      <c r="C949" s="1" t="s">
        <v>2782</v>
      </c>
      <c r="D949" s="1" t="s">
        <v>2725</v>
      </c>
      <c r="E949" s="35" t="s">
        <v>823</v>
      </c>
      <c r="F949" s="67" t="s">
        <v>893</v>
      </c>
      <c r="G949" s="24" t="s">
        <v>2805</v>
      </c>
      <c r="H949" s="15" t="s">
        <v>2789</v>
      </c>
      <c r="I949" s="16">
        <v>57</v>
      </c>
      <c r="J949" s="16" t="str">
        <f t="shared" si="44"/>
        <v>Old</v>
      </c>
      <c r="K949" s="25">
        <v>4</v>
      </c>
      <c r="L949" s="42">
        <f>3250+550</f>
        <v>3800</v>
      </c>
      <c r="M949" s="15">
        <f>1500+450</f>
        <v>1950</v>
      </c>
      <c r="N949" s="39">
        <f t="shared" si="42"/>
        <v>15200</v>
      </c>
      <c r="O949" s="39">
        <f t="shared" si="43"/>
        <v>7400</v>
      </c>
      <c r="P949" s="24" t="s">
        <v>2045</v>
      </c>
      <c r="Q949" s="24" t="s">
        <v>2014</v>
      </c>
      <c r="R949" s="1" t="s">
        <v>2013</v>
      </c>
      <c r="S949" s="15" t="s">
        <v>2082</v>
      </c>
      <c r="T949" s="15" t="s">
        <v>2442</v>
      </c>
      <c r="U949" s="25" t="s">
        <v>2083</v>
      </c>
      <c r="V949" s="25" t="s">
        <v>2437</v>
      </c>
      <c r="W949" s="80">
        <v>45121</v>
      </c>
      <c r="X949" s="21" t="s">
        <v>2813</v>
      </c>
    </row>
    <row r="950" spans="1:24" x14ac:dyDescent="0.2">
      <c r="A950" s="1">
        <v>943</v>
      </c>
      <c r="B950" s="1" t="s">
        <v>728</v>
      </c>
      <c r="C950" s="1" t="s">
        <v>2782</v>
      </c>
      <c r="D950" s="1" t="s">
        <v>727</v>
      </c>
      <c r="E950" s="35" t="s">
        <v>863</v>
      </c>
      <c r="F950" s="67" t="s">
        <v>894</v>
      </c>
      <c r="G950" s="24" t="s">
        <v>2807</v>
      </c>
      <c r="H950" s="15" t="s">
        <v>2789</v>
      </c>
      <c r="I950" s="16">
        <v>35</v>
      </c>
      <c r="J950" s="16" t="str">
        <f t="shared" si="44"/>
        <v>Young</v>
      </c>
      <c r="K950" s="25">
        <v>5</v>
      </c>
      <c r="L950" s="42">
        <v>7200</v>
      </c>
      <c r="M950" s="15">
        <v>2690</v>
      </c>
      <c r="N950" s="39">
        <f t="shared" si="42"/>
        <v>36000</v>
      </c>
      <c r="O950" s="39">
        <f t="shared" si="43"/>
        <v>22550</v>
      </c>
      <c r="P950" s="24" t="s">
        <v>2026</v>
      </c>
      <c r="Q950" s="15" t="s">
        <v>2014</v>
      </c>
      <c r="R950" s="1" t="s">
        <v>2013</v>
      </c>
      <c r="S950" s="15" t="s">
        <v>2082</v>
      </c>
      <c r="T950" s="15" t="s">
        <v>2442</v>
      </c>
      <c r="U950" s="25" t="s">
        <v>2084</v>
      </c>
      <c r="V950" s="25" t="s">
        <v>2435</v>
      </c>
      <c r="W950" s="80">
        <v>45045</v>
      </c>
      <c r="X950" s="21" t="s">
        <v>2815</v>
      </c>
    </row>
    <row r="951" spans="1:24" x14ac:dyDescent="0.2">
      <c r="A951" s="1">
        <v>944</v>
      </c>
      <c r="B951" s="1" t="s">
        <v>730</v>
      </c>
      <c r="C951" s="1" t="s">
        <v>2782</v>
      </c>
      <c r="D951" s="1" t="s">
        <v>729</v>
      </c>
      <c r="E951" s="35" t="s">
        <v>863</v>
      </c>
      <c r="F951" s="66" t="s">
        <v>25</v>
      </c>
      <c r="G951" s="24" t="s">
        <v>2809</v>
      </c>
      <c r="H951" s="15" t="s">
        <v>2789</v>
      </c>
      <c r="I951" s="16">
        <v>40</v>
      </c>
      <c r="J951" s="16" t="str">
        <f t="shared" si="44"/>
        <v>Middle Age</v>
      </c>
      <c r="K951" s="25">
        <v>3</v>
      </c>
      <c r="L951" s="42">
        <v>3820</v>
      </c>
      <c r="M951" s="15">
        <v>2100</v>
      </c>
      <c r="N951" s="39">
        <f t="shared" si="42"/>
        <v>11460</v>
      </c>
      <c r="O951" s="39">
        <f t="shared" si="43"/>
        <v>5160</v>
      </c>
      <c r="P951" s="24" t="s">
        <v>2026</v>
      </c>
      <c r="Q951" s="15" t="s">
        <v>2014</v>
      </c>
      <c r="R951" s="1" t="s">
        <v>2013</v>
      </c>
      <c r="S951" s="15" t="s">
        <v>2082</v>
      </c>
      <c r="T951" s="15" t="s">
        <v>2442</v>
      </c>
      <c r="U951" s="25" t="s">
        <v>2088</v>
      </c>
      <c r="V951" s="25" t="s">
        <v>2434</v>
      </c>
      <c r="W951" s="80">
        <v>45045</v>
      </c>
      <c r="X951" s="21" t="s">
        <v>2815</v>
      </c>
    </row>
    <row r="952" spans="1:24" x14ac:dyDescent="0.2">
      <c r="A952" s="1">
        <v>945</v>
      </c>
      <c r="B952" s="1" t="s">
        <v>582</v>
      </c>
      <c r="C952" s="1" t="s">
        <v>2782</v>
      </c>
      <c r="D952" s="1" t="s">
        <v>731</v>
      </c>
      <c r="E952" s="35" t="s">
        <v>864</v>
      </c>
      <c r="F952" s="67" t="s">
        <v>915</v>
      </c>
      <c r="G952" s="24" t="s">
        <v>2794</v>
      </c>
      <c r="H952" s="15" t="s">
        <v>2788</v>
      </c>
      <c r="I952" s="16">
        <v>21</v>
      </c>
      <c r="J952" s="16" t="str">
        <f t="shared" si="44"/>
        <v>Young</v>
      </c>
      <c r="K952" s="25">
        <v>2</v>
      </c>
      <c r="L952" s="42">
        <v>6300</v>
      </c>
      <c r="M952" s="15">
        <v>3300</v>
      </c>
      <c r="N952" s="39">
        <f t="shared" si="42"/>
        <v>12600</v>
      </c>
      <c r="O952" s="39">
        <f t="shared" si="43"/>
        <v>6000</v>
      </c>
      <c r="P952" s="24" t="s">
        <v>2017</v>
      </c>
      <c r="Q952" s="24" t="s">
        <v>2016</v>
      </c>
      <c r="R952" s="1" t="s">
        <v>2013</v>
      </c>
      <c r="S952" s="15" t="s">
        <v>2082</v>
      </c>
      <c r="T952" s="15" t="s">
        <v>2442</v>
      </c>
      <c r="U952" s="25" t="s">
        <v>2086</v>
      </c>
      <c r="V952" s="25" t="s">
        <v>2436</v>
      </c>
      <c r="W952" s="80">
        <v>45069</v>
      </c>
      <c r="X952" s="21" t="s">
        <v>2786</v>
      </c>
    </row>
    <row r="953" spans="1:24" x14ac:dyDescent="0.2">
      <c r="A953" s="1">
        <v>946</v>
      </c>
      <c r="B953" s="1" t="s">
        <v>732</v>
      </c>
      <c r="C953" s="1" t="s">
        <v>2782</v>
      </c>
      <c r="D953" s="1" t="s">
        <v>2726</v>
      </c>
      <c r="E953" s="35" t="s">
        <v>822</v>
      </c>
      <c r="F953" s="66" t="s">
        <v>920</v>
      </c>
      <c r="G953" s="24" t="s">
        <v>2792</v>
      </c>
      <c r="H953" s="15" t="s">
        <v>2789</v>
      </c>
      <c r="I953" s="16">
        <v>45</v>
      </c>
      <c r="J953" s="16" t="str">
        <f t="shared" si="44"/>
        <v>Middle Age</v>
      </c>
      <c r="K953" s="25">
        <v>4</v>
      </c>
      <c r="L953" s="42">
        <v>5400</v>
      </c>
      <c r="M953" s="15">
        <v>1500</v>
      </c>
      <c r="N953" s="39">
        <f t="shared" si="42"/>
        <v>21600</v>
      </c>
      <c r="O953" s="39">
        <f t="shared" si="43"/>
        <v>15600</v>
      </c>
      <c r="P953" s="24" t="s">
        <v>2044</v>
      </c>
      <c r="Q953" s="24" t="s">
        <v>2020</v>
      </c>
      <c r="R953" s="1" t="s">
        <v>2013</v>
      </c>
      <c r="S953" s="15" t="s">
        <v>2082</v>
      </c>
      <c r="T953" s="15" t="s">
        <v>2442</v>
      </c>
      <c r="U953" s="25" t="s">
        <v>2086</v>
      </c>
      <c r="V953" s="25" t="s">
        <v>2437</v>
      </c>
      <c r="W953" s="80">
        <v>45091</v>
      </c>
      <c r="X953" s="21" t="s">
        <v>2814</v>
      </c>
    </row>
    <row r="954" spans="1:24" x14ac:dyDescent="0.2">
      <c r="A954" s="1">
        <v>947</v>
      </c>
      <c r="B954" s="1" t="s">
        <v>38</v>
      </c>
      <c r="C954" s="1" t="s">
        <v>2782</v>
      </c>
      <c r="D954" s="1" t="s">
        <v>2727</v>
      </c>
      <c r="E954" s="35" t="s">
        <v>823</v>
      </c>
      <c r="F954" s="67" t="s">
        <v>921</v>
      </c>
      <c r="G954" s="24" t="s">
        <v>2796</v>
      </c>
      <c r="H954" s="15" t="s">
        <v>2789</v>
      </c>
      <c r="I954" s="16">
        <v>52</v>
      </c>
      <c r="J954" s="16" t="str">
        <f t="shared" si="44"/>
        <v>Old</v>
      </c>
      <c r="K954" s="25">
        <v>1</v>
      </c>
      <c r="L954" s="42">
        <v>5850</v>
      </c>
      <c r="M954" s="15">
        <v>3150</v>
      </c>
      <c r="N954" s="39">
        <f t="shared" si="42"/>
        <v>5850</v>
      </c>
      <c r="O954" s="39">
        <f t="shared" si="43"/>
        <v>2700</v>
      </c>
      <c r="P954" s="24" t="s">
        <v>2019</v>
      </c>
      <c r="Q954" s="24" t="s">
        <v>2014</v>
      </c>
      <c r="R954" s="1" t="s">
        <v>2013</v>
      </c>
      <c r="S954" s="15" t="s">
        <v>2082</v>
      </c>
      <c r="T954" s="15" t="s">
        <v>2442</v>
      </c>
      <c r="U954" s="25" t="s">
        <v>2090</v>
      </c>
      <c r="V954" s="25" t="s">
        <v>2435</v>
      </c>
      <c r="W954" s="80">
        <v>45199</v>
      </c>
      <c r="X954" s="21" t="s">
        <v>2820</v>
      </c>
    </row>
    <row r="955" spans="1:24" x14ac:dyDescent="0.2">
      <c r="A955" s="1">
        <v>948</v>
      </c>
      <c r="B955" s="1" t="s">
        <v>734</v>
      </c>
      <c r="C955" s="1" t="s">
        <v>2782</v>
      </c>
      <c r="D955" s="1" t="s">
        <v>733</v>
      </c>
      <c r="E955" s="35" t="s">
        <v>822</v>
      </c>
      <c r="F955" s="67" t="s">
        <v>922</v>
      </c>
      <c r="G955" s="24" t="s">
        <v>2798</v>
      </c>
      <c r="H955" s="15" t="s">
        <v>2788</v>
      </c>
      <c r="I955" s="16">
        <v>23</v>
      </c>
      <c r="J955" s="16" t="str">
        <f t="shared" si="44"/>
        <v>Young</v>
      </c>
      <c r="K955" s="25">
        <v>5</v>
      </c>
      <c r="L955" s="42">
        <v>8550</v>
      </c>
      <c r="M955" s="15">
        <f>3650+500</f>
        <v>4150</v>
      </c>
      <c r="N955" s="39">
        <f t="shared" si="42"/>
        <v>42750</v>
      </c>
      <c r="O955" s="39">
        <f t="shared" si="43"/>
        <v>22000</v>
      </c>
      <c r="P955" s="24" t="s">
        <v>2036</v>
      </c>
      <c r="Q955" s="24" t="s">
        <v>2014</v>
      </c>
      <c r="R955" s="1" t="s">
        <v>2013</v>
      </c>
      <c r="S955" s="15" t="s">
        <v>2082</v>
      </c>
      <c r="T955" s="15" t="s">
        <v>2442</v>
      </c>
      <c r="U955" s="25" t="s">
        <v>2084</v>
      </c>
      <c r="V955" s="25" t="s">
        <v>2436</v>
      </c>
      <c r="W955" s="80">
        <v>45186</v>
      </c>
      <c r="X955" s="21" t="s">
        <v>2820</v>
      </c>
    </row>
    <row r="956" spans="1:24" x14ac:dyDescent="0.2">
      <c r="A956" s="1">
        <v>949</v>
      </c>
      <c r="B956" s="1" t="s">
        <v>196</v>
      </c>
      <c r="C956" s="1" t="s">
        <v>2782</v>
      </c>
      <c r="D956" s="1" t="s">
        <v>2728</v>
      </c>
      <c r="E956" s="35" t="s">
        <v>828</v>
      </c>
      <c r="F956" s="67" t="s">
        <v>923</v>
      </c>
      <c r="G956" s="24" t="s">
        <v>2800</v>
      </c>
      <c r="H956" s="15" t="s">
        <v>2788</v>
      </c>
      <c r="I956" s="16">
        <v>38</v>
      </c>
      <c r="J956" s="16" t="str">
        <f t="shared" si="44"/>
        <v>Middle Age</v>
      </c>
      <c r="K956" s="25">
        <v>2</v>
      </c>
      <c r="L956" s="42">
        <v>2920</v>
      </c>
      <c r="M956" s="15">
        <v>1220</v>
      </c>
      <c r="N956" s="39">
        <f t="shared" si="42"/>
        <v>5840</v>
      </c>
      <c r="O956" s="39">
        <f t="shared" si="43"/>
        <v>3400</v>
      </c>
      <c r="P956" s="24" t="s">
        <v>2040</v>
      </c>
      <c r="Q956" s="15" t="s">
        <v>2014</v>
      </c>
      <c r="R956" s="1" t="s">
        <v>2013</v>
      </c>
      <c r="S956" s="15" t="s">
        <v>2082</v>
      </c>
      <c r="T956" s="15" t="s">
        <v>2442</v>
      </c>
      <c r="U956" s="25" t="s">
        <v>2085</v>
      </c>
      <c r="V956" s="25" t="s">
        <v>2434</v>
      </c>
      <c r="W956" s="80">
        <v>45169</v>
      </c>
      <c r="X956" s="21" t="s">
        <v>2819</v>
      </c>
    </row>
    <row r="957" spans="1:24" x14ac:dyDescent="0.2">
      <c r="A957" s="1">
        <v>950</v>
      </c>
      <c r="B957" s="1" t="s">
        <v>735</v>
      </c>
      <c r="C957" s="1" t="s">
        <v>2782</v>
      </c>
      <c r="D957" s="1" t="s">
        <v>2729</v>
      </c>
      <c r="E957" s="35" t="s">
        <v>863</v>
      </c>
      <c r="F957" s="67" t="s">
        <v>924</v>
      </c>
      <c r="G957" s="24" t="s">
        <v>2802</v>
      </c>
      <c r="H957" s="15" t="s">
        <v>2789</v>
      </c>
      <c r="I957" s="16">
        <v>41</v>
      </c>
      <c r="J957" s="16" t="str">
        <f t="shared" si="44"/>
        <v>Middle Age</v>
      </c>
      <c r="K957" s="25">
        <v>3</v>
      </c>
      <c r="L957" s="42">
        <v>3420</v>
      </c>
      <c r="M957" s="15">
        <v>1650</v>
      </c>
      <c r="N957" s="39">
        <f t="shared" si="42"/>
        <v>10260</v>
      </c>
      <c r="O957" s="39">
        <f t="shared" si="43"/>
        <v>5310</v>
      </c>
      <c r="P957" s="24" t="s">
        <v>2046</v>
      </c>
      <c r="Q957" s="24" t="s">
        <v>2016</v>
      </c>
      <c r="R957" s="1" t="s">
        <v>2013</v>
      </c>
      <c r="S957" s="15" t="s">
        <v>2082</v>
      </c>
      <c r="T957" s="15" t="s">
        <v>2442</v>
      </c>
      <c r="U957" s="25" t="s">
        <v>2084</v>
      </c>
      <c r="V957" s="25" t="s">
        <v>2437</v>
      </c>
      <c r="W957" s="80">
        <v>45141</v>
      </c>
      <c r="X957" s="21" t="s">
        <v>2819</v>
      </c>
    </row>
    <row r="958" spans="1:24" x14ac:dyDescent="0.2">
      <c r="A958" s="1">
        <v>951</v>
      </c>
      <c r="B958" s="1" t="s">
        <v>736</v>
      </c>
      <c r="C958" s="1" t="s">
        <v>2782</v>
      </c>
      <c r="D958" s="1" t="s">
        <v>2730</v>
      </c>
      <c r="E958" s="35" t="s">
        <v>828</v>
      </c>
      <c r="F958" s="67" t="s">
        <v>925</v>
      </c>
      <c r="G958" s="24" t="s">
        <v>2804</v>
      </c>
      <c r="H958" s="15" t="s">
        <v>2788</v>
      </c>
      <c r="I958" s="16">
        <v>29</v>
      </c>
      <c r="J958" s="16" t="str">
        <f t="shared" si="44"/>
        <v>Young</v>
      </c>
      <c r="K958" s="25">
        <v>4</v>
      </c>
      <c r="L958" s="42">
        <v>2900</v>
      </c>
      <c r="M958" s="15">
        <v>920</v>
      </c>
      <c r="N958" s="39">
        <f t="shared" si="42"/>
        <v>11600</v>
      </c>
      <c r="O958" s="39">
        <f t="shared" si="43"/>
        <v>7920</v>
      </c>
      <c r="P958" s="24" t="s">
        <v>2045</v>
      </c>
      <c r="Q958" s="24" t="s">
        <v>2014</v>
      </c>
      <c r="R958" s="1" t="s">
        <v>2013</v>
      </c>
      <c r="S958" s="15" t="s">
        <v>2082</v>
      </c>
      <c r="T958" s="15" t="s">
        <v>2442</v>
      </c>
      <c r="U958" s="25" t="s">
        <v>2084</v>
      </c>
      <c r="V958" s="25" t="s">
        <v>2435</v>
      </c>
      <c r="W958" s="80">
        <v>45117</v>
      </c>
      <c r="X958" s="21" t="s">
        <v>2813</v>
      </c>
    </row>
    <row r="959" spans="1:24" x14ac:dyDescent="0.2">
      <c r="A959" s="1">
        <v>952</v>
      </c>
      <c r="B959" s="1" t="s">
        <v>738</v>
      </c>
      <c r="C959" s="1" t="s">
        <v>2782</v>
      </c>
      <c r="D959" s="1" t="s">
        <v>737</v>
      </c>
      <c r="E959" s="35" t="s">
        <v>822</v>
      </c>
      <c r="F959" s="69" t="s">
        <v>904</v>
      </c>
      <c r="G959" s="24" t="s">
        <v>2806</v>
      </c>
      <c r="H959" s="15" t="s">
        <v>2788</v>
      </c>
      <c r="I959" s="16">
        <v>60</v>
      </c>
      <c r="J959" s="16" t="str">
        <f t="shared" si="44"/>
        <v>Old</v>
      </c>
      <c r="K959" s="25">
        <v>1</v>
      </c>
      <c r="L959" s="42">
        <f>3550+550</f>
        <v>4100</v>
      </c>
      <c r="M959" s="15">
        <f>1350+450</f>
        <v>1800</v>
      </c>
      <c r="N959" s="39">
        <f t="shared" si="42"/>
        <v>4100</v>
      </c>
      <c r="O959" s="39">
        <f t="shared" si="43"/>
        <v>2300</v>
      </c>
      <c r="P959" s="24" t="s">
        <v>2045</v>
      </c>
      <c r="Q959" s="24" t="s">
        <v>2014</v>
      </c>
      <c r="R959" s="1" t="s">
        <v>2013</v>
      </c>
      <c r="S959" s="15" t="s">
        <v>2082</v>
      </c>
      <c r="T959" s="15" t="s">
        <v>2442</v>
      </c>
      <c r="U959" s="25" t="s">
        <v>2086</v>
      </c>
      <c r="V959" s="25" t="s">
        <v>2434</v>
      </c>
      <c r="W959" s="80">
        <v>45002</v>
      </c>
      <c r="X959" s="21" t="s">
        <v>2816</v>
      </c>
    </row>
    <row r="960" spans="1:24" x14ac:dyDescent="0.2">
      <c r="A960" s="1">
        <v>953</v>
      </c>
      <c r="B960" s="1" t="s">
        <v>739</v>
      </c>
      <c r="C960" s="1" t="s">
        <v>2782</v>
      </c>
      <c r="D960" s="1" t="s">
        <v>2731</v>
      </c>
      <c r="E960" s="35" t="s">
        <v>822</v>
      </c>
      <c r="F960" s="67" t="s">
        <v>925</v>
      </c>
      <c r="G960" s="24" t="s">
        <v>2808</v>
      </c>
      <c r="H960" s="15" t="s">
        <v>2788</v>
      </c>
      <c r="I960" s="16">
        <v>33</v>
      </c>
      <c r="J960" s="16" t="str">
        <f t="shared" si="44"/>
        <v>Young</v>
      </c>
      <c r="K960" s="25">
        <v>5</v>
      </c>
      <c r="L960" s="42">
        <v>4480</v>
      </c>
      <c r="M960" s="15">
        <v>2680</v>
      </c>
      <c r="N960" s="39">
        <f t="shared" si="42"/>
        <v>22400</v>
      </c>
      <c r="O960" s="39">
        <f t="shared" si="43"/>
        <v>9000</v>
      </c>
      <c r="P960" s="24" t="s">
        <v>2044</v>
      </c>
      <c r="Q960" s="24" t="s">
        <v>2020</v>
      </c>
      <c r="R960" s="1" t="s">
        <v>2013</v>
      </c>
      <c r="S960" s="15" t="s">
        <v>2082</v>
      </c>
      <c r="T960" s="15" t="s">
        <v>2442</v>
      </c>
      <c r="U960" s="25" t="s">
        <v>2083</v>
      </c>
      <c r="V960" s="25" t="s">
        <v>2436</v>
      </c>
      <c r="W960" s="80">
        <v>45066</v>
      </c>
      <c r="X960" s="21" t="s">
        <v>2786</v>
      </c>
    </row>
    <row r="961" spans="1:24" x14ac:dyDescent="0.2">
      <c r="A961" s="1">
        <v>954</v>
      </c>
      <c r="B961" s="1" t="s">
        <v>741</v>
      </c>
      <c r="C961" s="1" t="s">
        <v>2782</v>
      </c>
      <c r="D961" s="1" t="s">
        <v>740</v>
      </c>
      <c r="E961" s="35" t="s">
        <v>863</v>
      </c>
      <c r="F961" s="69" t="s">
        <v>904</v>
      </c>
      <c r="G961" s="24" t="s">
        <v>2810</v>
      </c>
      <c r="H961" s="15" t="s">
        <v>2788</v>
      </c>
      <c r="I961" s="16">
        <v>22</v>
      </c>
      <c r="J961" s="16" t="str">
        <f t="shared" si="44"/>
        <v>Young</v>
      </c>
      <c r="K961" s="25">
        <v>3</v>
      </c>
      <c r="L961" s="42">
        <v>5000</v>
      </c>
      <c r="M961" s="15">
        <v>2850</v>
      </c>
      <c r="N961" s="39">
        <f t="shared" si="42"/>
        <v>15000</v>
      </c>
      <c r="O961" s="39">
        <f t="shared" si="43"/>
        <v>6450</v>
      </c>
      <c r="P961" s="24" t="s">
        <v>2033</v>
      </c>
      <c r="Q961" s="24" t="s">
        <v>2016</v>
      </c>
      <c r="R961" s="1" t="s">
        <v>2013</v>
      </c>
      <c r="S961" s="15" t="s">
        <v>2082</v>
      </c>
      <c r="T961" s="15" t="s">
        <v>2442</v>
      </c>
      <c r="U961" s="25" t="s">
        <v>2090</v>
      </c>
      <c r="V961" s="25" t="s">
        <v>2437</v>
      </c>
      <c r="W961" s="80">
        <v>45060</v>
      </c>
      <c r="X961" s="21" t="s">
        <v>2786</v>
      </c>
    </row>
    <row r="962" spans="1:24" x14ac:dyDescent="0.2">
      <c r="A962" s="1">
        <v>955</v>
      </c>
      <c r="B962" s="1" t="s">
        <v>743</v>
      </c>
      <c r="C962" s="1" t="s">
        <v>2782</v>
      </c>
      <c r="D962" s="1" t="s">
        <v>742</v>
      </c>
      <c r="E962" s="35" t="s">
        <v>864</v>
      </c>
      <c r="F962" s="66" t="s">
        <v>926</v>
      </c>
      <c r="G962" s="24" t="s">
        <v>2793</v>
      </c>
      <c r="H962" s="15" t="s">
        <v>2788</v>
      </c>
      <c r="I962" s="16">
        <v>47</v>
      </c>
      <c r="J962" s="16" t="str">
        <f t="shared" si="44"/>
        <v>Middle Age</v>
      </c>
      <c r="K962" s="25">
        <v>2</v>
      </c>
      <c r="L962" s="42">
        <v>5625</v>
      </c>
      <c r="M962" s="15">
        <v>2550</v>
      </c>
      <c r="N962" s="39">
        <f t="shared" ref="N962:N1016" si="45">L962*K962</f>
        <v>11250</v>
      </c>
      <c r="O962" s="39">
        <f t="shared" ref="O962:O1016" si="46">N962-(M962*K962)</f>
        <v>6150</v>
      </c>
      <c r="P962" s="24" t="s">
        <v>2025</v>
      </c>
      <c r="Q962" s="24" t="s">
        <v>2024</v>
      </c>
      <c r="R962" s="1" t="s">
        <v>2013</v>
      </c>
      <c r="S962" s="15" t="s">
        <v>2082</v>
      </c>
      <c r="T962" s="15" t="s">
        <v>2442</v>
      </c>
      <c r="U962" s="25" t="s">
        <v>2084</v>
      </c>
      <c r="V962" s="25" t="s">
        <v>2435</v>
      </c>
      <c r="W962" s="80">
        <v>45102</v>
      </c>
      <c r="X962" s="21" t="s">
        <v>2814</v>
      </c>
    </row>
    <row r="963" spans="1:24" x14ac:dyDescent="0.2">
      <c r="A963" s="1">
        <v>956</v>
      </c>
      <c r="B963" s="1" t="s">
        <v>745</v>
      </c>
      <c r="C963" s="1" t="s">
        <v>2782</v>
      </c>
      <c r="D963" s="1" t="s">
        <v>744</v>
      </c>
      <c r="E963" s="35" t="s">
        <v>823</v>
      </c>
      <c r="F963" s="66" t="s">
        <v>927</v>
      </c>
      <c r="G963" s="24" t="s">
        <v>2791</v>
      </c>
      <c r="H963" s="15" t="s">
        <v>2789</v>
      </c>
      <c r="I963" s="16">
        <v>55</v>
      </c>
      <c r="J963" s="16" t="str">
        <f t="shared" ref="J963:J1016" si="47">IF(I963&lt;=35,"Young",IF(I963&lt;=49,"Middle Age",IF(I963&gt;=50,"Old")))</f>
        <v>Old</v>
      </c>
      <c r="K963" s="25">
        <v>1</v>
      </c>
      <c r="L963" s="42">
        <f>3650*2</f>
        <v>7300</v>
      </c>
      <c r="M963" s="15">
        <v>4000</v>
      </c>
      <c r="N963" s="39">
        <f t="shared" si="45"/>
        <v>7300</v>
      </c>
      <c r="O963" s="39">
        <f t="shared" si="46"/>
        <v>3300</v>
      </c>
      <c r="P963" s="24" t="s">
        <v>2015</v>
      </c>
      <c r="Q963" s="24" t="s">
        <v>2014</v>
      </c>
      <c r="R963" s="1" t="s">
        <v>2013</v>
      </c>
      <c r="S963" s="15" t="s">
        <v>2082</v>
      </c>
      <c r="T963" s="15" t="s">
        <v>2442</v>
      </c>
      <c r="U963" s="25" t="s">
        <v>2086</v>
      </c>
      <c r="V963" s="25" t="s">
        <v>2436</v>
      </c>
      <c r="W963" s="80">
        <v>45233</v>
      </c>
      <c r="X963" s="21" t="s">
        <v>2823</v>
      </c>
    </row>
    <row r="964" spans="1:24" x14ac:dyDescent="0.2">
      <c r="A964" s="1">
        <v>957</v>
      </c>
      <c r="B964" s="1" t="s">
        <v>747</v>
      </c>
      <c r="C964" s="1" t="s">
        <v>2782</v>
      </c>
      <c r="D964" s="1" t="s">
        <v>746</v>
      </c>
      <c r="E964" s="35" t="s">
        <v>823</v>
      </c>
      <c r="F964" s="66" t="s">
        <v>877</v>
      </c>
      <c r="G964" s="24" t="s">
        <v>2795</v>
      </c>
      <c r="H964" s="15" t="s">
        <v>2789</v>
      </c>
      <c r="I964" s="16">
        <v>36</v>
      </c>
      <c r="J964" s="16" t="str">
        <f t="shared" si="47"/>
        <v>Middle Age</v>
      </c>
      <c r="K964" s="25">
        <v>4</v>
      </c>
      <c r="L964" s="42">
        <v>4700</v>
      </c>
      <c r="M964" s="15">
        <v>2200</v>
      </c>
      <c r="N964" s="39">
        <f t="shared" si="45"/>
        <v>18800</v>
      </c>
      <c r="O964" s="39">
        <f t="shared" si="46"/>
        <v>10000</v>
      </c>
      <c r="P964" s="24" t="s">
        <v>2043</v>
      </c>
      <c r="Q964" s="24" t="s">
        <v>2016</v>
      </c>
      <c r="R964" s="1" t="s">
        <v>2013</v>
      </c>
      <c r="S964" s="15" t="s">
        <v>2082</v>
      </c>
      <c r="T964" s="15" t="s">
        <v>2442</v>
      </c>
      <c r="U964" s="25" t="s">
        <v>2083</v>
      </c>
      <c r="V964" s="25" t="s">
        <v>2434</v>
      </c>
      <c r="W964" s="80">
        <v>45128</v>
      </c>
      <c r="X964" s="21" t="s">
        <v>2813</v>
      </c>
    </row>
    <row r="965" spans="1:24" x14ac:dyDescent="0.2">
      <c r="A965" s="1">
        <v>958</v>
      </c>
      <c r="B965" s="1" t="s">
        <v>748</v>
      </c>
      <c r="C965" s="1" t="s">
        <v>2782</v>
      </c>
      <c r="D965" s="1" t="s">
        <v>2732</v>
      </c>
      <c r="E965" s="35" t="s">
        <v>863</v>
      </c>
      <c r="F965" s="66" t="s">
        <v>878</v>
      </c>
      <c r="G965" s="24" t="s">
        <v>2797</v>
      </c>
      <c r="H965" s="15" t="s">
        <v>2789</v>
      </c>
      <c r="I965" s="16">
        <v>28</v>
      </c>
      <c r="J965" s="16" t="str">
        <f t="shared" si="47"/>
        <v>Young</v>
      </c>
      <c r="K965" s="25">
        <v>3</v>
      </c>
      <c r="L965" s="42">
        <v>5185</v>
      </c>
      <c r="M965" s="15">
        <v>2000</v>
      </c>
      <c r="N965" s="39">
        <f t="shared" si="45"/>
        <v>15555</v>
      </c>
      <c r="O965" s="39">
        <f t="shared" si="46"/>
        <v>9555</v>
      </c>
      <c r="P965" s="24" t="s">
        <v>2033</v>
      </c>
      <c r="Q965" s="24" t="s">
        <v>2016</v>
      </c>
      <c r="R965" s="1" t="s">
        <v>2013</v>
      </c>
      <c r="S965" s="15" t="s">
        <v>2082</v>
      </c>
      <c r="T965" s="15" t="s">
        <v>2442</v>
      </c>
      <c r="U965" s="25" t="s">
        <v>2087</v>
      </c>
      <c r="V965" s="25" t="s">
        <v>2437</v>
      </c>
      <c r="W965" s="80">
        <v>45065</v>
      </c>
      <c r="X965" s="21" t="s">
        <v>2786</v>
      </c>
    </row>
    <row r="966" spans="1:24" x14ac:dyDescent="0.2">
      <c r="A966" s="1">
        <v>959</v>
      </c>
      <c r="B966" s="1" t="s">
        <v>750</v>
      </c>
      <c r="C966" s="1" t="s">
        <v>2782</v>
      </c>
      <c r="D966" s="1" t="s">
        <v>749</v>
      </c>
      <c r="E966" s="35" t="s">
        <v>822</v>
      </c>
      <c r="F966" s="66" t="s">
        <v>879</v>
      </c>
      <c r="G966" s="24" t="s">
        <v>2799</v>
      </c>
      <c r="H966" s="15" t="s">
        <v>2788</v>
      </c>
      <c r="I966" s="16">
        <v>50</v>
      </c>
      <c r="J966" s="16" t="str">
        <f t="shared" si="47"/>
        <v>Old</v>
      </c>
      <c r="K966" s="25">
        <v>5</v>
      </c>
      <c r="L966" s="42">
        <v>7380</v>
      </c>
      <c r="M966" s="15">
        <v>4190</v>
      </c>
      <c r="N966" s="39">
        <f t="shared" si="45"/>
        <v>36900</v>
      </c>
      <c r="O966" s="39">
        <f t="shared" si="46"/>
        <v>15950</v>
      </c>
      <c r="P966" s="24" t="s">
        <v>2023</v>
      </c>
      <c r="Q966" s="15" t="s">
        <v>2828</v>
      </c>
      <c r="R966" s="1" t="s">
        <v>2013</v>
      </c>
      <c r="S966" s="15" t="s">
        <v>2082</v>
      </c>
      <c r="T966" s="15" t="s">
        <v>2442</v>
      </c>
      <c r="U966" s="25" t="s">
        <v>2085</v>
      </c>
      <c r="V966" s="25" t="s">
        <v>2435</v>
      </c>
      <c r="W966" s="80">
        <v>44953</v>
      </c>
      <c r="X966" s="21" t="s">
        <v>2818</v>
      </c>
    </row>
    <row r="967" spans="1:24" x14ac:dyDescent="0.2">
      <c r="A967" s="1">
        <v>960</v>
      </c>
      <c r="B967" s="1" t="s">
        <v>752</v>
      </c>
      <c r="C967" s="1" t="s">
        <v>2782</v>
      </c>
      <c r="D967" s="1" t="s">
        <v>751</v>
      </c>
      <c r="E967" s="35" t="s">
        <v>864</v>
      </c>
      <c r="F967" s="66" t="s">
        <v>880</v>
      </c>
      <c r="G967" s="24" t="s">
        <v>2801</v>
      </c>
      <c r="H967" s="15" t="s">
        <v>2789</v>
      </c>
      <c r="I967" s="16">
        <v>39</v>
      </c>
      <c r="J967" s="16" t="str">
        <f t="shared" si="47"/>
        <v>Middle Age</v>
      </c>
      <c r="K967" s="25">
        <v>5</v>
      </c>
      <c r="L967" s="42">
        <v>6410</v>
      </c>
      <c r="M967" s="15">
        <v>2550</v>
      </c>
      <c r="N967" s="39">
        <f t="shared" si="45"/>
        <v>32050</v>
      </c>
      <c r="O967" s="39">
        <f t="shared" si="46"/>
        <v>19300</v>
      </c>
      <c r="P967" s="24" t="s">
        <v>2042</v>
      </c>
      <c r="Q967" s="15" t="s">
        <v>2828</v>
      </c>
      <c r="R967" s="1" t="s">
        <v>2013</v>
      </c>
      <c r="S967" s="15" t="s">
        <v>2082</v>
      </c>
      <c r="T967" s="15" t="s">
        <v>2442</v>
      </c>
      <c r="U967" s="25" t="s">
        <v>2089</v>
      </c>
      <c r="V967" s="25" t="s">
        <v>2434</v>
      </c>
      <c r="W967" s="80">
        <v>45001</v>
      </c>
      <c r="X967" s="21" t="s">
        <v>2816</v>
      </c>
    </row>
    <row r="968" spans="1:24" x14ac:dyDescent="0.2">
      <c r="A968" s="1">
        <v>961</v>
      </c>
      <c r="B968" s="1" t="s">
        <v>555</v>
      </c>
      <c r="C968" s="1" t="s">
        <v>2782</v>
      </c>
      <c r="D968" s="1" t="s">
        <v>753</v>
      </c>
      <c r="E968" s="35" t="s">
        <v>863</v>
      </c>
      <c r="F968" s="66" t="s">
        <v>878</v>
      </c>
      <c r="G968" s="24" t="s">
        <v>2803</v>
      </c>
      <c r="H968" s="15" t="s">
        <v>2789</v>
      </c>
      <c r="I968" s="16">
        <v>31</v>
      </c>
      <c r="J968" s="16" t="str">
        <f t="shared" si="47"/>
        <v>Young</v>
      </c>
      <c r="K968" s="25">
        <v>3</v>
      </c>
      <c r="L968" s="42">
        <v>4000</v>
      </c>
      <c r="M968" s="15">
        <v>1950</v>
      </c>
      <c r="N968" s="39">
        <f t="shared" si="45"/>
        <v>12000</v>
      </c>
      <c r="O968" s="39">
        <f t="shared" si="46"/>
        <v>6150</v>
      </c>
      <c r="P968" s="24" t="s">
        <v>2015</v>
      </c>
      <c r="Q968" s="24" t="s">
        <v>2014</v>
      </c>
      <c r="R968" s="1" t="s">
        <v>2013</v>
      </c>
      <c r="S968" s="15" t="s">
        <v>2082</v>
      </c>
      <c r="T968" s="15" t="s">
        <v>2442</v>
      </c>
      <c r="U968" s="25" t="s">
        <v>2085</v>
      </c>
      <c r="V968" s="25" t="s">
        <v>2436</v>
      </c>
      <c r="W968" s="80">
        <v>45068</v>
      </c>
      <c r="X968" s="21" t="s">
        <v>2786</v>
      </c>
    </row>
    <row r="969" spans="1:24" x14ac:dyDescent="0.2">
      <c r="A969" s="1">
        <v>962</v>
      </c>
      <c r="B969" s="1" t="s">
        <v>226</v>
      </c>
      <c r="C969" s="1" t="s">
        <v>2782</v>
      </c>
      <c r="D969" s="1" t="s">
        <v>754</v>
      </c>
      <c r="E969" s="35" t="s">
        <v>864</v>
      </c>
      <c r="F969" s="66" t="s">
        <v>879</v>
      </c>
      <c r="G969" s="24" t="s">
        <v>2805</v>
      </c>
      <c r="H969" s="15" t="s">
        <v>2788</v>
      </c>
      <c r="I969" s="16">
        <v>44</v>
      </c>
      <c r="J969" s="16" t="str">
        <f t="shared" si="47"/>
        <v>Middle Age</v>
      </c>
      <c r="K969" s="25">
        <v>2</v>
      </c>
      <c r="L969" s="42">
        <v>3800</v>
      </c>
      <c r="M969" s="15">
        <v>2000</v>
      </c>
      <c r="N969" s="39">
        <f t="shared" si="45"/>
        <v>7600</v>
      </c>
      <c r="O969" s="39">
        <f t="shared" si="46"/>
        <v>3600</v>
      </c>
      <c r="P969" s="24" t="s">
        <v>2033</v>
      </c>
      <c r="Q969" s="24" t="s">
        <v>2016</v>
      </c>
      <c r="R969" s="1" t="s">
        <v>2013</v>
      </c>
      <c r="S969" s="15" t="s">
        <v>2082</v>
      </c>
      <c r="T969" s="15" t="s">
        <v>2442</v>
      </c>
      <c r="U969" s="25" t="s">
        <v>2084</v>
      </c>
      <c r="V969" s="25" t="s">
        <v>2437</v>
      </c>
      <c r="W969" s="80">
        <v>44990</v>
      </c>
      <c r="X969" s="21" t="s">
        <v>2816</v>
      </c>
    </row>
    <row r="970" spans="1:24" x14ac:dyDescent="0.2">
      <c r="A970" s="1">
        <v>963</v>
      </c>
      <c r="B970" s="1" t="s">
        <v>290</v>
      </c>
      <c r="C970" s="1" t="s">
        <v>2782</v>
      </c>
      <c r="D970" s="1" t="s">
        <v>755</v>
      </c>
      <c r="E970" s="35" t="s">
        <v>822</v>
      </c>
      <c r="F970" s="66" t="s">
        <v>880</v>
      </c>
      <c r="G970" s="24" t="s">
        <v>2807</v>
      </c>
      <c r="H970" s="15" t="s">
        <v>2789</v>
      </c>
      <c r="I970" s="16">
        <v>26</v>
      </c>
      <c r="J970" s="16" t="str">
        <f t="shared" si="47"/>
        <v>Young</v>
      </c>
      <c r="K970" s="25">
        <v>4</v>
      </c>
      <c r="L970" s="42">
        <v>3910</v>
      </c>
      <c r="M970" s="15">
        <v>1930</v>
      </c>
      <c r="N970" s="39">
        <f t="shared" si="45"/>
        <v>15640</v>
      </c>
      <c r="O970" s="39">
        <f t="shared" si="46"/>
        <v>7920</v>
      </c>
      <c r="P970" s="24" t="s">
        <v>2041</v>
      </c>
      <c r="Q970" s="24" t="s">
        <v>2016</v>
      </c>
      <c r="R970" s="1" t="s">
        <v>2013</v>
      </c>
      <c r="S970" s="15" t="s">
        <v>2082</v>
      </c>
      <c r="T970" s="15" t="s">
        <v>2442</v>
      </c>
      <c r="U970" s="25" t="s">
        <v>2090</v>
      </c>
      <c r="V970" s="25" t="s">
        <v>2435</v>
      </c>
      <c r="W970" s="80">
        <v>45041</v>
      </c>
      <c r="X970" s="21" t="s">
        <v>2815</v>
      </c>
    </row>
    <row r="971" spans="1:24" x14ac:dyDescent="0.2">
      <c r="A971" s="1">
        <v>964</v>
      </c>
      <c r="B971" s="1" t="s">
        <v>757</v>
      </c>
      <c r="C971" s="1" t="s">
        <v>2782</v>
      </c>
      <c r="D971" s="1" t="s">
        <v>756</v>
      </c>
      <c r="E971" s="35" t="s">
        <v>863</v>
      </c>
      <c r="F971" s="66" t="s">
        <v>881</v>
      </c>
      <c r="G971" s="24" t="s">
        <v>2809</v>
      </c>
      <c r="H971" s="15" t="s">
        <v>2789</v>
      </c>
      <c r="I971" s="16">
        <v>48</v>
      </c>
      <c r="J971" s="16" t="str">
        <f t="shared" si="47"/>
        <v>Middle Age</v>
      </c>
      <c r="K971" s="25">
        <v>1</v>
      </c>
      <c r="L971" s="42">
        <v>3150</v>
      </c>
      <c r="M971" s="15">
        <v>1680</v>
      </c>
      <c r="N971" s="39">
        <f t="shared" si="45"/>
        <v>3150</v>
      </c>
      <c r="O971" s="39">
        <f t="shared" si="46"/>
        <v>1470</v>
      </c>
      <c r="P971" s="24" t="s">
        <v>2040</v>
      </c>
      <c r="Q971" s="15" t="s">
        <v>2014</v>
      </c>
      <c r="R971" s="1" t="s">
        <v>2013</v>
      </c>
      <c r="S971" s="15" t="s">
        <v>2082</v>
      </c>
      <c r="T971" s="15" t="s">
        <v>2442</v>
      </c>
      <c r="U971" s="25" t="s">
        <v>2088</v>
      </c>
      <c r="V971" s="25" t="s">
        <v>2436</v>
      </c>
      <c r="W971" s="80">
        <v>45043</v>
      </c>
      <c r="X971" s="21" t="s">
        <v>2815</v>
      </c>
    </row>
    <row r="972" spans="1:24" x14ac:dyDescent="0.2">
      <c r="A972" s="1">
        <v>965</v>
      </c>
      <c r="B972" s="1" t="s">
        <v>759</v>
      </c>
      <c r="C972" s="1" t="s">
        <v>2782</v>
      </c>
      <c r="D972" s="1" t="s">
        <v>758</v>
      </c>
      <c r="E972" s="35" t="s">
        <v>864</v>
      </c>
      <c r="F972" s="66" t="s">
        <v>882</v>
      </c>
      <c r="G972" s="24" t="s">
        <v>2794</v>
      </c>
      <c r="H972" s="15" t="s">
        <v>2788</v>
      </c>
      <c r="I972" s="16">
        <v>53</v>
      </c>
      <c r="J972" s="16" t="str">
        <f t="shared" si="47"/>
        <v>Old</v>
      </c>
      <c r="K972" s="25">
        <v>5</v>
      </c>
      <c r="L972" s="42">
        <v>2770</v>
      </c>
      <c r="M972" s="15">
        <v>1370</v>
      </c>
      <c r="N972" s="39">
        <f t="shared" si="45"/>
        <v>13850</v>
      </c>
      <c r="O972" s="39">
        <f t="shared" si="46"/>
        <v>7000</v>
      </c>
      <c r="P972" s="24" t="s">
        <v>2029</v>
      </c>
      <c r="Q972" s="24" t="s">
        <v>2016</v>
      </c>
      <c r="R972" s="1" t="s">
        <v>2013</v>
      </c>
      <c r="S972" s="15" t="s">
        <v>2082</v>
      </c>
      <c r="T972" s="15" t="s">
        <v>2442</v>
      </c>
      <c r="U972" s="25" t="s">
        <v>2089</v>
      </c>
      <c r="V972" s="25" t="s">
        <v>2434</v>
      </c>
      <c r="W972" s="80">
        <v>45259</v>
      </c>
      <c r="X972" s="21" t="s">
        <v>2823</v>
      </c>
    </row>
    <row r="973" spans="1:24" x14ac:dyDescent="0.2">
      <c r="A973" s="1">
        <v>966</v>
      </c>
      <c r="B973" s="1" t="s">
        <v>38</v>
      </c>
      <c r="C973" s="1" t="s">
        <v>2782</v>
      </c>
      <c r="D973" s="1" t="s">
        <v>2733</v>
      </c>
      <c r="E973" s="35" t="s">
        <v>822</v>
      </c>
      <c r="F973" s="66" t="s">
        <v>881</v>
      </c>
      <c r="G973" s="24" t="s">
        <v>2792</v>
      </c>
      <c r="H973" s="15" t="s">
        <v>2789</v>
      </c>
      <c r="I973" s="16">
        <v>30</v>
      </c>
      <c r="J973" s="16" t="str">
        <f t="shared" si="47"/>
        <v>Young</v>
      </c>
      <c r="K973" s="25">
        <v>2</v>
      </c>
      <c r="L973" s="42">
        <v>3480</v>
      </c>
      <c r="M973" s="15">
        <v>1240</v>
      </c>
      <c r="N973" s="39">
        <f t="shared" si="45"/>
        <v>6960</v>
      </c>
      <c r="O973" s="39">
        <f t="shared" si="46"/>
        <v>4480</v>
      </c>
      <c r="P973" s="24" t="s">
        <v>2030</v>
      </c>
      <c r="Q973" s="24" t="s">
        <v>2024</v>
      </c>
      <c r="R973" s="1" t="s">
        <v>2013</v>
      </c>
      <c r="S973" s="15" t="s">
        <v>2082</v>
      </c>
      <c r="T973" s="15" t="s">
        <v>2442</v>
      </c>
      <c r="U973" s="25" t="s">
        <v>2083</v>
      </c>
      <c r="V973" s="25" t="s">
        <v>2437</v>
      </c>
      <c r="W973" s="80">
        <v>45212</v>
      </c>
      <c r="X973" s="21" t="s">
        <v>2821</v>
      </c>
    </row>
    <row r="974" spans="1:24" x14ac:dyDescent="0.2">
      <c r="A974" s="1">
        <v>967</v>
      </c>
      <c r="B974" s="1" t="s">
        <v>138</v>
      </c>
      <c r="C974" s="1" t="s">
        <v>2782</v>
      </c>
      <c r="D974" s="1" t="s">
        <v>456</v>
      </c>
      <c r="E974" s="35" t="s">
        <v>863</v>
      </c>
      <c r="F974" s="66" t="s">
        <v>883</v>
      </c>
      <c r="G974" s="24" t="s">
        <v>2796</v>
      </c>
      <c r="H974" s="15" t="s">
        <v>2788</v>
      </c>
      <c r="I974" s="16">
        <v>37</v>
      </c>
      <c r="J974" s="16" t="str">
        <f t="shared" si="47"/>
        <v>Middle Age</v>
      </c>
      <c r="K974" s="25">
        <v>3</v>
      </c>
      <c r="L974" s="42">
        <v>6840</v>
      </c>
      <c r="M974" s="15">
        <v>3700</v>
      </c>
      <c r="N974" s="39">
        <f t="shared" si="45"/>
        <v>20520</v>
      </c>
      <c r="O974" s="39">
        <f t="shared" si="46"/>
        <v>9420</v>
      </c>
      <c r="P974" s="24" t="s">
        <v>2027</v>
      </c>
      <c r="Q974" s="24" t="s">
        <v>2014</v>
      </c>
      <c r="R974" s="1" t="s">
        <v>2013</v>
      </c>
      <c r="S974" s="15" t="s">
        <v>2082</v>
      </c>
      <c r="T974" s="15" t="s">
        <v>2442</v>
      </c>
      <c r="U974" s="25" t="s">
        <v>2087</v>
      </c>
      <c r="V974" s="25" t="s">
        <v>2435</v>
      </c>
      <c r="W974" s="80">
        <v>45281</v>
      </c>
      <c r="X974" s="21" t="s">
        <v>2822</v>
      </c>
    </row>
    <row r="975" spans="1:24" x14ac:dyDescent="0.2">
      <c r="A975" s="1">
        <v>968</v>
      </c>
      <c r="B975" s="1" t="s">
        <v>760</v>
      </c>
      <c r="C975" s="1" t="s">
        <v>2782</v>
      </c>
      <c r="D975" s="1" t="s">
        <v>2734</v>
      </c>
      <c r="E975" s="35" t="s">
        <v>864</v>
      </c>
      <c r="F975" s="66" t="s">
        <v>884</v>
      </c>
      <c r="G975" s="24" t="s">
        <v>2798</v>
      </c>
      <c r="H975" s="15" t="s">
        <v>2788</v>
      </c>
      <c r="I975" s="16">
        <v>42</v>
      </c>
      <c r="J975" s="16" t="str">
        <f t="shared" si="47"/>
        <v>Middle Age</v>
      </c>
      <c r="K975" s="25">
        <v>4</v>
      </c>
      <c r="L975" s="42">
        <v>2350</v>
      </c>
      <c r="M975" s="15">
        <v>850</v>
      </c>
      <c r="N975" s="39">
        <f t="shared" si="45"/>
        <v>9400</v>
      </c>
      <c r="O975" s="39">
        <f t="shared" si="46"/>
        <v>6000</v>
      </c>
      <c r="P975" s="24" t="s">
        <v>2030</v>
      </c>
      <c r="Q975" s="24" t="s">
        <v>2024</v>
      </c>
      <c r="R975" s="1" t="s">
        <v>2013</v>
      </c>
      <c r="S975" s="15" t="s">
        <v>2082</v>
      </c>
      <c r="T975" s="15" t="s">
        <v>2442</v>
      </c>
      <c r="U975" s="25" t="s">
        <v>2090</v>
      </c>
      <c r="V975" s="25" t="s">
        <v>2434</v>
      </c>
      <c r="W975" s="80">
        <v>44965</v>
      </c>
      <c r="X975" s="21" t="s">
        <v>2817</v>
      </c>
    </row>
    <row r="976" spans="1:24" x14ac:dyDescent="0.2">
      <c r="A976" s="1">
        <v>969</v>
      </c>
      <c r="B976" s="1" t="s">
        <v>762</v>
      </c>
      <c r="C976" s="1" t="s">
        <v>2782</v>
      </c>
      <c r="D976" s="1" t="s">
        <v>761</v>
      </c>
      <c r="E976" s="35" t="s">
        <v>822</v>
      </c>
      <c r="F976" s="67" t="s">
        <v>931</v>
      </c>
      <c r="G976" s="24" t="s">
        <v>2800</v>
      </c>
      <c r="H976" s="15" t="s">
        <v>2788</v>
      </c>
      <c r="I976" s="16">
        <v>24</v>
      </c>
      <c r="J976" s="16" t="str">
        <f t="shared" si="47"/>
        <v>Young</v>
      </c>
      <c r="K976" s="25">
        <v>1</v>
      </c>
      <c r="L976" s="42">
        <v>9470</v>
      </c>
      <c r="M976" s="15">
        <f>5290+550</f>
        <v>5840</v>
      </c>
      <c r="N976" s="39">
        <f t="shared" si="45"/>
        <v>9470</v>
      </c>
      <c r="O976" s="39">
        <f t="shared" si="46"/>
        <v>3630</v>
      </c>
      <c r="P976" s="24" t="s">
        <v>2039</v>
      </c>
      <c r="Q976" s="24" t="s">
        <v>2014</v>
      </c>
      <c r="R976" s="1" t="s">
        <v>2013</v>
      </c>
      <c r="S976" s="15" t="s">
        <v>2082</v>
      </c>
      <c r="T976" s="15" t="s">
        <v>2442</v>
      </c>
      <c r="U976" s="25" t="s">
        <v>2089</v>
      </c>
      <c r="V976" s="25" t="s">
        <v>2436</v>
      </c>
      <c r="W976" s="80">
        <v>44934</v>
      </c>
      <c r="X976" s="21" t="s">
        <v>2818</v>
      </c>
    </row>
    <row r="977" spans="1:24" x14ac:dyDescent="0.2">
      <c r="A977" s="1">
        <v>970</v>
      </c>
      <c r="B977" s="1" t="s">
        <v>764</v>
      </c>
      <c r="C977" s="1" t="s">
        <v>2782</v>
      </c>
      <c r="D977" s="1" t="s">
        <v>763</v>
      </c>
      <c r="E977" s="35" t="s">
        <v>863</v>
      </c>
      <c r="F977" s="66" t="s">
        <v>1003</v>
      </c>
      <c r="G977" s="24" t="s">
        <v>2802</v>
      </c>
      <c r="H977" s="15" t="s">
        <v>2788</v>
      </c>
      <c r="I977" s="16">
        <v>57</v>
      </c>
      <c r="J977" s="16" t="str">
        <f t="shared" si="47"/>
        <v>Old</v>
      </c>
      <c r="K977" s="25">
        <v>5</v>
      </c>
      <c r="L977" s="42">
        <v>5250</v>
      </c>
      <c r="M977" s="15">
        <v>2300</v>
      </c>
      <c r="N977" s="39">
        <f t="shared" si="45"/>
        <v>26250</v>
      </c>
      <c r="O977" s="39">
        <f t="shared" si="46"/>
        <v>14750</v>
      </c>
      <c r="P977" s="24" t="s">
        <v>2019</v>
      </c>
      <c r="Q977" s="24" t="s">
        <v>2014</v>
      </c>
      <c r="R977" s="1" t="s">
        <v>2013</v>
      </c>
      <c r="S977" s="15" t="s">
        <v>2082</v>
      </c>
      <c r="T977" s="15" t="s">
        <v>2442</v>
      </c>
      <c r="U977" s="25" t="s">
        <v>2085</v>
      </c>
      <c r="V977" s="25" t="s">
        <v>2437</v>
      </c>
      <c r="W977" s="80">
        <v>45012</v>
      </c>
      <c r="X977" s="21" t="s">
        <v>2816</v>
      </c>
    </row>
    <row r="978" spans="1:24" x14ac:dyDescent="0.2">
      <c r="A978" s="1">
        <v>971</v>
      </c>
      <c r="B978" s="1" t="s">
        <v>765</v>
      </c>
      <c r="C978" s="1" t="s">
        <v>2782</v>
      </c>
      <c r="D978" s="1" t="s">
        <v>2735</v>
      </c>
      <c r="E978" s="35" t="s">
        <v>822</v>
      </c>
      <c r="F978" s="66" t="s">
        <v>1004</v>
      </c>
      <c r="G978" s="24" t="s">
        <v>2804</v>
      </c>
      <c r="H978" s="15" t="s">
        <v>2789</v>
      </c>
      <c r="I978" s="16">
        <v>35</v>
      </c>
      <c r="J978" s="16" t="str">
        <f t="shared" si="47"/>
        <v>Young</v>
      </c>
      <c r="K978" s="25">
        <v>3</v>
      </c>
      <c r="L978" s="42">
        <v>2680</v>
      </c>
      <c r="M978" s="15">
        <f>1340+180</f>
        <v>1520</v>
      </c>
      <c r="N978" s="39">
        <f t="shared" si="45"/>
        <v>8040</v>
      </c>
      <c r="O978" s="39">
        <f t="shared" si="46"/>
        <v>3480</v>
      </c>
      <c r="P978" s="24" t="s">
        <v>2038</v>
      </c>
      <c r="Q978" s="15" t="s">
        <v>2016</v>
      </c>
      <c r="R978" s="1" t="s">
        <v>2013</v>
      </c>
      <c r="S978" s="15" t="s">
        <v>2082</v>
      </c>
      <c r="T978" s="15" t="s">
        <v>2442</v>
      </c>
      <c r="U978" s="25" t="s">
        <v>2088</v>
      </c>
      <c r="V978" s="25" t="s">
        <v>2435</v>
      </c>
      <c r="W978" s="80">
        <v>45219</v>
      </c>
      <c r="X978" s="21" t="s">
        <v>2821</v>
      </c>
    </row>
    <row r="979" spans="1:24" x14ac:dyDescent="0.2">
      <c r="A979" s="1">
        <v>972</v>
      </c>
      <c r="B979" s="1" t="s">
        <v>767</v>
      </c>
      <c r="C979" s="1" t="s">
        <v>2782</v>
      </c>
      <c r="D979" s="1" t="s">
        <v>766</v>
      </c>
      <c r="E979" s="35" t="s">
        <v>863</v>
      </c>
      <c r="F979" s="66" t="s">
        <v>876</v>
      </c>
      <c r="G979" s="24" t="s">
        <v>2806</v>
      </c>
      <c r="H979" s="15" t="s">
        <v>2788</v>
      </c>
      <c r="I979" s="16">
        <v>40</v>
      </c>
      <c r="J979" s="16" t="str">
        <f t="shared" si="47"/>
        <v>Middle Age</v>
      </c>
      <c r="K979" s="25">
        <v>2</v>
      </c>
      <c r="L979" s="42">
        <v>8320</v>
      </c>
      <c r="M979" s="15">
        <v>4270</v>
      </c>
      <c r="N979" s="39">
        <f t="shared" si="45"/>
        <v>16640</v>
      </c>
      <c r="O979" s="39">
        <f t="shared" si="46"/>
        <v>8100</v>
      </c>
      <c r="P979" s="24" t="s">
        <v>2037</v>
      </c>
      <c r="Q979" s="24" t="s">
        <v>2014</v>
      </c>
      <c r="R979" s="1" t="s">
        <v>2013</v>
      </c>
      <c r="S979" s="15" t="s">
        <v>2082</v>
      </c>
      <c r="T979" s="15" t="s">
        <v>2442</v>
      </c>
      <c r="U979" s="25" t="s">
        <v>2087</v>
      </c>
      <c r="V979" s="25" t="s">
        <v>2436</v>
      </c>
      <c r="W979" s="80">
        <v>45166</v>
      </c>
      <c r="X979" s="21" t="s">
        <v>2819</v>
      </c>
    </row>
    <row r="980" spans="1:24" x14ac:dyDescent="0.2">
      <c r="A980" s="1">
        <v>973</v>
      </c>
      <c r="B980" s="1" t="s">
        <v>768</v>
      </c>
      <c r="C980" s="1" t="s">
        <v>2782</v>
      </c>
      <c r="D980" s="1" t="s">
        <v>2736</v>
      </c>
      <c r="E980" s="35" t="s">
        <v>864</v>
      </c>
      <c r="F980" s="66" t="s">
        <v>25</v>
      </c>
      <c r="G980" s="24" t="s">
        <v>2808</v>
      </c>
      <c r="H980" s="15" t="s">
        <v>2789</v>
      </c>
      <c r="I980" s="16">
        <v>21</v>
      </c>
      <c r="J980" s="16" t="str">
        <f t="shared" si="47"/>
        <v>Young</v>
      </c>
      <c r="K980" s="25">
        <v>1</v>
      </c>
      <c r="L980" s="42">
        <v>3610</v>
      </c>
      <c r="M980" s="15">
        <v>1540</v>
      </c>
      <c r="N980" s="39">
        <f t="shared" si="45"/>
        <v>3610</v>
      </c>
      <c r="O980" s="39">
        <f t="shared" si="46"/>
        <v>2070</v>
      </c>
      <c r="P980" s="24" t="s">
        <v>2036</v>
      </c>
      <c r="Q980" s="24" t="s">
        <v>2014</v>
      </c>
      <c r="R980" s="1" t="s">
        <v>2013</v>
      </c>
      <c r="S980" s="15" t="s">
        <v>2082</v>
      </c>
      <c r="T980" s="15" t="s">
        <v>2442</v>
      </c>
      <c r="U980" s="25" t="s">
        <v>2086</v>
      </c>
      <c r="V980" s="25" t="s">
        <v>2434</v>
      </c>
      <c r="W980" s="80">
        <v>45184</v>
      </c>
      <c r="X980" s="21" t="s">
        <v>2820</v>
      </c>
    </row>
    <row r="981" spans="1:24" x14ac:dyDescent="0.2">
      <c r="A981" s="1">
        <v>974</v>
      </c>
      <c r="B981" s="1" t="s">
        <v>181</v>
      </c>
      <c r="C981" s="1" t="s">
        <v>2782</v>
      </c>
      <c r="D981" s="1" t="s">
        <v>2737</v>
      </c>
      <c r="E981" s="35" t="s">
        <v>823</v>
      </c>
      <c r="F981" s="66" t="s">
        <v>881</v>
      </c>
      <c r="G981" s="24" t="s">
        <v>2810</v>
      </c>
      <c r="H981" s="15" t="s">
        <v>2789</v>
      </c>
      <c r="I981" s="16">
        <v>59</v>
      </c>
      <c r="J981" s="16" t="str">
        <f t="shared" si="47"/>
        <v>Old</v>
      </c>
      <c r="K981" s="25">
        <v>4</v>
      </c>
      <c r="L981" s="42">
        <v>2820</v>
      </c>
      <c r="M981" s="15">
        <v>1320</v>
      </c>
      <c r="N981" s="39">
        <f t="shared" si="45"/>
        <v>11280</v>
      </c>
      <c r="O981" s="39">
        <f t="shared" si="46"/>
        <v>6000</v>
      </c>
      <c r="P981" s="24" t="s">
        <v>2035</v>
      </c>
      <c r="Q981" s="24" t="s">
        <v>2020</v>
      </c>
      <c r="R981" s="1" t="s">
        <v>2013</v>
      </c>
      <c r="S981" s="15" t="s">
        <v>2082</v>
      </c>
      <c r="T981" s="15" t="s">
        <v>2442</v>
      </c>
      <c r="U981" s="25" t="s">
        <v>2089</v>
      </c>
      <c r="V981" s="25" t="s">
        <v>2437</v>
      </c>
      <c r="W981" s="80">
        <v>44942</v>
      </c>
      <c r="X981" s="21" t="s">
        <v>2818</v>
      </c>
    </row>
    <row r="982" spans="1:24" x14ac:dyDescent="0.2">
      <c r="A982" s="1">
        <v>975</v>
      </c>
      <c r="B982" s="1" t="s">
        <v>452</v>
      </c>
      <c r="C982" s="1" t="s">
        <v>2782</v>
      </c>
      <c r="D982" s="1" t="s">
        <v>520</v>
      </c>
      <c r="E982" s="35" t="s">
        <v>864</v>
      </c>
      <c r="F982" s="66" t="s">
        <v>980</v>
      </c>
      <c r="G982" s="24" t="s">
        <v>2793</v>
      </c>
      <c r="H982" s="15" t="s">
        <v>2788</v>
      </c>
      <c r="I982" s="16">
        <v>32</v>
      </c>
      <c r="J982" s="16" t="str">
        <f t="shared" si="47"/>
        <v>Young</v>
      </c>
      <c r="K982" s="25">
        <v>3</v>
      </c>
      <c r="L982" s="42">
        <v>3450</v>
      </c>
      <c r="M982" s="15">
        <v>1500</v>
      </c>
      <c r="N982" s="39">
        <f t="shared" si="45"/>
        <v>10350</v>
      </c>
      <c r="O982" s="39">
        <f t="shared" si="46"/>
        <v>5850</v>
      </c>
      <c r="P982" s="24" t="s">
        <v>2034</v>
      </c>
      <c r="Q982" s="24" t="s">
        <v>2016</v>
      </c>
      <c r="R982" s="1" t="s">
        <v>2013</v>
      </c>
      <c r="S982" s="15" t="s">
        <v>2082</v>
      </c>
      <c r="T982" s="15" t="s">
        <v>2442</v>
      </c>
      <c r="U982" s="25" t="s">
        <v>2089</v>
      </c>
      <c r="V982" s="25" t="s">
        <v>2435</v>
      </c>
      <c r="W982" s="80">
        <v>45250</v>
      </c>
      <c r="X982" s="21" t="s">
        <v>2823</v>
      </c>
    </row>
    <row r="983" spans="1:24" x14ac:dyDescent="0.2">
      <c r="A983" s="1">
        <v>976</v>
      </c>
      <c r="B983" s="1" t="s">
        <v>190</v>
      </c>
      <c r="C983" s="1" t="s">
        <v>2782</v>
      </c>
      <c r="D983" s="1" t="s">
        <v>769</v>
      </c>
      <c r="E983" s="35" t="s">
        <v>822</v>
      </c>
      <c r="F983" s="66" t="s">
        <v>976</v>
      </c>
      <c r="G983" s="24" t="s">
        <v>2791</v>
      </c>
      <c r="H983" s="15" t="s">
        <v>2789</v>
      </c>
      <c r="I983" s="16">
        <v>46</v>
      </c>
      <c r="J983" s="16" t="str">
        <f t="shared" si="47"/>
        <v>Middle Age</v>
      </c>
      <c r="K983" s="25">
        <v>2</v>
      </c>
      <c r="L983" s="42">
        <v>3480</v>
      </c>
      <c r="M983" s="15">
        <v>1580</v>
      </c>
      <c r="N983" s="39">
        <f t="shared" si="45"/>
        <v>6960</v>
      </c>
      <c r="O983" s="39">
        <f t="shared" si="46"/>
        <v>3800</v>
      </c>
      <c r="P983" s="24" t="s">
        <v>2033</v>
      </c>
      <c r="Q983" s="24" t="s">
        <v>2016</v>
      </c>
      <c r="R983" s="1" t="s">
        <v>2013</v>
      </c>
      <c r="S983" s="15" t="s">
        <v>2082</v>
      </c>
      <c r="T983" s="15" t="s">
        <v>2442</v>
      </c>
      <c r="U983" s="25" t="s">
        <v>2083</v>
      </c>
      <c r="V983" s="25" t="s">
        <v>2434</v>
      </c>
      <c r="W983" s="80">
        <v>44939</v>
      </c>
      <c r="X983" s="21" t="s">
        <v>2818</v>
      </c>
    </row>
    <row r="984" spans="1:24" x14ac:dyDescent="0.2">
      <c r="A984" s="1">
        <v>977</v>
      </c>
      <c r="B984" s="1" t="s">
        <v>771</v>
      </c>
      <c r="C984" s="1" t="s">
        <v>2782</v>
      </c>
      <c r="D984" s="1" t="s">
        <v>770</v>
      </c>
      <c r="E984" s="35" t="s">
        <v>863</v>
      </c>
      <c r="F984" s="66" t="s">
        <v>913</v>
      </c>
      <c r="G984" s="24" t="s">
        <v>2795</v>
      </c>
      <c r="H984" s="15" t="s">
        <v>2789</v>
      </c>
      <c r="I984" s="16">
        <v>54</v>
      </c>
      <c r="J984" s="16" t="str">
        <f t="shared" si="47"/>
        <v>Old</v>
      </c>
      <c r="K984" s="25">
        <v>4</v>
      </c>
      <c r="L984" s="42">
        <v>2800</v>
      </c>
      <c r="M984" s="15">
        <v>1400</v>
      </c>
      <c r="N984" s="39">
        <f t="shared" si="45"/>
        <v>11200</v>
      </c>
      <c r="O984" s="39">
        <f t="shared" si="46"/>
        <v>5600</v>
      </c>
      <c r="P984" s="24" t="s">
        <v>2032</v>
      </c>
      <c r="Q984" s="15" t="s">
        <v>2016</v>
      </c>
      <c r="R984" s="1" t="s">
        <v>2013</v>
      </c>
      <c r="S984" s="15" t="s">
        <v>2082</v>
      </c>
      <c r="T984" s="15" t="s">
        <v>2442</v>
      </c>
      <c r="U984" s="25" t="s">
        <v>2085</v>
      </c>
      <c r="V984" s="25" t="s">
        <v>2436</v>
      </c>
      <c r="W984" s="80">
        <v>45065</v>
      </c>
      <c r="X984" s="21" t="s">
        <v>2786</v>
      </c>
    </row>
    <row r="985" spans="1:24" x14ac:dyDescent="0.2">
      <c r="A985" s="1">
        <v>978</v>
      </c>
      <c r="B985" s="1" t="s">
        <v>841</v>
      </c>
      <c r="C985" s="1" t="s">
        <v>2782</v>
      </c>
      <c r="D985" s="1" t="s">
        <v>2738</v>
      </c>
      <c r="E985" s="35" t="s">
        <v>864</v>
      </c>
      <c r="F985" s="66" t="s">
        <v>999</v>
      </c>
      <c r="G985" s="24" t="s">
        <v>2797</v>
      </c>
      <c r="H985" s="15" t="s">
        <v>2788</v>
      </c>
      <c r="I985" s="16">
        <v>25</v>
      </c>
      <c r="J985" s="16" t="str">
        <f t="shared" si="47"/>
        <v>Young</v>
      </c>
      <c r="K985" s="25">
        <v>1</v>
      </c>
      <c r="L985" s="42">
        <v>3200</v>
      </c>
      <c r="M985" s="15">
        <v>1200</v>
      </c>
      <c r="N985" s="39">
        <f t="shared" si="45"/>
        <v>3200</v>
      </c>
      <c r="O985" s="39">
        <f t="shared" si="46"/>
        <v>2000</v>
      </c>
      <c r="P985" s="24" t="s">
        <v>2026</v>
      </c>
      <c r="Q985" s="15" t="s">
        <v>2014</v>
      </c>
      <c r="R985" s="1" t="s">
        <v>2013</v>
      </c>
      <c r="S985" s="15" t="s">
        <v>2082</v>
      </c>
      <c r="T985" s="15" t="s">
        <v>2442</v>
      </c>
      <c r="U985" s="25" t="s">
        <v>2084</v>
      </c>
      <c r="V985" s="25" t="s">
        <v>2437</v>
      </c>
      <c r="W985" s="80">
        <v>45252</v>
      </c>
      <c r="X985" s="21" t="s">
        <v>2823</v>
      </c>
    </row>
    <row r="986" spans="1:24" x14ac:dyDescent="0.2">
      <c r="A986" s="1">
        <v>979</v>
      </c>
      <c r="B986" s="1" t="s">
        <v>773</v>
      </c>
      <c r="C986" s="1" t="s">
        <v>2782</v>
      </c>
      <c r="D986" s="1" t="s">
        <v>772</v>
      </c>
      <c r="E986" s="35" t="s">
        <v>822</v>
      </c>
      <c r="F986" s="66" t="s">
        <v>998</v>
      </c>
      <c r="G986" s="24" t="s">
        <v>2799</v>
      </c>
      <c r="H986" s="15" t="s">
        <v>2789</v>
      </c>
      <c r="I986" s="16">
        <v>43</v>
      </c>
      <c r="J986" s="16" t="str">
        <f t="shared" si="47"/>
        <v>Middle Age</v>
      </c>
      <c r="K986" s="25">
        <v>5</v>
      </c>
      <c r="L986" s="42">
        <f>2800+350+550</f>
        <v>3700</v>
      </c>
      <c r="M986" s="15">
        <f>1100+200+450</f>
        <v>1750</v>
      </c>
      <c r="N986" s="39">
        <f t="shared" si="45"/>
        <v>18500</v>
      </c>
      <c r="O986" s="39">
        <f t="shared" si="46"/>
        <v>9750</v>
      </c>
      <c r="P986" s="24" t="s">
        <v>2031</v>
      </c>
      <c r="Q986" s="24" t="s">
        <v>2016</v>
      </c>
      <c r="R986" s="1" t="s">
        <v>2013</v>
      </c>
      <c r="S986" s="15" t="s">
        <v>2082</v>
      </c>
      <c r="T986" s="15" t="s">
        <v>2442</v>
      </c>
      <c r="U986" s="25" t="s">
        <v>2089</v>
      </c>
      <c r="V986" s="25" t="s">
        <v>2435</v>
      </c>
      <c r="W986" s="80">
        <v>44931</v>
      </c>
      <c r="X986" s="21" t="s">
        <v>2818</v>
      </c>
    </row>
    <row r="987" spans="1:24" x14ac:dyDescent="0.2">
      <c r="A987" s="1">
        <v>980</v>
      </c>
      <c r="B987" s="1" t="s">
        <v>775</v>
      </c>
      <c r="C987" s="1" t="s">
        <v>2782</v>
      </c>
      <c r="D987" s="1" t="s">
        <v>774</v>
      </c>
      <c r="E987" s="35" t="s">
        <v>863</v>
      </c>
      <c r="F987" s="66" t="s">
        <v>979</v>
      </c>
      <c r="G987" s="24" t="s">
        <v>2801</v>
      </c>
      <c r="H987" s="15" t="s">
        <v>2788</v>
      </c>
      <c r="I987" s="16">
        <v>58</v>
      </c>
      <c r="J987" s="16" t="str">
        <f t="shared" si="47"/>
        <v>Old</v>
      </c>
      <c r="K987" s="25">
        <v>2</v>
      </c>
      <c r="L987" s="42">
        <v>3800</v>
      </c>
      <c r="M987" s="15">
        <v>2000</v>
      </c>
      <c r="N987" s="39">
        <f t="shared" si="45"/>
        <v>7600</v>
      </c>
      <c r="O987" s="39">
        <f t="shared" si="46"/>
        <v>3600</v>
      </c>
      <c r="P987" s="24" t="s">
        <v>2030</v>
      </c>
      <c r="Q987" s="24" t="s">
        <v>2024</v>
      </c>
      <c r="R987" s="1" t="s">
        <v>2013</v>
      </c>
      <c r="S987" s="15" t="s">
        <v>2082</v>
      </c>
      <c r="T987" s="15" t="s">
        <v>2442</v>
      </c>
      <c r="U987" s="25" t="s">
        <v>2087</v>
      </c>
      <c r="V987" s="25" t="s">
        <v>2436</v>
      </c>
      <c r="W987" s="80">
        <v>45248</v>
      </c>
      <c r="X987" s="21" t="s">
        <v>2823</v>
      </c>
    </row>
    <row r="988" spans="1:24" x14ac:dyDescent="0.2">
      <c r="A988" s="1">
        <v>981</v>
      </c>
      <c r="B988" s="1" t="s">
        <v>776</v>
      </c>
      <c r="C988" s="1" t="s">
        <v>2782</v>
      </c>
      <c r="D988" s="1" t="s">
        <v>2739</v>
      </c>
      <c r="E988" s="35" t="s">
        <v>864</v>
      </c>
      <c r="F988" s="66" t="s">
        <v>1005</v>
      </c>
      <c r="G988" s="24" t="s">
        <v>2803</v>
      </c>
      <c r="H988" s="15" t="s">
        <v>2788</v>
      </c>
      <c r="I988" s="16">
        <v>20</v>
      </c>
      <c r="J988" s="16" t="str">
        <f t="shared" si="47"/>
        <v>Young</v>
      </c>
      <c r="K988" s="25">
        <v>3</v>
      </c>
      <c r="L988" s="42">
        <v>5140</v>
      </c>
      <c r="M988" s="15">
        <v>2000</v>
      </c>
      <c r="N988" s="39">
        <f t="shared" si="45"/>
        <v>15420</v>
      </c>
      <c r="O988" s="39">
        <f t="shared" si="46"/>
        <v>9420</v>
      </c>
      <c r="P988" s="24" t="s">
        <v>2029</v>
      </c>
      <c r="Q988" s="24" t="s">
        <v>2016</v>
      </c>
      <c r="R988" s="1" t="s">
        <v>2013</v>
      </c>
      <c r="S988" s="15" t="s">
        <v>2082</v>
      </c>
      <c r="T988" s="15" t="s">
        <v>2442</v>
      </c>
      <c r="U988" s="25" t="s">
        <v>2090</v>
      </c>
      <c r="V988" s="25" t="s">
        <v>2437</v>
      </c>
      <c r="W988" s="80">
        <v>45102</v>
      </c>
      <c r="X988" s="21" t="s">
        <v>2814</v>
      </c>
    </row>
    <row r="989" spans="1:24" x14ac:dyDescent="0.2">
      <c r="A989" s="1">
        <v>982</v>
      </c>
      <c r="B989" s="1" t="s">
        <v>633</v>
      </c>
      <c r="C989" s="1" t="s">
        <v>2782</v>
      </c>
      <c r="D989" s="1" t="s">
        <v>554</v>
      </c>
      <c r="E989" s="35" t="s">
        <v>822</v>
      </c>
      <c r="F989" s="66" t="s">
        <v>1006</v>
      </c>
      <c r="G989" s="24" t="s">
        <v>2805</v>
      </c>
      <c r="H989" s="15" t="s">
        <v>2788</v>
      </c>
      <c r="I989" s="16">
        <v>49</v>
      </c>
      <c r="J989" s="16" t="str">
        <f t="shared" si="47"/>
        <v>Middle Age</v>
      </c>
      <c r="K989" s="25">
        <v>4</v>
      </c>
      <c r="L989" s="42">
        <v>1620</v>
      </c>
      <c r="M989" s="15">
        <v>650</v>
      </c>
      <c r="N989" s="39">
        <f t="shared" si="45"/>
        <v>6480</v>
      </c>
      <c r="O989" s="39">
        <f t="shared" si="46"/>
        <v>3880</v>
      </c>
      <c r="P989" s="24" t="s">
        <v>2028</v>
      </c>
      <c r="Q989" s="15" t="s">
        <v>2024</v>
      </c>
      <c r="R989" s="1" t="s">
        <v>2013</v>
      </c>
      <c r="S989" s="15" t="s">
        <v>2082</v>
      </c>
      <c r="T989" s="15" t="s">
        <v>2442</v>
      </c>
      <c r="U989" s="25" t="s">
        <v>2089</v>
      </c>
      <c r="V989" s="25" t="s">
        <v>2435</v>
      </c>
      <c r="W989" s="80">
        <v>44975</v>
      </c>
      <c r="X989" s="21" t="s">
        <v>2817</v>
      </c>
    </row>
    <row r="990" spans="1:24" x14ac:dyDescent="0.2">
      <c r="A990" s="1">
        <v>983</v>
      </c>
      <c r="B990" s="1" t="s">
        <v>777</v>
      </c>
      <c r="C990" s="1" t="s">
        <v>2782</v>
      </c>
      <c r="D990" s="1" t="s">
        <v>2740</v>
      </c>
      <c r="E990" s="35" t="s">
        <v>863</v>
      </c>
      <c r="F990" s="66" t="s">
        <v>900</v>
      </c>
      <c r="G990" s="24" t="s">
        <v>2807</v>
      </c>
      <c r="H990" s="15" t="s">
        <v>2789</v>
      </c>
      <c r="I990" s="16">
        <v>34</v>
      </c>
      <c r="J990" s="16" t="str">
        <f t="shared" si="47"/>
        <v>Young</v>
      </c>
      <c r="K990" s="25">
        <v>1</v>
      </c>
      <c r="L990" s="42">
        <v>13200</v>
      </c>
      <c r="M990" s="15">
        <v>6700</v>
      </c>
      <c r="N990" s="39">
        <f t="shared" si="45"/>
        <v>13200</v>
      </c>
      <c r="O990" s="39">
        <f t="shared" si="46"/>
        <v>6500</v>
      </c>
      <c r="P990" s="24" t="s">
        <v>2027</v>
      </c>
      <c r="Q990" s="24" t="s">
        <v>2014</v>
      </c>
      <c r="R990" s="1" t="s">
        <v>2013</v>
      </c>
      <c r="S990" s="15" t="s">
        <v>2082</v>
      </c>
      <c r="T990" s="15" t="s">
        <v>2442</v>
      </c>
      <c r="U990" s="25" t="s">
        <v>2085</v>
      </c>
      <c r="V990" s="25" t="s">
        <v>2434</v>
      </c>
      <c r="W990" s="80">
        <v>44969</v>
      </c>
      <c r="X990" s="21" t="s">
        <v>2817</v>
      </c>
    </row>
    <row r="991" spans="1:24" x14ac:dyDescent="0.2">
      <c r="A991" s="1">
        <v>984</v>
      </c>
      <c r="B991" s="1" t="s">
        <v>779</v>
      </c>
      <c r="C991" s="1" t="s">
        <v>2782</v>
      </c>
      <c r="D991" s="1" t="s">
        <v>778</v>
      </c>
      <c r="E991" s="35" t="s">
        <v>864</v>
      </c>
      <c r="F991" s="66" t="s">
        <v>1007</v>
      </c>
      <c r="G991" s="24" t="s">
        <v>2809</v>
      </c>
      <c r="H991" s="15" t="s">
        <v>2789</v>
      </c>
      <c r="I991" s="16">
        <v>27</v>
      </c>
      <c r="J991" s="16" t="str">
        <f t="shared" si="47"/>
        <v>Young</v>
      </c>
      <c r="K991" s="25">
        <v>5</v>
      </c>
      <c r="L991" s="42">
        <v>13630</v>
      </c>
      <c r="M991" s="15">
        <v>6870</v>
      </c>
      <c r="N991" s="39">
        <f t="shared" si="45"/>
        <v>68150</v>
      </c>
      <c r="O991" s="39">
        <f t="shared" si="46"/>
        <v>33800</v>
      </c>
      <c r="P991" s="24" t="s">
        <v>2026</v>
      </c>
      <c r="Q991" s="15" t="s">
        <v>2014</v>
      </c>
      <c r="R991" s="1" t="s">
        <v>2013</v>
      </c>
      <c r="S991" s="15" t="s">
        <v>2082</v>
      </c>
      <c r="T991" s="15" t="s">
        <v>2442</v>
      </c>
      <c r="U991" s="25" t="s">
        <v>2086</v>
      </c>
      <c r="V991" s="25" t="s">
        <v>2436</v>
      </c>
      <c r="W991" s="80">
        <v>45113</v>
      </c>
      <c r="X991" s="21" t="s">
        <v>2813</v>
      </c>
    </row>
    <row r="992" spans="1:24" x14ac:dyDescent="0.2">
      <c r="A992" s="1">
        <v>985</v>
      </c>
      <c r="B992" s="1" t="s">
        <v>781</v>
      </c>
      <c r="C992" s="1" t="s">
        <v>2782</v>
      </c>
      <c r="D992" s="1" t="s">
        <v>780</v>
      </c>
      <c r="E992" s="35" t="s">
        <v>822</v>
      </c>
      <c r="F992" s="66" t="s">
        <v>976</v>
      </c>
      <c r="G992" s="24" t="s">
        <v>2794</v>
      </c>
      <c r="H992" s="15" t="s">
        <v>2789</v>
      </c>
      <c r="I992" s="16">
        <v>45</v>
      </c>
      <c r="J992" s="16" t="str">
        <f t="shared" si="47"/>
        <v>Middle Age</v>
      </c>
      <c r="K992" s="25">
        <v>3</v>
      </c>
      <c r="L992" s="42">
        <v>3500</v>
      </c>
      <c r="M992" s="15">
        <v>1400</v>
      </c>
      <c r="N992" s="39">
        <f t="shared" si="45"/>
        <v>10500</v>
      </c>
      <c r="O992" s="39">
        <f t="shared" si="46"/>
        <v>6300</v>
      </c>
      <c r="P992" s="24" t="s">
        <v>2025</v>
      </c>
      <c r="Q992" s="24" t="s">
        <v>2024</v>
      </c>
      <c r="R992" s="1" t="s">
        <v>2013</v>
      </c>
      <c r="S992" s="15" t="s">
        <v>2082</v>
      </c>
      <c r="T992" s="15" t="s">
        <v>2442</v>
      </c>
      <c r="U992" s="25" t="s">
        <v>2084</v>
      </c>
      <c r="V992" s="25" t="s">
        <v>2437</v>
      </c>
      <c r="W992" s="80">
        <v>45170</v>
      </c>
      <c r="X992" s="21" t="s">
        <v>2820</v>
      </c>
    </row>
    <row r="993" spans="1:24" x14ac:dyDescent="0.2">
      <c r="A993" s="1">
        <v>986</v>
      </c>
      <c r="B993" s="1" t="s">
        <v>757</v>
      </c>
      <c r="C993" s="1" t="s">
        <v>2782</v>
      </c>
      <c r="D993" s="1" t="s">
        <v>2741</v>
      </c>
      <c r="E993" s="35" t="s">
        <v>863</v>
      </c>
      <c r="F993" s="66" t="s">
        <v>1008</v>
      </c>
      <c r="G993" s="24" t="s">
        <v>2792</v>
      </c>
      <c r="H993" s="15" t="s">
        <v>2788</v>
      </c>
      <c r="I993" s="16">
        <v>52</v>
      </c>
      <c r="J993" s="16" t="str">
        <f t="shared" si="47"/>
        <v>Old</v>
      </c>
      <c r="K993" s="25">
        <v>2</v>
      </c>
      <c r="L993" s="42">
        <v>3770</v>
      </c>
      <c r="M993" s="15">
        <v>2070</v>
      </c>
      <c r="N993" s="39">
        <f t="shared" si="45"/>
        <v>7540</v>
      </c>
      <c r="O993" s="39">
        <f t="shared" si="46"/>
        <v>3400</v>
      </c>
      <c r="P993" s="24" t="s">
        <v>2018</v>
      </c>
      <c r="Q993" s="15" t="s">
        <v>2828</v>
      </c>
      <c r="R993" s="1" t="s">
        <v>2013</v>
      </c>
      <c r="S993" s="15" t="s">
        <v>2082</v>
      </c>
      <c r="T993" s="15" t="s">
        <v>2442</v>
      </c>
      <c r="U993" s="25" t="s">
        <v>2086</v>
      </c>
      <c r="V993" s="25" t="s">
        <v>2434</v>
      </c>
      <c r="W993" s="80">
        <v>45266</v>
      </c>
      <c r="X993" s="21" t="s">
        <v>2822</v>
      </c>
    </row>
    <row r="994" spans="1:24" x14ac:dyDescent="0.2">
      <c r="A994" s="1">
        <v>987</v>
      </c>
      <c r="B994" s="1" t="s">
        <v>783</v>
      </c>
      <c r="C994" s="1" t="s">
        <v>2782</v>
      </c>
      <c r="D994" s="1" t="s">
        <v>782</v>
      </c>
      <c r="E994" s="35" t="s">
        <v>864</v>
      </c>
      <c r="F994" s="66" t="s">
        <v>954</v>
      </c>
      <c r="G994" s="24" t="s">
        <v>2796</v>
      </c>
      <c r="H994" s="15" t="s">
        <v>2789</v>
      </c>
      <c r="I994" s="16">
        <v>23</v>
      </c>
      <c r="J994" s="16" t="str">
        <f t="shared" si="47"/>
        <v>Young</v>
      </c>
      <c r="K994" s="25">
        <v>4</v>
      </c>
      <c r="L994" s="42">
        <v>5700</v>
      </c>
      <c r="M994" s="15">
        <v>3000</v>
      </c>
      <c r="N994" s="39">
        <f t="shared" si="45"/>
        <v>22800</v>
      </c>
      <c r="O994" s="39">
        <f t="shared" si="46"/>
        <v>10800</v>
      </c>
      <c r="P994" s="24" t="s">
        <v>2023</v>
      </c>
      <c r="Q994" s="15" t="s">
        <v>2828</v>
      </c>
      <c r="R994" s="1" t="s">
        <v>2013</v>
      </c>
      <c r="S994" s="15" t="s">
        <v>2082</v>
      </c>
      <c r="T994" s="15" t="s">
        <v>2442</v>
      </c>
      <c r="U994" s="25" t="s">
        <v>2084</v>
      </c>
      <c r="V994" s="25" t="s">
        <v>2436</v>
      </c>
      <c r="W994" s="80">
        <v>45110</v>
      </c>
      <c r="X994" s="21" t="s">
        <v>2813</v>
      </c>
    </row>
    <row r="995" spans="1:24" x14ac:dyDescent="0.2">
      <c r="A995" s="1">
        <v>988</v>
      </c>
      <c r="B995" s="1" t="s">
        <v>785</v>
      </c>
      <c r="C995" s="1" t="s">
        <v>2782</v>
      </c>
      <c r="D995" s="1" t="s">
        <v>784</v>
      </c>
      <c r="E995" s="35" t="s">
        <v>822</v>
      </c>
      <c r="F995" s="66" t="s">
        <v>944</v>
      </c>
      <c r="G995" s="24" t="s">
        <v>2798</v>
      </c>
      <c r="H995" s="15" t="s">
        <v>2789</v>
      </c>
      <c r="I995" s="16">
        <v>38</v>
      </c>
      <c r="J995" s="16" t="str">
        <f t="shared" si="47"/>
        <v>Middle Age</v>
      </c>
      <c r="K995" s="25">
        <v>1</v>
      </c>
      <c r="L995" s="42">
        <v>4250</v>
      </c>
      <c r="M995" s="15">
        <v>2050</v>
      </c>
      <c r="N995" s="39">
        <f t="shared" si="45"/>
        <v>4250</v>
      </c>
      <c r="O995" s="39">
        <f t="shared" si="46"/>
        <v>2200</v>
      </c>
      <c r="P995" s="24" t="s">
        <v>2015</v>
      </c>
      <c r="Q995" s="24" t="s">
        <v>2014</v>
      </c>
      <c r="R995" s="1" t="s">
        <v>2013</v>
      </c>
      <c r="S995" s="15" t="s">
        <v>2082</v>
      </c>
      <c r="T995" s="15" t="s">
        <v>2442</v>
      </c>
      <c r="U995" s="25" t="s">
        <v>2087</v>
      </c>
      <c r="V995" s="25" t="s">
        <v>2437</v>
      </c>
      <c r="W995" s="80">
        <v>45082</v>
      </c>
      <c r="X995" s="21" t="s">
        <v>2814</v>
      </c>
    </row>
    <row r="996" spans="1:24" x14ac:dyDescent="0.2">
      <c r="A996" s="1">
        <v>989</v>
      </c>
      <c r="B996" s="1" t="s">
        <v>375</v>
      </c>
      <c r="C996" s="1" t="s">
        <v>2782</v>
      </c>
      <c r="D996" s="1" t="s">
        <v>786</v>
      </c>
      <c r="E996" s="35" t="s">
        <v>863</v>
      </c>
      <c r="F996" s="66" t="s">
        <v>946</v>
      </c>
      <c r="G996" s="24" t="s">
        <v>2800</v>
      </c>
      <c r="H996" s="15" t="s">
        <v>2788</v>
      </c>
      <c r="I996" s="16">
        <v>41</v>
      </c>
      <c r="J996" s="16" t="str">
        <f t="shared" si="47"/>
        <v>Middle Age</v>
      </c>
      <c r="K996" s="25">
        <v>5</v>
      </c>
      <c r="L996" s="42">
        <f>2890+550</f>
        <v>3440</v>
      </c>
      <c r="M996" s="15">
        <f>1450+450</f>
        <v>1900</v>
      </c>
      <c r="N996" s="39">
        <f t="shared" si="45"/>
        <v>17200</v>
      </c>
      <c r="O996" s="39">
        <f t="shared" si="46"/>
        <v>7700</v>
      </c>
      <c r="P996" s="24" t="s">
        <v>2022</v>
      </c>
      <c r="Q996" s="24" t="s">
        <v>2016</v>
      </c>
      <c r="R996" s="1" t="s">
        <v>2013</v>
      </c>
      <c r="S996" s="15" t="s">
        <v>2082</v>
      </c>
      <c r="T996" s="15" t="s">
        <v>2442</v>
      </c>
      <c r="U996" s="25" t="s">
        <v>2090</v>
      </c>
      <c r="V996" s="25" t="s">
        <v>2435</v>
      </c>
      <c r="W996" s="80">
        <v>45203</v>
      </c>
      <c r="X996" s="21" t="s">
        <v>2821</v>
      </c>
    </row>
    <row r="997" spans="1:24" x14ac:dyDescent="0.2">
      <c r="A997" s="1">
        <v>990</v>
      </c>
      <c r="B997" s="1" t="s">
        <v>788</v>
      </c>
      <c r="C997" s="1" t="s">
        <v>2782</v>
      </c>
      <c r="D997" s="1" t="s">
        <v>787</v>
      </c>
      <c r="E997" s="35" t="s">
        <v>822</v>
      </c>
      <c r="F997" s="66" t="s">
        <v>976</v>
      </c>
      <c r="G997" s="24" t="s">
        <v>2802</v>
      </c>
      <c r="H997" s="15" t="s">
        <v>2789</v>
      </c>
      <c r="I997" s="16">
        <v>29</v>
      </c>
      <c r="J997" s="16" t="str">
        <f t="shared" si="47"/>
        <v>Young</v>
      </c>
      <c r="K997" s="25">
        <v>3</v>
      </c>
      <c r="L997" s="42">
        <v>4000</v>
      </c>
      <c r="M997" s="15">
        <v>2100</v>
      </c>
      <c r="N997" s="39">
        <f t="shared" si="45"/>
        <v>12000</v>
      </c>
      <c r="O997" s="39">
        <f t="shared" si="46"/>
        <v>5700</v>
      </c>
      <c r="P997" s="24" t="s">
        <v>2021</v>
      </c>
      <c r="Q997" s="24" t="s">
        <v>2020</v>
      </c>
      <c r="R997" s="1" t="s">
        <v>2013</v>
      </c>
      <c r="S997" s="15" t="s">
        <v>2082</v>
      </c>
      <c r="T997" s="15" t="s">
        <v>2442</v>
      </c>
      <c r="U997" s="25" t="s">
        <v>2083</v>
      </c>
      <c r="V997" s="25" t="s">
        <v>2434</v>
      </c>
      <c r="W997" s="80">
        <v>45133</v>
      </c>
      <c r="X997" s="21" t="s">
        <v>2813</v>
      </c>
    </row>
    <row r="998" spans="1:24" x14ac:dyDescent="0.2">
      <c r="A998" s="1">
        <v>991</v>
      </c>
      <c r="B998" s="1" t="s">
        <v>104</v>
      </c>
      <c r="C998" s="1" t="s">
        <v>2782</v>
      </c>
      <c r="D998" s="1" t="s">
        <v>789</v>
      </c>
      <c r="E998" s="35" t="s">
        <v>863</v>
      </c>
      <c r="F998" s="66" t="s">
        <v>1009</v>
      </c>
      <c r="G998" s="24" t="s">
        <v>2804</v>
      </c>
      <c r="H998" s="15" t="s">
        <v>2788</v>
      </c>
      <c r="I998" s="16">
        <v>60</v>
      </c>
      <c r="J998" s="16" t="str">
        <f t="shared" si="47"/>
        <v>Old</v>
      </c>
      <c r="K998" s="25">
        <v>1</v>
      </c>
      <c r="L998" s="42">
        <v>3750</v>
      </c>
      <c r="M998" s="15">
        <v>2000</v>
      </c>
      <c r="N998" s="39">
        <f t="shared" si="45"/>
        <v>3750</v>
      </c>
      <c r="O998" s="39">
        <f t="shared" si="46"/>
        <v>1750</v>
      </c>
      <c r="P998" s="24" t="s">
        <v>2019</v>
      </c>
      <c r="Q998" s="24" t="s">
        <v>2014</v>
      </c>
      <c r="R998" s="1" t="s">
        <v>2013</v>
      </c>
      <c r="S998" s="15" t="s">
        <v>2082</v>
      </c>
      <c r="T998" s="15" t="s">
        <v>2442</v>
      </c>
      <c r="U998" s="25" t="s">
        <v>2086</v>
      </c>
      <c r="V998" s="25" t="s">
        <v>2436</v>
      </c>
      <c r="W998" s="80">
        <v>44999</v>
      </c>
      <c r="X998" s="21" t="s">
        <v>2816</v>
      </c>
    </row>
    <row r="999" spans="1:24" x14ac:dyDescent="0.2">
      <c r="A999" s="1">
        <v>992</v>
      </c>
      <c r="B999" s="1" t="s">
        <v>790</v>
      </c>
      <c r="C999" s="1" t="s">
        <v>2782</v>
      </c>
      <c r="D999" s="1" t="s">
        <v>2742</v>
      </c>
      <c r="E999" s="35" t="s">
        <v>864</v>
      </c>
      <c r="F999" s="66" t="s">
        <v>881</v>
      </c>
      <c r="G999" s="24" t="s">
        <v>2806</v>
      </c>
      <c r="H999" s="15" t="s">
        <v>2789</v>
      </c>
      <c r="I999" s="16">
        <v>33</v>
      </c>
      <c r="J999" s="16" t="str">
        <f t="shared" si="47"/>
        <v>Young</v>
      </c>
      <c r="K999" s="25">
        <v>2</v>
      </c>
      <c r="L999" s="42">
        <v>3840</v>
      </c>
      <c r="M999" s="15">
        <v>2040</v>
      </c>
      <c r="N999" s="39">
        <f t="shared" si="45"/>
        <v>7680</v>
      </c>
      <c r="O999" s="39">
        <f t="shared" si="46"/>
        <v>3600</v>
      </c>
      <c r="P999" s="24" t="s">
        <v>2018</v>
      </c>
      <c r="Q999" s="15" t="s">
        <v>2828</v>
      </c>
      <c r="R999" s="1" t="s">
        <v>2013</v>
      </c>
      <c r="S999" s="15" t="s">
        <v>2082</v>
      </c>
      <c r="T999" s="15" t="s">
        <v>2442</v>
      </c>
      <c r="U999" s="25" t="s">
        <v>2087</v>
      </c>
      <c r="V999" s="25" t="s">
        <v>2437</v>
      </c>
      <c r="W999" s="80">
        <v>45222</v>
      </c>
      <c r="X999" s="21" t="s">
        <v>2821</v>
      </c>
    </row>
    <row r="1000" spans="1:24" x14ac:dyDescent="0.2">
      <c r="A1000" s="1">
        <v>993</v>
      </c>
      <c r="B1000" s="1" t="s">
        <v>637</v>
      </c>
      <c r="C1000" s="1" t="s">
        <v>2782</v>
      </c>
      <c r="D1000" s="1" t="s">
        <v>2743</v>
      </c>
      <c r="E1000" s="35" t="s">
        <v>823</v>
      </c>
      <c r="F1000" s="66" t="s">
        <v>882</v>
      </c>
      <c r="G1000" s="24" t="s">
        <v>2808</v>
      </c>
      <c r="H1000" s="15" t="s">
        <v>2788</v>
      </c>
      <c r="I1000" s="16">
        <v>22</v>
      </c>
      <c r="J1000" s="16" t="str">
        <f t="shared" si="47"/>
        <v>Young</v>
      </c>
      <c r="K1000" s="25">
        <v>4</v>
      </c>
      <c r="L1000" s="42">
        <v>5274</v>
      </c>
      <c r="M1000" s="15">
        <v>3300</v>
      </c>
      <c r="N1000" s="39">
        <f t="shared" si="45"/>
        <v>21096</v>
      </c>
      <c r="O1000" s="39">
        <f t="shared" si="46"/>
        <v>7896</v>
      </c>
      <c r="P1000" s="24" t="s">
        <v>2017</v>
      </c>
      <c r="Q1000" s="24" t="s">
        <v>2016</v>
      </c>
      <c r="R1000" s="1" t="s">
        <v>2013</v>
      </c>
      <c r="S1000" s="15" t="s">
        <v>2082</v>
      </c>
      <c r="T1000" s="15" t="s">
        <v>2442</v>
      </c>
      <c r="U1000" s="25" t="s">
        <v>2088</v>
      </c>
      <c r="V1000" s="25" t="s">
        <v>2435</v>
      </c>
      <c r="W1000" s="80">
        <v>45008</v>
      </c>
      <c r="X1000" s="21" t="s">
        <v>2816</v>
      </c>
    </row>
    <row r="1001" spans="1:24" x14ac:dyDescent="0.2">
      <c r="A1001" s="1">
        <v>994</v>
      </c>
      <c r="B1001" s="1" t="s">
        <v>637</v>
      </c>
      <c r="C1001" s="1" t="s">
        <v>2782</v>
      </c>
      <c r="D1001" s="1" t="s">
        <v>2744</v>
      </c>
      <c r="E1001" s="35" t="s">
        <v>864</v>
      </c>
      <c r="F1001" s="66" t="s">
        <v>881</v>
      </c>
      <c r="G1001" s="24" t="s">
        <v>2810</v>
      </c>
      <c r="H1001" s="15" t="s">
        <v>2789</v>
      </c>
      <c r="I1001" s="16">
        <v>47</v>
      </c>
      <c r="J1001" s="16" t="str">
        <f t="shared" si="47"/>
        <v>Middle Age</v>
      </c>
      <c r="K1001" s="25">
        <v>5</v>
      </c>
      <c r="L1001" s="42">
        <v>5841</v>
      </c>
      <c r="M1001" s="15">
        <v>3450</v>
      </c>
      <c r="N1001" s="39">
        <f t="shared" si="45"/>
        <v>29205</v>
      </c>
      <c r="O1001" s="39">
        <f t="shared" si="46"/>
        <v>11955</v>
      </c>
      <c r="P1001" s="24" t="s">
        <v>2015</v>
      </c>
      <c r="Q1001" s="24" t="s">
        <v>2014</v>
      </c>
      <c r="R1001" s="1" t="s">
        <v>2013</v>
      </c>
      <c r="S1001" s="15" t="s">
        <v>2082</v>
      </c>
      <c r="T1001" s="15" t="s">
        <v>2442</v>
      </c>
      <c r="U1001" s="25" t="s">
        <v>2089</v>
      </c>
      <c r="V1001" s="25" t="s">
        <v>2436</v>
      </c>
      <c r="W1001" s="80">
        <v>45060</v>
      </c>
      <c r="X1001" s="21" t="s">
        <v>2786</v>
      </c>
    </row>
    <row r="1002" spans="1:24" x14ac:dyDescent="0.2">
      <c r="A1002" s="1">
        <v>995</v>
      </c>
      <c r="B1002" s="1" t="s">
        <v>792</v>
      </c>
      <c r="C1002" s="1" t="s">
        <v>2782</v>
      </c>
      <c r="D1002" s="1" t="s">
        <v>791</v>
      </c>
      <c r="E1002" s="35" t="s">
        <v>822</v>
      </c>
      <c r="F1002" s="66" t="s">
        <v>883</v>
      </c>
      <c r="G1002" s="1" t="s">
        <v>2067</v>
      </c>
      <c r="H1002" s="1" t="s">
        <v>2788</v>
      </c>
      <c r="I1002" s="16">
        <v>55</v>
      </c>
      <c r="J1002" s="16" t="str">
        <f t="shared" si="47"/>
        <v>Old</v>
      </c>
      <c r="K1002" s="25">
        <v>2</v>
      </c>
      <c r="L1002" s="42">
        <f>2350+350</f>
        <v>2700</v>
      </c>
      <c r="M1002" s="15">
        <f>850+200</f>
        <v>1050</v>
      </c>
      <c r="N1002" s="39">
        <f t="shared" si="45"/>
        <v>5400</v>
      </c>
      <c r="O1002" s="39">
        <f t="shared" si="46"/>
        <v>3300</v>
      </c>
      <c r="P1002" s="24" t="s">
        <v>2052</v>
      </c>
      <c r="Q1002" s="15" t="s">
        <v>2016</v>
      </c>
      <c r="R1002" s="1" t="s">
        <v>2013</v>
      </c>
      <c r="S1002" s="15" t="s">
        <v>2082</v>
      </c>
      <c r="T1002" s="15" t="s">
        <v>2442</v>
      </c>
      <c r="U1002" s="25" t="s">
        <v>2086</v>
      </c>
      <c r="V1002" s="25" t="s">
        <v>2434</v>
      </c>
      <c r="W1002" s="80">
        <v>45002</v>
      </c>
      <c r="X1002" s="21" t="s">
        <v>2816</v>
      </c>
    </row>
    <row r="1003" spans="1:24" x14ac:dyDescent="0.2">
      <c r="A1003" s="1">
        <v>996</v>
      </c>
      <c r="B1003" s="1" t="s">
        <v>793</v>
      </c>
      <c r="C1003" s="1" t="s">
        <v>2782</v>
      </c>
      <c r="D1003" s="1" t="s">
        <v>2745</v>
      </c>
      <c r="E1003" s="35" t="s">
        <v>863</v>
      </c>
      <c r="F1003" s="66" t="s">
        <v>884</v>
      </c>
      <c r="G1003" s="1" t="s">
        <v>2068</v>
      </c>
      <c r="H1003" s="1" t="s">
        <v>2788</v>
      </c>
      <c r="I1003" s="16">
        <v>36</v>
      </c>
      <c r="J1003" s="16" t="str">
        <f t="shared" si="47"/>
        <v>Middle Age</v>
      </c>
      <c r="K1003" s="25">
        <v>3</v>
      </c>
      <c r="L1003" s="42">
        <v>5700</v>
      </c>
      <c r="M1003" s="15">
        <v>2500</v>
      </c>
      <c r="N1003" s="39">
        <f t="shared" si="45"/>
        <v>17100</v>
      </c>
      <c r="O1003" s="39">
        <f t="shared" si="46"/>
        <v>9600</v>
      </c>
      <c r="P1003" s="24" t="s">
        <v>2034</v>
      </c>
      <c r="Q1003" s="24" t="s">
        <v>2016</v>
      </c>
      <c r="R1003" s="1" t="s">
        <v>2013</v>
      </c>
      <c r="S1003" s="15" t="s">
        <v>2082</v>
      </c>
      <c r="T1003" s="15" t="s">
        <v>2442</v>
      </c>
      <c r="U1003" s="25" t="s">
        <v>2087</v>
      </c>
      <c r="V1003" s="25" t="s">
        <v>2437</v>
      </c>
      <c r="W1003" s="80">
        <v>45066</v>
      </c>
      <c r="X1003" s="21" t="s">
        <v>2786</v>
      </c>
    </row>
    <row r="1004" spans="1:24" x14ac:dyDescent="0.2">
      <c r="A1004" s="1">
        <v>997</v>
      </c>
      <c r="B1004" s="1" t="s">
        <v>794</v>
      </c>
      <c r="C1004" s="1" t="s">
        <v>2782</v>
      </c>
      <c r="D1004" s="1" t="s">
        <v>2746</v>
      </c>
      <c r="E1004" s="35" t="s">
        <v>864</v>
      </c>
      <c r="F1004" s="67" t="s">
        <v>931</v>
      </c>
      <c r="G1004" s="1" t="s">
        <v>2069</v>
      </c>
      <c r="H1004" s="1" t="s">
        <v>2788</v>
      </c>
      <c r="I1004" s="16">
        <v>28</v>
      </c>
      <c r="J1004" s="16" t="str">
        <f t="shared" si="47"/>
        <v>Young</v>
      </c>
      <c r="K1004" s="25">
        <v>2</v>
      </c>
      <c r="L1004" s="42">
        <v>5700</v>
      </c>
      <c r="M1004" s="15">
        <v>2500</v>
      </c>
      <c r="N1004" s="39">
        <f t="shared" si="45"/>
        <v>11400</v>
      </c>
      <c r="O1004" s="39">
        <f t="shared" si="46"/>
        <v>6400</v>
      </c>
      <c r="P1004" s="24" t="s">
        <v>2026</v>
      </c>
      <c r="Q1004" s="15" t="s">
        <v>2014</v>
      </c>
      <c r="R1004" s="1" t="s">
        <v>2013</v>
      </c>
      <c r="S1004" s="15" t="s">
        <v>2082</v>
      </c>
      <c r="T1004" s="15" t="s">
        <v>2442</v>
      </c>
      <c r="U1004" s="25" t="s">
        <v>2084</v>
      </c>
      <c r="V1004" s="25" t="s">
        <v>2435</v>
      </c>
      <c r="W1004" s="80">
        <v>45060</v>
      </c>
      <c r="X1004" s="21" t="s">
        <v>2786</v>
      </c>
    </row>
    <row r="1005" spans="1:24" x14ac:dyDescent="0.2">
      <c r="A1005" s="1">
        <v>998</v>
      </c>
      <c r="B1005" s="1" t="s">
        <v>796</v>
      </c>
      <c r="C1005" s="1" t="s">
        <v>2782</v>
      </c>
      <c r="D1005" s="1" t="s">
        <v>795</v>
      </c>
      <c r="E1005" s="35" t="s">
        <v>822</v>
      </c>
      <c r="F1005" s="66" t="s">
        <v>1003</v>
      </c>
      <c r="G1005" s="1" t="s">
        <v>2070</v>
      </c>
      <c r="H1005" s="1" t="s">
        <v>2788</v>
      </c>
      <c r="I1005" s="16">
        <v>50</v>
      </c>
      <c r="J1005" s="16" t="str">
        <f t="shared" si="47"/>
        <v>Old</v>
      </c>
      <c r="K1005" s="25">
        <v>3</v>
      </c>
      <c r="L1005" s="42">
        <v>4900</v>
      </c>
      <c r="M1005" s="15">
        <v>2350</v>
      </c>
      <c r="N1005" s="39">
        <f t="shared" si="45"/>
        <v>14700</v>
      </c>
      <c r="O1005" s="39">
        <f t="shared" si="46"/>
        <v>7650</v>
      </c>
      <c r="P1005" s="24" t="s">
        <v>2053</v>
      </c>
      <c r="Q1005" s="24" t="s">
        <v>2014</v>
      </c>
      <c r="R1005" s="1" t="s">
        <v>2013</v>
      </c>
      <c r="S1005" s="15" t="s">
        <v>2082</v>
      </c>
      <c r="T1005" s="15" t="s">
        <v>2442</v>
      </c>
      <c r="U1005" s="25" t="s">
        <v>2088</v>
      </c>
      <c r="V1005" s="25" t="s">
        <v>2434</v>
      </c>
      <c r="W1005" s="80">
        <v>45102</v>
      </c>
      <c r="X1005" s="21" t="s">
        <v>2814</v>
      </c>
    </row>
    <row r="1006" spans="1:24" x14ac:dyDescent="0.2">
      <c r="A1006" s="1">
        <v>999</v>
      </c>
      <c r="B1006" s="1" t="s">
        <v>798</v>
      </c>
      <c r="C1006" s="1" t="s">
        <v>2782</v>
      </c>
      <c r="D1006" s="1" t="s">
        <v>797</v>
      </c>
      <c r="E1006" s="35" t="s">
        <v>863</v>
      </c>
      <c r="F1006" s="66" t="s">
        <v>1004</v>
      </c>
      <c r="G1006" s="1" t="s">
        <v>2071</v>
      </c>
      <c r="H1006" s="1" t="s">
        <v>2789</v>
      </c>
      <c r="I1006" s="16">
        <v>39</v>
      </c>
      <c r="J1006" s="16" t="str">
        <f t="shared" si="47"/>
        <v>Middle Age</v>
      </c>
      <c r="K1006" s="25">
        <v>1</v>
      </c>
      <c r="L1006" s="42">
        <v>12950</v>
      </c>
      <c r="M1006" s="15">
        <v>7950</v>
      </c>
      <c r="N1006" s="39">
        <f t="shared" si="45"/>
        <v>12950</v>
      </c>
      <c r="O1006" s="39">
        <f t="shared" si="46"/>
        <v>5000</v>
      </c>
      <c r="P1006" s="24" t="s">
        <v>2043</v>
      </c>
      <c r="Q1006" s="24" t="s">
        <v>2016</v>
      </c>
      <c r="R1006" s="1" t="s">
        <v>2013</v>
      </c>
      <c r="S1006" s="15" t="s">
        <v>2082</v>
      </c>
      <c r="T1006" s="15" t="s">
        <v>2442</v>
      </c>
      <c r="U1006" s="25" t="s">
        <v>2087</v>
      </c>
      <c r="V1006" s="25" t="s">
        <v>2436</v>
      </c>
      <c r="W1006" s="80">
        <v>45233</v>
      </c>
      <c r="X1006" s="21" t="s">
        <v>2823</v>
      </c>
    </row>
    <row r="1007" spans="1:24" x14ac:dyDescent="0.2">
      <c r="A1007" s="1">
        <v>1000</v>
      </c>
      <c r="B1007" s="1" t="s">
        <v>150</v>
      </c>
      <c r="C1007" s="1" t="s">
        <v>2782</v>
      </c>
      <c r="D1007" s="1" t="s">
        <v>799</v>
      </c>
      <c r="E1007" s="35" t="s">
        <v>863</v>
      </c>
      <c r="F1007" s="66" t="s">
        <v>876</v>
      </c>
      <c r="G1007" s="1" t="s">
        <v>2072</v>
      </c>
      <c r="H1007" s="1" t="s">
        <v>2788</v>
      </c>
      <c r="I1007" s="16">
        <v>31</v>
      </c>
      <c r="J1007" s="16" t="str">
        <f t="shared" si="47"/>
        <v>Young</v>
      </c>
      <c r="K1007" s="25">
        <v>2</v>
      </c>
      <c r="L1007" s="42">
        <v>4650</v>
      </c>
      <c r="M1007" s="15">
        <v>2650</v>
      </c>
      <c r="N1007" s="39">
        <f t="shared" si="45"/>
        <v>9300</v>
      </c>
      <c r="O1007" s="39">
        <f t="shared" si="46"/>
        <v>4000</v>
      </c>
      <c r="P1007" s="24" t="s">
        <v>2051</v>
      </c>
      <c r="Q1007" s="15" t="s">
        <v>2828</v>
      </c>
      <c r="R1007" s="1" t="s">
        <v>2013</v>
      </c>
      <c r="S1007" s="15" t="s">
        <v>2082</v>
      </c>
      <c r="T1007" s="15" t="s">
        <v>2442</v>
      </c>
      <c r="U1007" s="25" t="s">
        <v>2087</v>
      </c>
      <c r="V1007" s="25" t="s">
        <v>2437</v>
      </c>
      <c r="W1007" s="80">
        <v>45128</v>
      </c>
      <c r="X1007" s="21" t="s">
        <v>2813</v>
      </c>
    </row>
    <row r="1008" spans="1:24" x14ac:dyDescent="0.2">
      <c r="A1008" s="1">
        <v>1001</v>
      </c>
      <c r="B1008" s="1" t="s">
        <v>800</v>
      </c>
      <c r="C1008" s="1" t="s">
        <v>2782</v>
      </c>
      <c r="D1008" s="1" t="s">
        <v>2747</v>
      </c>
      <c r="E1008" s="35" t="s">
        <v>822</v>
      </c>
      <c r="F1008" s="66" t="s">
        <v>25</v>
      </c>
      <c r="G1008" s="1" t="s">
        <v>2073</v>
      </c>
      <c r="H1008" s="1" t="s">
        <v>2789</v>
      </c>
      <c r="I1008" s="16">
        <v>44</v>
      </c>
      <c r="J1008" s="16" t="str">
        <f t="shared" si="47"/>
        <v>Middle Age</v>
      </c>
      <c r="K1008" s="25">
        <v>4</v>
      </c>
      <c r="L1008" s="42">
        <v>4340</v>
      </c>
      <c r="M1008" s="15">
        <v>2340</v>
      </c>
      <c r="N1008" s="39">
        <f t="shared" si="45"/>
        <v>17360</v>
      </c>
      <c r="O1008" s="39">
        <f t="shared" si="46"/>
        <v>8000</v>
      </c>
      <c r="P1008" s="24" t="s">
        <v>2018</v>
      </c>
      <c r="Q1008" s="15" t="s">
        <v>2828</v>
      </c>
      <c r="R1008" s="1" t="s">
        <v>2013</v>
      </c>
      <c r="S1008" s="15" t="s">
        <v>2082</v>
      </c>
      <c r="T1008" s="15" t="s">
        <v>2442</v>
      </c>
      <c r="U1008" s="25" t="s">
        <v>2086</v>
      </c>
      <c r="V1008" s="25" t="s">
        <v>2435</v>
      </c>
      <c r="W1008" s="80">
        <v>45065</v>
      </c>
      <c r="X1008" s="21" t="s">
        <v>2786</v>
      </c>
    </row>
    <row r="1009" spans="1:24" x14ac:dyDescent="0.2">
      <c r="A1009" s="1">
        <v>1002</v>
      </c>
      <c r="B1009" s="1" t="s">
        <v>802</v>
      </c>
      <c r="C1009" s="1" t="s">
        <v>2782</v>
      </c>
      <c r="D1009" s="1" t="s">
        <v>801</v>
      </c>
      <c r="E1009" s="35" t="s">
        <v>863</v>
      </c>
      <c r="F1009" s="66" t="s">
        <v>881</v>
      </c>
      <c r="G1009" s="1" t="s">
        <v>2074</v>
      </c>
      <c r="H1009" s="1" t="s">
        <v>2789</v>
      </c>
      <c r="I1009" s="16">
        <v>26</v>
      </c>
      <c r="J1009" s="16" t="str">
        <f t="shared" si="47"/>
        <v>Young</v>
      </c>
      <c r="K1009" s="25">
        <v>5</v>
      </c>
      <c r="L1009" s="42">
        <f>4620+550</f>
        <v>5170</v>
      </c>
      <c r="M1009" s="15">
        <f>1550+450</f>
        <v>2000</v>
      </c>
      <c r="N1009" s="39">
        <f t="shared" si="45"/>
        <v>25850</v>
      </c>
      <c r="O1009" s="39">
        <f t="shared" si="46"/>
        <v>15850</v>
      </c>
      <c r="P1009" s="24" t="s">
        <v>2028</v>
      </c>
      <c r="Q1009" s="15" t="s">
        <v>2024</v>
      </c>
      <c r="R1009" s="1" t="s">
        <v>2013</v>
      </c>
      <c r="S1009" s="15" t="s">
        <v>2082</v>
      </c>
      <c r="T1009" s="15" t="s">
        <v>2442</v>
      </c>
      <c r="U1009" s="25" t="s">
        <v>2084</v>
      </c>
      <c r="V1009" s="25" t="s">
        <v>2435</v>
      </c>
      <c r="W1009" s="80">
        <v>44953</v>
      </c>
      <c r="X1009" s="21" t="s">
        <v>2818</v>
      </c>
    </row>
    <row r="1010" spans="1:24" x14ac:dyDescent="0.2">
      <c r="A1010" s="1">
        <v>1003</v>
      </c>
      <c r="B1010" s="1" t="s">
        <v>804</v>
      </c>
      <c r="C1010" s="1" t="s">
        <v>2782</v>
      </c>
      <c r="D1010" s="1" t="s">
        <v>803</v>
      </c>
      <c r="E1010" s="35" t="s">
        <v>864</v>
      </c>
      <c r="F1010" s="66" t="s">
        <v>980</v>
      </c>
      <c r="G1010" s="1" t="s">
        <v>2075</v>
      </c>
      <c r="H1010" s="1" t="s">
        <v>2788</v>
      </c>
      <c r="I1010" s="16">
        <v>48</v>
      </c>
      <c r="J1010" s="16" t="str">
        <f t="shared" si="47"/>
        <v>Middle Age</v>
      </c>
      <c r="K1010" s="25">
        <v>2</v>
      </c>
      <c r="L1010" s="42">
        <v>4700</v>
      </c>
      <c r="M1010" s="15">
        <v>2700</v>
      </c>
      <c r="N1010" s="39">
        <f t="shared" si="45"/>
        <v>9400</v>
      </c>
      <c r="O1010" s="39">
        <f t="shared" si="46"/>
        <v>4000</v>
      </c>
      <c r="P1010" s="24" t="s">
        <v>2015</v>
      </c>
      <c r="Q1010" s="24" t="s">
        <v>2014</v>
      </c>
      <c r="R1010" s="1" t="s">
        <v>2013</v>
      </c>
      <c r="S1010" s="15" t="s">
        <v>2082</v>
      </c>
      <c r="T1010" s="15" t="s">
        <v>2442</v>
      </c>
      <c r="U1010" s="25" t="s">
        <v>2085</v>
      </c>
      <c r="V1010" s="25" t="s">
        <v>2436</v>
      </c>
      <c r="W1010" s="80">
        <v>45001</v>
      </c>
      <c r="X1010" s="21" t="s">
        <v>2816</v>
      </c>
    </row>
    <row r="1011" spans="1:24" x14ac:dyDescent="0.2">
      <c r="A1011" s="1">
        <v>1004</v>
      </c>
      <c r="B1011" s="1" t="s">
        <v>79</v>
      </c>
      <c r="C1011" s="1" t="s">
        <v>2782</v>
      </c>
      <c r="D1011" s="1" t="s">
        <v>805</v>
      </c>
      <c r="E1011" s="35" t="s">
        <v>823</v>
      </c>
      <c r="F1011" s="66" t="s">
        <v>976</v>
      </c>
      <c r="G1011" s="1" t="s">
        <v>2076</v>
      </c>
      <c r="H1011" s="1" t="s">
        <v>2789</v>
      </c>
      <c r="I1011" s="16">
        <v>53</v>
      </c>
      <c r="J1011" s="16" t="str">
        <f t="shared" si="47"/>
        <v>Old</v>
      </c>
      <c r="K1011" s="25">
        <v>3</v>
      </c>
      <c r="L1011" s="42">
        <v>2790</v>
      </c>
      <c r="M1011" s="15">
        <v>1700</v>
      </c>
      <c r="N1011" s="39">
        <f t="shared" si="45"/>
        <v>8370</v>
      </c>
      <c r="O1011" s="39">
        <f t="shared" si="46"/>
        <v>3270</v>
      </c>
      <c r="P1011" s="24" t="s">
        <v>2049</v>
      </c>
      <c r="Q1011" s="24" t="s">
        <v>2016</v>
      </c>
      <c r="R1011" s="1" t="s">
        <v>2013</v>
      </c>
      <c r="S1011" s="15" t="s">
        <v>2082</v>
      </c>
      <c r="T1011" s="15" t="s">
        <v>2442</v>
      </c>
      <c r="U1011" s="25" t="s">
        <v>2090</v>
      </c>
      <c r="V1011" s="25" t="s">
        <v>2434</v>
      </c>
      <c r="W1011" s="80">
        <v>45068</v>
      </c>
      <c r="X1011" s="21" t="s">
        <v>2786</v>
      </c>
    </row>
    <row r="1012" spans="1:24" x14ac:dyDescent="0.2">
      <c r="A1012" s="1">
        <v>1005</v>
      </c>
      <c r="B1012" s="1" t="s">
        <v>29</v>
      </c>
      <c r="C1012" s="1" t="s">
        <v>2782</v>
      </c>
      <c r="D1012" s="1" t="s">
        <v>806</v>
      </c>
      <c r="E1012" s="35" t="s">
        <v>864</v>
      </c>
      <c r="F1012" s="66" t="s">
        <v>913</v>
      </c>
      <c r="G1012" s="1" t="s">
        <v>2077</v>
      </c>
      <c r="H1012" s="1" t="s">
        <v>2789</v>
      </c>
      <c r="I1012" s="16">
        <v>30</v>
      </c>
      <c r="J1012" s="16" t="str">
        <f t="shared" si="47"/>
        <v>Young</v>
      </c>
      <c r="K1012" s="25">
        <v>1</v>
      </c>
      <c r="L1012" s="42">
        <v>5540</v>
      </c>
      <c r="M1012" s="15">
        <v>1460</v>
      </c>
      <c r="N1012" s="39">
        <f t="shared" si="45"/>
        <v>5540</v>
      </c>
      <c r="O1012" s="39">
        <f t="shared" si="46"/>
        <v>4080</v>
      </c>
      <c r="P1012" s="24" t="s">
        <v>2048</v>
      </c>
      <c r="Q1012" s="24" t="s">
        <v>2014</v>
      </c>
      <c r="R1012" s="1" t="s">
        <v>2013</v>
      </c>
      <c r="S1012" s="15" t="s">
        <v>2082</v>
      </c>
      <c r="T1012" s="15" t="s">
        <v>2442</v>
      </c>
      <c r="U1012" s="25" t="s">
        <v>2085</v>
      </c>
      <c r="V1012" s="25" t="s">
        <v>2437</v>
      </c>
      <c r="W1012" s="80">
        <v>44990</v>
      </c>
      <c r="X1012" s="21" t="s">
        <v>2816</v>
      </c>
    </row>
    <row r="1013" spans="1:24" x14ac:dyDescent="0.2">
      <c r="A1013" s="1">
        <v>1006</v>
      </c>
      <c r="B1013" s="1" t="s">
        <v>29</v>
      </c>
      <c r="C1013" s="1" t="s">
        <v>2782</v>
      </c>
      <c r="D1013" s="1" t="s">
        <v>807</v>
      </c>
      <c r="E1013" s="35" t="s">
        <v>822</v>
      </c>
      <c r="F1013" s="66" t="s">
        <v>999</v>
      </c>
      <c r="G1013" s="1" t="s">
        <v>2078</v>
      </c>
      <c r="H1013" s="1" t="s">
        <v>2788</v>
      </c>
      <c r="I1013" s="16">
        <v>37</v>
      </c>
      <c r="J1013" s="16" t="str">
        <f t="shared" si="47"/>
        <v>Middle Age</v>
      </c>
      <c r="K1013" s="25">
        <v>4</v>
      </c>
      <c r="L1013" s="42">
        <v>2230</v>
      </c>
      <c r="M1013" s="15">
        <v>980</v>
      </c>
      <c r="N1013" s="39">
        <f t="shared" si="45"/>
        <v>8920</v>
      </c>
      <c r="O1013" s="39">
        <f t="shared" si="46"/>
        <v>5000</v>
      </c>
      <c r="P1013" s="24" t="s">
        <v>2056</v>
      </c>
      <c r="Q1013" s="24" t="s">
        <v>2024</v>
      </c>
      <c r="R1013" s="1" t="s">
        <v>2013</v>
      </c>
      <c r="S1013" s="15" t="s">
        <v>2082</v>
      </c>
      <c r="T1013" s="15" t="s">
        <v>2442</v>
      </c>
      <c r="U1013" s="25" t="s">
        <v>2086</v>
      </c>
      <c r="V1013" s="25" t="s">
        <v>2435</v>
      </c>
      <c r="W1013" s="80">
        <v>45041</v>
      </c>
      <c r="X1013" s="21" t="s">
        <v>2815</v>
      </c>
    </row>
    <row r="1014" spans="1:24" x14ac:dyDescent="0.2">
      <c r="A1014" s="1">
        <v>1007</v>
      </c>
      <c r="B1014" s="1" t="s">
        <v>809</v>
      </c>
      <c r="C1014" s="1" t="s">
        <v>2782</v>
      </c>
      <c r="D1014" s="1" t="s">
        <v>808</v>
      </c>
      <c r="E1014" s="35" t="s">
        <v>863</v>
      </c>
      <c r="F1014" s="66" t="s">
        <v>998</v>
      </c>
      <c r="G1014" s="1" t="s">
        <v>2079</v>
      </c>
      <c r="H1014" s="1" t="s">
        <v>2789</v>
      </c>
      <c r="I1014" s="16">
        <v>42</v>
      </c>
      <c r="J1014" s="16" t="str">
        <f t="shared" si="47"/>
        <v>Middle Age</v>
      </c>
      <c r="K1014" s="25">
        <v>5</v>
      </c>
      <c r="L1014" s="42">
        <v>2250</v>
      </c>
      <c r="M1014" s="15">
        <v>1000</v>
      </c>
      <c r="N1014" s="39">
        <f t="shared" si="45"/>
        <v>11250</v>
      </c>
      <c r="O1014" s="39">
        <f t="shared" si="46"/>
        <v>6250</v>
      </c>
      <c r="P1014" s="24" t="s">
        <v>2040</v>
      </c>
      <c r="Q1014" s="15" t="s">
        <v>2014</v>
      </c>
      <c r="R1014" s="1" t="s">
        <v>2013</v>
      </c>
      <c r="S1014" s="15" t="s">
        <v>2082</v>
      </c>
      <c r="T1014" s="15" t="s">
        <v>2442</v>
      </c>
      <c r="U1014" s="25" t="s">
        <v>2086</v>
      </c>
      <c r="V1014" s="25" t="s">
        <v>2434</v>
      </c>
      <c r="W1014" s="80">
        <v>45043</v>
      </c>
      <c r="X1014" s="21" t="s">
        <v>2815</v>
      </c>
    </row>
    <row r="1015" spans="1:24" x14ac:dyDescent="0.2">
      <c r="A1015" s="1">
        <v>1008</v>
      </c>
      <c r="B1015" s="1" t="s">
        <v>54</v>
      </c>
      <c r="C1015" s="1" t="s">
        <v>2782</v>
      </c>
      <c r="D1015" s="1" t="s">
        <v>540</v>
      </c>
      <c r="E1015" s="35" t="s">
        <v>864</v>
      </c>
      <c r="F1015" s="66" t="s">
        <v>979</v>
      </c>
      <c r="G1015" s="1" t="s">
        <v>2080</v>
      </c>
      <c r="H1015" s="1" t="s">
        <v>2788</v>
      </c>
      <c r="I1015" s="16">
        <v>24</v>
      </c>
      <c r="J1015" s="16" t="str">
        <f t="shared" si="47"/>
        <v>Young</v>
      </c>
      <c r="K1015" s="25">
        <v>3</v>
      </c>
      <c r="L1015" s="42">
        <v>4850</v>
      </c>
      <c r="M1015" s="15">
        <v>2850</v>
      </c>
      <c r="N1015" s="39">
        <f t="shared" si="45"/>
        <v>14550</v>
      </c>
      <c r="O1015" s="39">
        <f t="shared" si="46"/>
        <v>6000</v>
      </c>
      <c r="P1015" s="24" t="s">
        <v>2036</v>
      </c>
      <c r="Q1015" s="24" t="s">
        <v>2014</v>
      </c>
      <c r="R1015" s="1" t="s">
        <v>2013</v>
      </c>
      <c r="S1015" s="15" t="s">
        <v>2082</v>
      </c>
      <c r="T1015" s="15" t="s">
        <v>2442</v>
      </c>
      <c r="U1015" s="25" t="s">
        <v>2083</v>
      </c>
      <c r="V1015" s="25" t="s">
        <v>2436</v>
      </c>
      <c r="W1015" s="80">
        <v>45259</v>
      </c>
      <c r="X1015" s="21" t="s">
        <v>2823</v>
      </c>
    </row>
    <row r="1016" spans="1:24" x14ac:dyDescent="0.2">
      <c r="A1016" s="1">
        <v>1009</v>
      </c>
      <c r="B1016" s="1" t="s">
        <v>326</v>
      </c>
      <c r="C1016" s="1" t="s">
        <v>2782</v>
      </c>
      <c r="D1016" s="1" t="s">
        <v>810</v>
      </c>
      <c r="E1016" s="35" t="s">
        <v>822</v>
      </c>
      <c r="F1016" s="66" t="s">
        <v>1010</v>
      </c>
      <c r="G1016" s="1" t="s">
        <v>2081</v>
      </c>
      <c r="H1016" s="1" t="s">
        <v>2789</v>
      </c>
      <c r="I1016" s="16">
        <v>57</v>
      </c>
      <c r="J1016" s="16" t="str">
        <f t="shared" si="47"/>
        <v>Old</v>
      </c>
      <c r="K1016" s="25">
        <v>2</v>
      </c>
      <c r="L1016" s="42">
        <v>3150</v>
      </c>
      <c r="M1016" s="15">
        <v>1350</v>
      </c>
      <c r="N1016" s="39">
        <f t="shared" si="45"/>
        <v>6300</v>
      </c>
      <c r="O1016" s="39">
        <f t="shared" si="46"/>
        <v>3600</v>
      </c>
      <c r="P1016" s="24" t="s">
        <v>2022</v>
      </c>
      <c r="Q1016" s="24" t="s">
        <v>2016</v>
      </c>
      <c r="R1016" s="1" t="s">
        <v>2013</v>
      </c>
      <c r="S1016" s="15" t="s">
        <v>2082</v>
      </c>
      <c r="T1016" s="15" t="s">
        <v>2442</v>
      </c>
      <c r="U1016" s="25" t="s">
        <v>2089</v>
      </c>
      <c r="V1016" s="25" t="s">
        <v>2437</v>
      </c>
      <c r="W1016" s="80">
        <v>45212</v>
      </c>
      <c r="X1016" s="21" t="s">
        <v>2821</v>
      </c>
    </row>
    <row r="1017" spans="1:24" x14ac:dyDescent="0.2">
      <c r="A1017"/>
      <c r="B1017"/>
      <c r="C1017"/>
      <c r="D1017"/>
      <c r="E1017"/>
      <c r="F1017"/>
      <c r="G1017"/>
      <c r="H1017"/>
      <c r="I1017"/>
      <c r="J1017"/>
      <c r="K1017"/>
      <c r="L1017"/>
      <c r="M1017"/>
      <c r="N1017"/>
      <c r="O1017"/>
      <c r="P1017"/>
      <c r="Q1017"/>
      <c r="R1017"/>
      <c r="S1017"/>
      <c r="T1017"/>
      <c r="U1017"/>
      <c r="V1017"/>
      <c r="W1017"/>
    </row>
    <row r="1018" spans="1:24" x14ac:dyDescent="0.2">
      <c r="A1018"/>
      <c r="B1018"/>
      <c r="C1018"/>
      <c r="D1018"/>
      <c r="E1018"/>
      <c r="F1018"/>
      <c r="G1018"/>
      <c r="H1018"/>
      <c r="I1018"/>
      <c r="J1018"/>
      <c r="K1018"/>
      <c r="L1018"/>
      <c r="M1018"/>
      <c r="N1018"/>
      <c r="O1018"/>
      <c r="P1018"/>
      <c r="Q1018"/>
      <c r="R1018"/>
      <c r="S1018"/>
      <c r="T1018"/>
      <c r="U1018"/>
      <c r="V1018"/>
      <c r="W1018"/>
    </row>
    <row r="1019" spans="1:24" x14ac:dyDescent="0.2">
      <c r="A1019"/>
      <c r="B1019"/>
      <c r="C1019"/>
      <c r="D1019"/>
      <c r="E1019"/>
      <c r="F1019"/>
      <c r="G1019"/>
      <c r="H1019"/>
      <c r="I1019"/>
      <c r="J1019"/>
      <c r="K1019"/>
      <c r="L1019"/>
      <c r="M1019"/>
      <c r="N1019"/>
      <c r="O1019"/>
      <c r="P1019"/>
      <c r="Q1019"/>
      <c r="R1019"/>
      <c r="S1019"/>
      <c r="T1019"/>
      <c r="U1019"/>
      <c r="V1019"/>
      <c r="W1019"/>
    </row>
    <row r="1020" spans="1:24" x14ac:dyDescent="0.2">
      <c r="A1020"/>
      <c r="B1020"/>
      <c r="C1020"/>
      <c r="D1020"/>
      <c r="E1020"/>
      <c r="F1020"/>
      <c r="G1020"/>
      <c r="H1020"/>
      <c r="I1020"/>
      <c r="J1020"/>
      <c r="K1020"/>
      <c r="L1020"/>
      <c r="M1020"/>
      <c r="N1020"/>
      <c r="O1020"/>
      <c r="P1020"/>
      <c r="Q1020"/>
      <c r="R1020"/>
      <c r="S1020"/>
      <c r="T1020"/>
      <c r="U1020"/>
      <c r="V1020"/>
      <c r="W1020"/>
    </row>
    <row r="1021" spans="1:24" x14ac:dyDescent="0.2">
      <c r="A1021"/>
      <c r="B1021"/>
      <c r="C1021"/>
      <c r="D1021"/>
      <c r="E1021"/>
      <c r="F1021"/>
      <c r="G1021"/>
      <c r="H1021"/>
      <c r="I1021"/>
      <c r="J1021"/>
      <c r="K1021"/>
      <c r="L1021"/>
      <c r="M1021"/>
      <c r="N1021"/>
      <c r="O1021"/>
      <c r="P1021"/>
      <c r="Q1021"/>
      <c r="R1021"/>
      <c r="S1021"/>
      <c r="T1021"/>
      <c r="U1021"/>
      <c r="V1021"/>
      <c r="W1021"/>
    </row>
    <row r="1022" spans="1:24" x14ac:dyDescent="0.2">
      <c r="A1022"/>
      <c r="B1022"/>
      <c r="C1022"/>
      <c r="D1022"/>
      <c r="E1022"/>
      <c r="F1022"/>
      <c r="G1022"/>
      <c r="H1022"/>
      <c r="I1022"/>
      <c r="J1022"/>
      <c r="K1022"/>
      <c r="L1022"/>
      <c r="M1022"/>
      <c r="N1022"/>
      <c r="O1022"/>
      <c r="P1022"/>
      <c r="Q1022"/>
      <c r="R1022"/>
      <c r="S1022"/>
      <c r="T1022"/>
      <c r="U1022"/>
      <c r="V1022"/>
      <c r="W1022"/>
    </row>
    <row r="1023" spans="1:24" x14ac:dyDescent="0.2">
      <c r="A1023"/>
      <c r="B1023"/>
      <c r="C1023"/>
      <c r="D1023"/>
      <c r="E1023"/>
      <c r="F1023"/>
      <c r="G1023"/>
      <c r="H1023"/>
      <c r="I1023"/>
      <c r="J1023"/>
      <c r="K1023"/>
      <c r="L1023"/>
      <c r="M1023"/>
      <c r="N1023"/>
      <c r="O1023"/>
      <c r="P1023"/>
      <c r="Q1023"/>
      <c r="R1023"/>
      <c r="S1023"/>
      <c r="T1023"/>
      <c r="U1023"/>
      <c r="V1023"/>
      <c r="W1023"/>
    </row>
    <row r="1024" spans="1:24" x14ac:dyDescent="0.2">
      <c r="A1024"/>
      <c r="B1024"/>
      <c r="C1024"/>
      <c r="D1024"/>
      <c r="E1024"/>
      <c r="F1024"/>
      <c r="G1024"/>
      <c r="H1024"/>
      <c r="I1024"/>
      <c r="J1024"/>
      <c r="K1024"/>
      <c r="L1024"/>
      <c r="M1024"/>
      <c r="N1024"/>
      <c r="O1024"/>
      <c r="P1024"/>
      <c r="Q1024"/>
      <c r="R1024"/>
      <c r="S1024"/>
      <c r="T1024"/>
      <c r="U1024"/>
      <c r="V1024"/>
      <c r="W1024"/>
    </row>
    <row r="1025" spans="24:24" customFormat="1" x14ac:dyDescent="0.2">
      <c r="X1025" s="21"/>
    </row>
    <row r="1026" spans="24:24" customFormat="1" x14ac:dyDescent="0.2">
      <c r="X1026" s="21"/>
    </row>
    <row r="1027" spans="24:24" customFormat="1" x14ac:dyDescent="0.2">
      <c r="X1027" s="21"/>
    </row>
    <row r="1028" spans="24:24" customFormat="1" x14ac:dyDescent="0.2">
      <c r="X1028" s="21"/>
    </row>
    <row r="1029" spans="24:24" customFormat="1" x14ac:dyDescent="0.2">
      <c r="X1029" s="21"/>
    </row>
    <row r="1030" spans="24:24" customFormat="1" x14ac:dyDescent="0.2">
      <c r="X1030" s="21"/>
    </row>
    <row r="1031" spans="24:24" customFormat="1" x14ac:dyDescent="0.2">
      <c r="X1031" s="21"/>
    </row>
    <row r="1032" spans="24:24" customFormat="1" x14ac:dyDescent="0.2">
      <c r="X1032" s="21"/>
    </row>
    <row r="1033" spans="24:24" customFormat="1" x14ac:dyDescent="0.2">
      <c r="X1033" s="21"/>
    </row>
    <row r="1034" spans="24:24" customFormat="1" x14ac:dyDescent="0.2">
      <c r="X1034" s="21"/>
    </row>
    <row r="1035" spans="24:24" customFormat="1" x14ac:dyDescent="0.2">
      <c r="X1035" s="21"/>
    </row>
    <row r="1036" spans="24:24" customFormat="1" x14ac:dyDescent="0.2">
      <c r="X1036" s="21"/>
    </row>
    <row r="1037" spans="24:24" customFormat="1" x14ac:dyDescent="0.2">
      <c r="X1037" s="21"/>
    </row>
    <row r="1038" spans="24:24" customFormat="1" x14ac:dyDescent="0.2">
      <c r="X1038" s="21"/>
    </row>
    <row r="1039" spans="24:24" customFormat="1" x14ac:dyDescent="0.2">
      <c r="X1039" s="21"/>
    </row>
    <row r="1040" spans="24:24" customFormat="1" x14ac:dyDescent="0.2">
      <c r="X1040" s="21"/>
    </row>
    <row r="1041" spans="24:24" customFormat="1" x14ac:dyDescent="0.2">
      <c r="X1041" s="21"/>
    </row>
    <row r="1042" spans="24:24" customFormat="1" x14ac:dyDescent="0.2">
      <c r="X1042" s="21"/>
    </row>
    <row r="1043" spans="24:24" customFormat="1" x14ac:dyDescent="0.2">
      <c r="X1043" s="21"/>
    </row>
    <row r="1044" spans="24:24" customFormat="1" x14ac:dyDescent="0.2">
      <c r="X1044" s="21"/>
    </row>
    <row r="1045" spans="24:24" customFormat="1" x14ac:dyDescent="0.2">
      <c r="X1045" s="21"/>
    </row>
    <row r="1046" spans="24:24" customFormat="1" x14ac:dyDescent="0.2">
      <c r="X1046" s="21"/>
    </row>
    <row r="1047" spans="24:24" customFormat="1" x14ac:dyDescent="0.2">
      <c r="X1047" s="21"/>
    </row>
    <row r="1048" spans="24:24" customFormat="1" x14ac:dyDescent="0.2">
      <c r="X1048" s="21"/>
    </row>
    <row r="1049" spans="24:24" customFormat="1" x14ac:dyDescent="0.2">
      <c r="X1049" s="21"/>
    </row>
    <row r="1050" spans="24:24" customFormat="1" x14ac:dyDescent="0.2">
      <c r="X1050" s="21"/>
    </row>
    <row r="1051" spans="24:24" customFormat="1" x14ac:dyDescent="0.2">
      <c r="X1051" s="21"/>
    </row>
    <row r="1052" spans="24:24" customFormat="1" x14ac:dyDescent="0.2">
      <c r="X1052" s="21"/>
    </row>
    <row r="1053" spans="24:24" customFormat="1" x14ac:dyDescent="0.2">
      <c r="X1053" s="21"/>
    </row>
    <row r="1054" spans="24:24" customFormat="1" x14ac:dyDescent="0.2">
      <c r="X1054" s="21"/>
    </row>
    <row r="1055" spans="24:24" customFormat="1" x14ac:dyDescent="0.2">
      <c r="X1055" s="21"/>
    </row>
    <row r="1056" spans="24:24" customFormat="1" x14ac:dyDescent="0.2">
      <c r="X1056" s="21"/>
    </row>
    <row r="1057" spans="24:24" customFormat="1" x14ac:dyDescent="0.2">
      <c r="X1057" s="21"/>
    </row>
    <row r="1058" spans="24:24" customFormat="1" x14ac:dyDescent="0.2">
      <c r="X1058" s="21"/>
    </row>
    <row r="1059" spans="24:24" customFormat="1" x14ac:dyDescent="0.2">
      <c r="X1059" s="21"/>
    </row>
    <row r="1060" spans="24:24" customFormat="1" x14ac:dyDescent="0.2">
      <c r="X1060" s="21"/>
    </row>
    <row r="1061" spans="24:24" customFormat="1" x14ac:dyDescent="0.2">
      <c r="X1061" s="21"/>
    </row>
    <row r="1062" spans="24:24" customFormat="1" x14ac:dyDescent="0.2">
      <c r="X1062" s="21"/>
    </row>
    <row r="1063" spans="24:24" customFormat="1" x14ac:dyDescent="0.2">
      <c r="X1063" s="21"/>
    </row>
    <row r="1064" spans="24:24" customFormat="1" x14ac:dyDescent="0.2">
      <c r="X1064" s="21"/>
    </row>
    <row r="1065" spans="24:24" customFormat="1" x14ac:dyDescent="0.2">
      <c r="X1065" s="21"/>
    </row>
    <row r="1066" spans="24:24" customFormat="1" x14ac:dyDescent="0.2">
      <c r="X1066" s="21"/>
    </row>
    <row r="1067" spans="24:24" customFormat="1" x14ac:dyDescent="0.2">
      <c r="X1067" s="21"/>
    </row>
    <row r="1068" spans="24:24" customFormat="1" x14ac:dyDescent="0.2">
      <c r="X1068" s="21"/>
    </row>
    <row r="1069" spans="24:24" customFormat="1" x14ac:dyDescent="0.2">
      <c r="X1069" s="21"/>
    </row>
    <row r="1070" spans="24:24" customFormat="1" x14ac:dyDescent="0.2">
      <c r="X1070" s="21"/>
    </row>
    <row r="1071" spans="24:24" customFormat="1" x14ac:dyDescent="0.2">
      <c r="X1071" s="21"/>
    </row>
    <row r="1072" spans="24:24" customFormat="1" x14ac:dyDescent="0.2">
      <c r="X1072" s="21"/>
    </row>
    <row r="1073" spans="24:24" customFormat="1" x14ac:dyDescent="0.2">
      <c r="X1073" s="21"/>
    </row>
    <row r="1074" spans="24:24" customFormat="1" x14ac:dyDescent="0.2">
      <c r="X1074" s="21"/>
    </row>
    <row r="1075" spans="24:24" customFormat="1" x14ac:dyDescent="0.2">
      <c r="X1075" s="21"/>
    </row>
    <row r="1076" spans="24:24" customFormat="1" x14ac:dyDescent="0.2">
      <c r="X1076" s="21"/>
    </row>
    <row r="1077" spans="24:24" customFormat="1" x14ac:dyDescent="0.2">
      <c r="X1077" s="21"/>
    </row>
    <row r="1078" spans="24:24" customFormat="1" x14ac:dyDescent="0.2">
      <c r="X1078" s="21"/>
    </row>
    <row r="1079" spans="24:24" customFormat="1" x14ac:dyDescent="0.2">
      <c r="X1079" s="21"/>
    </row>
    <row r="1080" spans="24:24" customFormat="1" x14ac:dyDescent="0.2">
      <c r="X1080" s="21"/>
    </row>
    <row r="1081" spans="24:24" customFormat="1" x14ac:dyDescent="0.2">
      <c r="X1081" s="21"/>
    </row>
    <row r="1082" spans="24:24" customFormat="1" x14ac:dyDescent="0.2">
      <c r="X1082" s="21"/>
    </row>
    <row r="1083" spans="24:24" customFormat="1" x14ac:dyDescent="0.2">
      <c r="X1083" s="21"/>
    </row>
    <row r="1084" spans="24:24" customFormat="1" x14ac:dyDescent="0.2">
      <c r="X1084" s="21"/>
    </row>
    <row r="1085" spans="24:24" customFormat="1" x14ac:dyDescent="0.2">
      <c r="X1085" s="21"/>
    </row>
    <row r="1086" spans="24:24" customFormat="1" x14ac:dyDescent="0.2">
      <c r="X1086" s="21"/>
    </row>
    <row r="1087" spans="24:24" customFormat="1" x14ac:dyDescent="0.2">
      <c r="X1087" s="21"/>
    </row>
    <row r="1088" spans="24:24" customFormat="1" x14ac:dyDescent="0.2">
      <c r="X1088" s="21"/>
    </row>
    <row r="1089" spans="24:24" customFormat="1" x14ac:dyDescent="0.2">
      <c r="X1089" s="21"/>
    </row>
    <row r="1090" spans="24:24" customFormat="1" x14ac:dyDescent="0.2">
      <c r="X1090" s="21"/>
    </row>
    <row r="1091" spans="24:24" customFormat="1" x14ac:dyDescent="0.2">
      <c r="X1091" s="21"/>
    </row>
    <row r="1092" spans="24:24" customFormat="1" x14ac:dyDescent="0.2">
      <c r="X1092" s="21"/>
    </row>
    <row r="1093" spans="24:24" customFormat="1" x14ac:dyDescent="0.2">
      <c r="X1093" s="21"/>
    </row>
    <row r="1094" spans="24:24" customFormat="1" x14ac:dyDescent="0.2">
      <c r="X1094" s="21"/>
    </row>
    <row r="1095" spans="24:24" customFormat="1" x14ac:dyDescent="0.2">
      <c r="X1095" s="21"/>
    </row>
    <row r="1096" spans="24:24" customFormat="1" x14ac:dyDescent="0.2">
      <c r="X1096" s="21"/>
    </row>
    <row r="1097" spans="24:24" customFormat="1" x14ac:dyDescent="0.2">
      <c r="X1097" s="21"/>
    </row>
    <row r="1098" spans="24:24" customFormat="1" x14ac:dyDescent="0.2">
      <c r="X1098" s="21"/>
    </row>
    <row r="1099" spans="24:24" customFormat="1" x14ac:dyDescent="0.2">
      <c r="X1099" s="21"/>
    </row>
    <row r="1100" spans="24:24" customFormat="1" x14ac:dyDescent="0.2">
      <c r="X1100" s="21"/>
    </row>
    <row r="1101" spans="24:24" customFormat="1" x14ac:dyDescent="0.2">
      <c r="X1101" s="21"/>
    </row>
    <row r="1102" spans="24:24" customFormat="1" x14ac:dyDescent="0.2">
      <c r="X1102" s="21"/>
    </row>
    <row r="1103" spans="24:24" customFormat="1" x14ac:dyDescent="0.2">
      <c r="X1103" s="21"/>
    </row>
    <row r="1104" spans="24:24" customFormat="1" x14ac:dyDescent="0.2">
      <c r="X1104" s="21"/>
    </row>
    <row r="1105" spans="24:24" customFormat="1" x14ac:dyDescent="0.2">
      <c r="X1105" s="21"/>
    </row>
    <row r="1106" spans="24:24" customFormat="1" x14ac:dyDescent="0.2">
      <c r="X1106" s="21"/>
    </row>
    <row r="1107" spans="24:24" customFormat="1" x14ac:dyDescent="0.2">
      <c r="X1107" s="21"/>
    </row>
    <row r="1108" spans="24:24" customFormat="1" x14ac:dyDescent="0.2">
      <c r="X1108" s="21"/>
    </row>
    <row r="1109" spans="24:24" customFormat="1" x14ac:dyDescent="0.2">
      <c r="X1109" s="21"/>
    </row>
    <row r="1110" spans="24:24" customFormat="1" x14ac:dyDescent="0.2">
      <c r="X1110" s="21"/>
    </row>
    <row r="1111" spans="24:24" customFormat="1" x14ac:dyDescent="0.2">
      <c r="X1111" s="21"/>
    </row>
    <row r="1112" spans="24:24" customFormat="1" x14ac:dyDescent="0.2">
      <c r="X1112" s="21"/>
    </row>
    <row r="1113" spans="24:24" customFormat="1" x14ac:dyDescent="0.2">
      <c r="X1113" s="21"/>
    </row>
    <row r="1114" spans="24:24" customFormat="1" x14ac:dyDescent="0.2">
      <c r="X1114" s="21"/>
    </row>
    <row r="1115" spans="24:24" customFormat="1" x14ac:dyDescent="0.2">
      <c r="X1115" s="21"/>
    </row>
    <row r="1116" spans="24:24" customFormat="1" x14ac:dyDescent="0.2">
      <c r="X1116" s="21"/>
    </row>
    <row r="1117" spans="24:24" customFormat="1" x14ac:dyDescent="0.2">
      <c r="X1117" s="21"/>
    </row>
    <row r="1118" spans="24:24" customFormat="1" x14ac:dyDescent="0.2">
      <c r="X1118" s="21"/>
    </row>
    <row r="1119" spans="24:24" customFormat="1" x14ac:dyDescent="0.2">
      <c r="X1119" s="21"/>
    </row>
    <row r="1120" spans="24:24" customFormat="1" x14ac:dyDescent="0.2">
      <c r="X1120" s="21"/>
    </row>
    <row r="1121" spans="24:24" customFormat="1" x14ac:dyDescent="0.2">
      <c r="X1121" s="21"/>
    </row>
    <row r="1122" spans="24:24" customFormat="1" x14ac:dyDescent="0.2">
      <c r="X1122" s="21"/>
    </row>
    <row r="1123" spans="24:24" customFormat="1" x14ac:dyDescent="0.2">
      <c r="X1123" s="21"/>
    </row>
    <row r="1124" spans="24:24" customFormat="1" x14ac:dyDescent="0.2">
      <c r="X1124" s="21"/>
    </row>
    <row r="1125" spans="24:24" customFormat="1" x14ac:dyDescent="0.2">
      <c r="X1125" s="21"/>
    </row>
    <row r="1126" spans="24:24" customFormat="1" x14ac:dyDescent="0.2">
      <c r="X1126" s="21"/>
    </row>
    <row r="1127" spans="24:24" customFormat="1" x14ac:dyDescent="0.2">
      <c r="X1127" s="21"/>
    </row>
    <row r="1128" spans="24:24" customFormat="1" x14ac:dyDescent="0.2">
      <c r="X1128" s="21"/>
    </row>
    <row r="1129" spans="24:24" customFormat="1" x14ac:dyDescent="0.2">
      <c r="X1129" s="21"/>
    </row>
    <row r="1130" spans="24:24" customFormat="1" x14ac:dyDescent="0.2">
      <c r="X1130" s="21"/>
    </row>
    <row r="1131" spans="24:24" customFormat="1" x14ac:dyDescent="0.2">
      <c r="X1131" s="21"/>
    </row>
    <row r="1132" spans="24:24" customFormat="1" x14ac:dyDescent="0.2">
      <c r="X1132" s="21"/>
    </row>
    <row r="1133" spans="24:24" customFormat="1" x14ac:dyDescent="0.2">
      <c r="X1133" s="21"/>
    </row>
    <row r="1134" spans="24:24" customFormat="1" x14ac:dyDescent="0.2">
      <c r="X1134" s="21"/>
    </row>
    <row r="1135" spans="24:24" customFormat="1" x14ac:dyDescent="0.2">
      <c r="X1135" s="21"/>
    </row>
    <row r="1136" spans="24:24" customFormat="1" x14ac:dyDescent="0.2">
      <c r="X1136" s="21"/>
    </row>
    <row r="1137" spans="24:24" customFormat="1" x14ac:dyDescent="0.2">
      <c r="X1137" s="21"/>
    </row>
    <row r="1138" spans="24:24" customFormat="1" x14ac:dyDescent="0.2">
      <c r="X1138" s="21"/>
    </row>
    <row r="1139" spans="24:24" customFormat="1" x14ac:dyDescent="0.2">
      <c r="X1139" s="21"/>
    </row>
    <row r="1140" spans="24:24" customFormat="1" x14ac:dyDescent="0.2">
      <c r="X1140" s="21"/>
    </row>
    <row r="1141" spans="24:24" customFormat="1" x14ac:dyDescent="0.2">
      <c r="X1141" s="21"/>
    </row>
    <row r="1142" spans="24:24" customFormat="1" x14ac:dyDescent="0.2">
      <c r="X1142" s="21"/>
    </row>
    <row r="1143" spans="24:24" customFormat="1" x14ac:dyDescent="0.2">
      <c r="X1143" s="21"/>
    </row>
    <row r="1144" spans="24:24" customFormat="1" x14ac:dyDescent="0.2">
      <c r="X1144" s="21"/>
    </row>
    <row r="1145" spans="24:24" customFormat="1" x14ac:dyDescent="0.2">
      <c r="X1145" s="21"/>
    </row>
    <row r="1146" spans="24:24" customFormat="1" x14ac:dyDescent="0.2">
      <c r="X1146" s="21"/>
    </row>
    <row r="1147" spans="24:24" customFormat="1" x14ac:dyDescent="0.2">
      <c r="X1147" s="21"/>
    </row>
    <row r="1148" spans="24:24" customFormat="1" x14ac:dyDescent="0.2">
      <c r="X1148" s="21"/>
    </row>
    <row r="1149" spans="24:24" customFormat="1" x14ac:dyDescent="0.2">
      <c r="X1149" s="21"/>
    </row>
    <row r="1150" spans="24:24" customFormat="1" x14ac:dyDescent="0.2">
      <c r="X1150" s="21"/>
    </row>
    <row r="1151" spans="24:24" customFormat="1" x14ac:dyDescent="0.2">
      <c r="X1151" s="21"/>
    </row>
    <row r="1152" spans="24:24" customFormat="1" x14ac:dyDescent="0.2">
      <c r="X1152" s="21"/>
    </row>
    <row r="1153" spans="24:24" customFormat="1" x14ac:dyDescent="0.2">
      <c r="X1153" s="21"/>
    </row>
    <row r="1154" spans="24:24" customFormat="1" x14ac:dyDescent="0.2">
      <c r="X1154" s="21"/>
    </row>
    <row r="1155" spans="24:24" customFormat="1" x14ac:dyDescent="0.2">
      <c r="X1155" s="21"/>
    </row>
    <row r="1156" spans="24:24" customFormat="1" x14ac:dyDescent="0.2">
      <c r="X1156" s="21"/>
    </row>
    <row r="1157" spans="24:24" customFormat="1" x14ac:dyDescent="0.2">
      <c r="X1157" s="21"/>
    </row>
    <row r="1158" spans="24:24" customFormat="1" x14ac:dyDescent="0.2">
      <c r="X1158" s="21"/>
    </row>
    <row r="1159" spans="24:24" customFormat="1" x14ac:dyDescent="0.2">
      <c r="X1159" s="21"/>
    </row>
    <row r="1160" spans="24:24" customFormat="1" x14ac:dyDescent="0.2">
      <c r="X1160" s="21"/>
    </row>
    <row r="1161" spans="24:24" customFormat="1" x14ac:dyDescent="0.2">
      <c r="X1161" s="21"/>
    </row>
    <row r="1162" spans="24:24" customFormat="1" x14ac:dyDescent="0.2">
      <c r="X1162" s="21"/>
    </row>
    <row r="1163" spans="24:24" customFormat="1" x14ac:dyDescent="0.2">
      <c r="X1163" s="21"/>
    </row>
    <row r="1164" spans="24:24" customFormat="1" x14ac:dyDescent="0.2">
      <c r="X1164" s="21"/>
    </row>
    <row r="1165" spans="24:24" customFormat="1" x14ac:dyDescent="0.2">
      <c r="X1165" s="21"/>
    </row>
    <row r="1166" spans="24:24" customFormat="1" x14ac:dyDescent="0.2">
      <c r="X1166" s="21"/>
    </row>
    <row r="1167" spans="24:24" customFormat="1" x14ac:dyDescent="0.2">
      <c r="X1167" s="21"/>
    </row>
    <row r="1168" spans="24:24" customFormat="1" x14ac:dyDescent="0.2">
      <c r="X1168" s="21"/>
    </row>
    <row r="1169" spans="24:24" customFormat="1" x14ac:dyDescent="0.2">
      <c r="X1169" s="21"/>
    </row>
    <row r="1170" spans="24:24" customFormat="1" x14ac:dyDescent="0.2">
      <c r="X1170" s="21"/>
    </row>
    <row r="1171" spans="24:24" customFormat="1" x14ac:dyDescent="0.2">
      <c r="X1171" s="21"/>
    </row>
    <row r="1172" spans="24:24" customFormat="1" x14ac:dyDescent="0.2">
      <c r="X1172" s="21"/>
    </row>
    <row r="1173" spans="24:24" customFormat="1" x14ac:dyDescent="0.2">
      <c r="X1173" s="21"/>
    </row>
    <row r="1174" spans="24:24" customFormat="1" x14ac:dyDescent="0.2">
      <c r="X1174" s="21"/>
    </row>
  </sheetData>
  <autoFilter ref="A1:X1016" xr:uid="{9F62C025-6786-B145-9488-1696ECD42CB5}"/>
  <conditionalFormatting sqref="E215">
    <cfRule type="notContainsBlanks" dxfId="182" priority="1">
      <formula>LEN(TRIM(E215))&gt;0</formula>
    </cfRule>
  </conditionalFormatting>
  <hyperlinks>
    <hyperlink ref="F903" r:id="rId1" display="animal.clinic.ua" xr:uid="{A21A0C30-B00B-AE40-9923-203E26677CE4}"/>
    <hyperlink ref="F901" r:id="rId2" display="diana.lashes.kh" xr:uid="{520A1050-03DC-D54F-868A-8FCCC57A57A9}"/>
    <hyperlink ref="F865" r:id="rId3" display="animal.clinic.ua" xr:uid="{26D3A930-A91F-5249-B394-ACFE86011EDF}"/>
    <hyperlink ref="F863" r:id="rId4" display="diana.lashes.kh" xr:uid="{5FBDE2B7-1E3A-F34E-BB58-66C825E30094}"/>
    <hyperlink ref="F391" r:id="rId5" display="animal.clinic.ua" xr:uid="{A73FE878-2EB2-394E-BF04-7E7C33E4176E}"/>
    <hyperlink ref="F389" r:id="rId6" display="diana.lashes.kh" xr:uid="{D3796C8E-C405-E24F-A45D-B2A828B673B9}"/>
    <hyperlink ref="F344" r:id="rId7" display="animal.clinic.ua" xr:uid="{980F6C94-1BB2-CD42-B33D-7FDEEC512B6F}"/>
    <hyperlink ref="F342" r:id="rId8" display="diana.lashes.kh" xr:uid="{F89C41BF-E093-C54A-AB8E-B9ABDD53F8A5}"/>
    <hyperlink ref="D675" r:id="rId9" xr:uid="{663DAFCC-5EBA-8449-89C3-F22A898DED9E}"/>
    <hyperlink ref="D630" r:id="rId10" display="cheers.st" xr:uid="{8840E776-D7E9-0141-9661-942D406A3576}"/>
    <hyperlink ref="F306" r:id="rId11" display="animal.clinic.ua" xr:uid="{F511B7FB-8A2A-D24B-9511-9DE9E95D517A}"/>
    <hyperlink ref="F304" r:id="rId12" display="diana.lashes.kh" xr:uid="{954B6C36-1C7F-B14B-9799-43FC0F8CEBB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49511-33E9-0D44-9E9F-13DF278D1EB3}">
  <dimension ref="A3:B62"/>
  <sheetViews>
    <sheetView topLeftCell="A30" workbookViewId="0">
      <selection activeCell="A44" sqref="A44"/>
    </sheetView>
  </sheetViews>
  <sheetFormatPr baseColWidth="10" defaultRowHeight="15" x14ac:dyDescent="0.2"/>
  <cols>
    <col min="1" max="1" width="12.1640625" bestFit="1" customWidth="1"/>
    <col min="2" max="2" width="11" bestFit="1" customWidth="1"/>
    <col min="3" max="4" width="10.1640625" bestFit="1" customWidth="1"/>
    <col min="5" max="5" width="12.1640625" bestFit="1" customWidth="1"/>
    <col min="6" max="6" width="10.1640625" bestFit="1" customWidth="1"/>
    <col min="7" max="7" width="14.33203125" bestFit="1" customWidth="1"/>
    <col min="8" max="8" width="10.1640625" bestFit="1" customWidth="1"/>
    <col min="9" max="9" width="8.6640625" bestFit="1" customWidth="1"/>
    <col min="10" max="11" width="10.1640625" bestFit="1" customWidth="1"/>
    <col min="12" max="13" width="9.33203125" bestFit="1" customWidth="1"/>
    <col min="14" max="14" width="10.1640625" bestFit="1" customWidth="1"/>
    <col min="15" max="15" width="11" bestFit="1" customWidth="1"/>
    <col min="16" max="16" width="9.6640625" bestFit="1" customWidth="1"/>
    <col min="17" max="17" width="11" bestFit="1" customWidth="1"/>
    <col min="18" max="18" width="9.83203125" bestFit="1" customWidth="1"/>
    <col min="19" max="19" width="11" bestFit="1" customWidth="1"/>
    <col min="20" max="20" width="9.6640625" bestFit="1" customWidth="1"/>
    <col min="21" max="21" width="11" bestFit="1" customWidth="1"/>
    <col min="22" max="22" width="9.6640625" bestFit="1" customWidth="1"/>
    <col min="23" max="23" width="11" bestFit="1" customWidth="1"/>
    <col min="24" max="24" width="9.6640625" bestFit="1" customWidth="1"/>
    <col min="25" max="25" width="11" bestFit="1" customWidth="1"/>
    <col min="26" max="26" width="13.83203125" bestFit="1" customWidth="1"/>
    <col min="27" max="27" width="15.1640625" bestFit="1" customWidth="1"/>
  </cols>
  <sheetData>
    <row r="3" spans="1:2" x14ac:dyDescent="0.2">
      <c r="A3" s="82" t="s">
        <v>2784</v>
      </c>
      <c r="B3" t="s">
        <v>2787</v>
      </c>
    </row>
    <row r="4" spans="1:2" x14ac:dyDescent="0.2">
      <c r="A4" s="78" t="s">
        <v>2024</v>
      </c>
      <c r="B4" s="84">
        <v>815917.5</v>
      </c>
    </row>
    <row r="5" spans="1:2" x14ac:dyDescent="0.2">
      <c r="A5" s="78" t="s">
        <v>2020</v>
      </c>
      <c r="B5" s="84">
        <v>443158</v>
      </c>
    </row>
    <row r="6" spans="1:2" x14ac:dyDescent="0.2">
      <c r="A6" s="78" t="s">
        <v>2016</v>
      </c>
      <c r="B6" s="84">
        <v>1347731</v>
      </c>
    </row>
    <row r="7" spans="1:2" x14ac:dyDescent="0.2">
      <c r="A7" s="78" t="s">
        <v>2014</v>
      </c>
      <c r="B7" s="84">
        <v>1472832</v>
      </c>
    </row>
    <row r="8" spans="1:2" x14ac:dyDescent="0.2">
      <c r="A8" s="78" t="s">
        <v>2828</v>
      </c>
      <c r="B8" s="84">
        <v>497454</v>
      </c>
    </row>
    <row r="9" spans="1:2" x14ac:dyDescent="0.2">
      <c r="A9" s="78" t="s">
        <v>2785</v>
      </c>
      <c r="B9" s="84">
        <v>4577092.5</v>
      </c>
    </row>
    <row r="27" spans="1:2" x14ac:dyDescent="0.2">
      <c r="A27" s="82" t="s">
        <v>2784</v>
      </c>
      <c r="B27" t="s">
        <v>2787</v>
      </c>
    </row>
    <row r="28" spans="1:2" x14ac:dyDescent="0.2">
      <c r="A28" s="78" t="s">
        <v>2826</v>
      </c>
      <c r="B28" s="84">
        <v>1954546</v>
      </c>
    </row>
    <row r="29" spans="1:2" x14ac:dyDescent="0.2">
      <c r="A29" s="83" t="s">
        <v>2788</v>
      </c>
      <c r="B29" s="84">
        <v>1039173</v>
      </c>
    </row>
    <row r="30" spans="1:2" x14ac:dyDescent="0.2">
      <c r="A30" s="83" t="s">
        <v>2789</v>
      </c>
      <c r="B30" s="84">
        <v>915373</v>
      </c>
    </row>
    <row r="31" spans="1:2" x14ac:dyDescent="0.2">
      <c r="A31" s="78" t="s">
        <v>2825</v>
      </c>
      <c r="B31" s="84">
        <v>1176805</v>
      </c>
    </row>
    <row r="32" spans="1:2" x14ac:dyDescent="0.2">
      <c r="A32" s="83" t="s">
        <v>2788</v>
      </c>
      <c r="B32" s="84">
        <v>686643</v>
      </c>
    </row>
    <row r="33" spans="1:2" x14ac:dyDescent="0.2">
      <c r="A33" s="83" t="s">
        <v>2789</v>
      </c>
      <c r="B33" s="84">
        <v>490162</v>
      </c>
    </row>
    <row r="34" spans="1:2" x14ac:dyDescent="0.2">
      <c r="A34" s="78" t="s">
        <v>2824</v>
      </c>
      <c r="B34" s="84">
        <v>1445741.5</v>
      </c>
    </row>
    <row r="35" spans="1:2" x14ac:dyDescent="0.2">
      <c r="A35" s="83" t="s">
        <v>2788</v>
      </c>
      <c r="B35" s="84">
        <v>834956</v>
      </c>
    </row>
    <row r="36" spans="1:2" x14ac:dyDescent="0.2">
      <c r="A36" s="83" t="s">
        <v>2789</v>
      </c>
      <c r="B36" s="84">
        <v>610785.5</v>
      </c>
    </row>
    <row r="37" spans="1:2" x14ac:dyDescent="0.2">
      <c r="A37" s="78" t="s">
        <v>2785</v>
      </c>
      <c r="B37" s="84">
        <v>4577092.5</v>
      </c>
    </row>
    <row r="47" spans="1:2" x14ac:dyDescent="0.2">
      <c r="A47" s="82" t="s">
        <v>829</v>
      </c>
      <c r="B47" t="s">
        <v>2829</v>
      </c>
    </row>
    <row r="49" spans="1:2" x14ac:dyDescent="0.2">
      <c r="A49" s="82" t="s">
        <v>2784</v>
      </c>
      <c r="B49" t="s">
        <v>2787</v>
      </c>
    </row>
    <row r="50" spans="1:2" x14ac:dyDescent="0.2">
      <c r="A50" s="78" t="s">
        <v>2818</v>
      </c>
      <c r="B50" s="84">
        <v>408631.5</v>
      </c>
    </row>
    <row r="51" spans="1:2" x14ac:dyDescent="0.2">
      <c r="A51" s="78" t="s">
        <v>2817</v>
      </c>
      <c r="B51" s="84">
        <v>400836</v>
      </c>
    </row>
    <row r="52" spans="1:2" x14ac:dyDescent="0.2">
      <c r="A52" s="78" t="s">
        <v>2816</v>
      </c>
      <c r="B52" s="84">
        <v>468395</v>
      </c>
    </row>
    <row r="53" spans="1:2" x14ac:dyDescent="0.2">
      <c r="A53" s="78" t="s">
        <v>2815</v>
      </c>
      <c r="B53" s="84">
        <v>316769</v>
      </c>
    </row>
    <row r="54" spans="1:2" x14ac:dyDescent="0.2">
      <c r="A54" s="78" t="s">
        <v>2786</v>
      </c>
      <c r="B54" s="84">
        <v>370617</v>
      </c>
    </row>
    <row r="55" spans="1:2" x14ac:dyDescent="0.2">
      <c r="A55" s="78" t="s">
        <v>2814</v>
      </c>
      <c r="B55" s="84">
        <v>405114</v>
      </c>
    </row>
    <row r="56" spans="1:2" x14ac:dyDescent="0.2">
      <c r="A56" s="78" t="s">
        <v>2813</v>
      </c>
      <c r="B56" s="84">
        <v>459260</v>
      </c>
    </row>
    <row r="57" spans="1:2" x14ac:dyDescent="0.2">
      <c r="A57" s="78" t="s">
        <v>2819</v>
      </c>
      <c r="B57" s="84">
        <v>361280</v>
      </c>
    </row>
    <row r="58" spans="1:2" x14ac:dyDescent="0.2">
      <c r="A58" s="78" t="s">
        <v>2820</v>
      </c>
      <c r="B58" s="84">
        <v>375790</v>
      </c>
    </row>
    <row r="59" spans="1:2" x14ac:dyDescent="0.2">
      <c r="A59" s="78" t="s">
        <v>2821</v>
      </c>
      <c r="B59" s="84">
        <v>325739</v>
      </c>
    </row>
    <row r="60" spans="1:2" x14ac:dyDescent="0.2">
      <c r="A60" s="78" t="s">
        <v>2823</v>
      </c>
      <c r="B60" s="84">
        <v>365444</v>
      </c>
    </row>
    <row r="61" spans="1:2" x14ac:dyDescent="0.2">
      <c r="A61" s="78" t="s">
        <v>2822</v>
      </c>
      <c r="B61" s="84">
        <v>319217</v>
      </c>
    </row>
    <row r="62" spans="1:2" x14ac:dyDescent="0.2">
      <c r="A62" s="78" t="s">
        <v>2785</v>
      </c>
      <c r="B62" s="84">
        <v>4577092.5</v>
      </c>
    </row>
  </sheetData>
  <sortState xmlns:xlrd2="http://schemas.microsoft.com/office/spreadsheetml/2017/richdata2" ref="A27:B31">
    <sortCondition descending="1" ref="A28"/>
  </sortState>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A9C52-7247-284D-A813-1330DA07CC40}">
  <dimension ref="A1:AB72"/>
  <sheetViews>
    <sheetView tabSelected="1" zoomScale="80" zoomScaleNormal="80" workbookViewId="0">
      <selection activeCell="T3" sqref="T3"/>
    </sheetView>
  </sheetViews>
  <sheetFormatPr baseColWidth="10" defaultRowHeight="15" x14ac:dyDescent="0.2"/>
  <cols>
    <col min="9" max="9" width="10.83203125" customWidth="1"/>
  </cols>
  <sheetData>
    <row r="1" spans="1:28" ht="11" customHeight="1" x14ac:dyDescent="0.2">
      <c r="A1" s="86"/>
      <c r="B1" s="86"/>
      <c r="C1" s="86"/>
      <c r="D1" s="86"/>
      <c r="E1" s="86"/>
      <c r="F1" s="86"/>
      <c r="G1" s="86"/>
      <c r="H1" s="86"/>
      <c r="I1" s="86"/>
      <c r="J1" s="86"/>
      <c r="K1" s="86"/>
      <c r="L1" s="86"/>
      <c r="M1" s="86"/>
      <c r="N1" s="86"/>
      <c r="O1" s="86"/>
      <c r="P1" s="86"/>
      <c r="Q1" s="86"/>
      <c r="R1" s="86"/>
      <c r="S1" s="86"/>
      <c r="T1" s="86"/>
      <c r="U1" s="86"/>
      <c r="V1" s="89"/>
      <c r="W1" s="89"/>
      <c r="X1" s="89"/>
      <c r="Y1" s="89"/>
      <c r="Z1" s="89"/>
      <c r="AA1" s="89"/>
      <c r="AB1" s="89"/>
    </row>
    <row r="2" spans="1:28" x14ac:dyDescent="0.2">
      <c r="A2" s="86"/>
      <c r="B2" s="86"/>
      <c r="C2" s="86"/>
      <c r="D2" s="86"/>
      <c r="E2" s="86"/>
      <c r="F2" s="86"/>
      <c r="G2" s="86"/>
      <c r="H2" s="86"/>
      <c r="I2" s="86"/>
      <c r="J2" s="86"/>
      <c r="K2" s="86"/>
      <c r="L2" s="86"/>
      <c r="M2" s="86"/>
      <c r="N2" s="86"/>
      <c r="O2" s="86"/>
      <c r="P2" s="86"/>
      <c r="Q2" s="86"/>
      <c r="R2" s="86"/>
      <c r="S2" s="86"/>
      <c r="T2" s="86"/>
      <c r="U2" s="86"/>
      <c r="V2" s="89"/>
      <c r="W2" s="89"/>
      <c r="X2" s="89"/>
      <c r="Y2" s="89"/>
      <c r="Z2" s="89"/>
      <c r="AA2" s="89"/>
      <c r="AB2" s="89"/>
    </row>
    <row r="3" spans="1:28" ht="92" x14ac:dyDescent="1">
      <c r="A3" s="86"/>
      <c r="B3" s="86"/>
      <c r="C3" s="86"/>
      <c r="D3" s="86"/>
      <c r="E3" s="86"/>
      <c r="F3" s="88"/>
      <c r="G3" s="86"/>
      <c r="H3" s="86"/>
      <c r="I3" s="88" t="s">
        <v>2827</v>
      </c>
      <c r="J3" s="86"/>
      <c r="K3" s="86"/>
      <c r="L3" s="86"/>
      <c r="M3" s="86"/>
      <c r="N3" s="86"/>
      <c r="O3" s="86"/>
      <c r="P3" s="86"/>
      <c r="Q3" s="86"/>
      <c r="R3" s="86"/>
      <c r="S3" s="86"/>
      <c r="T3" s="86"/>
      <c r="U3" s="86"/>
      <c r="V3" s="89"/>
      <c r="W3" s="89"/>
      <c r="X3" s="89"/>
      <c r="Y3" s="89"/>
      <c r="Z3" s="89"/>
      <c r="AA3" s="89"/>
      <c r="AB3" s="89"/>
    </row>
    <row r="4" spans="1:28" x14ac:dyDescent="0.2">
      <c r="A4" s="86"/>
      <c r="B4" s="86"/>
      <c r="C4" s="86"/>
      <c r="D4" s="86"/>
      <c r="E4" s="86"/>
      <c r="F4" s="86"/>
      <c r="G4" s="86"/>
      <c r="H4" s="86"/>
      <c r="I4" s="86"/>
      <c r="J4" s="86"/>
      <c r="K4" s="86"/>
      <c r="L4" s="86"/>
      <c r="M4" s="86"/>
      <c r="N4" s="86"/>
      <c r="O4" s="86"/>
      <c r="P4" s="86"/>
      <c r="Q4" s="86"/>
      <c r="R4" s="86"/>
      <c r="S4" s="86"/>
      <c r="T4" s="86"/>
      <c r="U4" s="86"/>
      <c r="V4" s="89"/>
      <c r="W4" s="89"/>
      <c r="X4" s="89"/>
      <c r="Y4" s="89"/>
      <c r="Z4" s="89"/>
      <c r="AA4" s="89"/>
      <c r="AB4" s="89"/>
    </row>
    <row r="5" spans="1:28" x14ac:dyDescent="0.2">
      <c r="A5" s="86"/>
      <c r="B5" s="86"/>
      <c r="C5" s="86"/>
      <c r="D5" s="86"/>
      <c r="E5" s="86"/>
      <c r="F5" s="86"/>
      <c r="G5" s="86"/>
      <c r="H5" s="86"/>
      <c r="I5" s="86"/>
      <c r="J5" s="86"/>
      <c r="K5" s="86"/>
      <c r="L5" s="86"/>
      <c r="M5" s="86"/>
      <c r="N5" s="86"/>
      <c r="O5" s="86"/>
      <c r="P5" s="86"/>
      <c r="Q5" s="86"/>
      <c r="R5" s="86"/>
      <c r="S5" s="86"/>
      <c r="T5" s="86"/>
      <c r="U5" s="86"/>
      <c r="V5" s="89"/>
      <c r="W5" s="89"/>
      <c r="X5" s="89"/>
      <c r="Y5" s="89"/>
      <c r="Z5" s="89"/>
      <c r="AA5" s="89"/>
      <c r="AB5" s="89"/>
    </row>
    <row r="6" spans="1:28" x14ac:dyDescent="0.2">
      <c r="A6" s="86"/>
      <c r="B6" s="86"/>
      <c r="C6" s="86"/>
      <c r="D6" s="86"/>
      <c r="E6" s="86"/>
      <c r="F6" s="87"/>
      <c r="G6" s="86"/>
      <c r="H6" s="86"/>
      <c r="I6" s="86"/>
      <c r="J6" s="86"/>
      <c r="K6" s="86"/>
      <c r="L6" s="86"/>
      <c r="M6" s="86"/>
      <c r="N6" s="86"/>
      <c r="O6" s="86"/>
      <c r="P6" s="86"/>
      <c r="Q6" s="86"/>
      <c r="R6" s="86"/>
      <c r="S6" s="86"/>
      <c r="T6" s="86"/>
      <c r="U6" s="86"/>
      <c r="V6" s="89"/>
      <c r="W6" s="89"/>
      <c r="X6" s="89"/>
      <c r="Y6" s="89"/>
      <c r="Z6" s="89"/>
      <c r="AA6" s="89"/>
      <c r="AB6" s="89"/>
    </row>
    <row r="7" spans="1:28" x14ac:dyDescent="0.2">
      <c r="A7" s="89"/>
      <c r="B7" s="89"/>
      <c r="C7" s="89"/>
      <c r="D7" s="85"/>
      <c r="E7" s="85"/>
      <c r="F7" s="85"/>
      <c r="G7" s="85"/>
      <c r="H7" s="85"/>
      <c r="I7" s="85"/>
      <c r="J7" s="85"/>
      <c r="K7" s="85"/>
      <c r="L7" s="85"/>
      <c r="M7" s="85"/>
      <c r="N7" s="85"/>
      <c r="O7" s="85"/>
      <c r="P7" s="85"/>
      <c r="Q7" s="85"/>
      <c r="R7" s="85"/>
      <c r="S7" s="85"/>
      <c r="T7" s="85"/>
      <c r="U7" s="85"/>
      <c r="V7" s="85"/>
      <c r="W7" s="85"/>
      <c r="X7" s="85"/>
      <c r="Y7" s="89"/>
      <c r="Z7" s="89"/>
      <c r="AA7" s="89"/>
      <c r="AB7" s="89"/>
    </row>
    <row r="8" spans="1:28" x14ac:dyDescent="0.2">
      <c r="A8" s="89"/>
      <c r="B8" s="89"/>
      <c r="C8" s="89"/>
      <c r="D8" s="85"/>
      <c r="E8" s="85"/>
      <c r="F8" s="85"/>
      <c r="G8" s="85"/>
      <c r="H8" s="85"/>
      <c r="I8" s="85"/>
      <c r="J8" s="85"/>
      <c r="K8" s="85"/>
      <c r="L8" s="85"/>
      <c r="M8" s="85"/>
      <c r="N8" s="85"/>
      <c r="O8" s="85"/>
      <c r="P8" s="85"/>
      <c r="Q8" s="85"/>
      <c r="R8" s="85"/>
      <c r="S8" s="85"/>
      <c r="T8" s="85"/>
      <c r="U8" s="85"/>
      <c r="V8" s="85"/>
      <c r="W8" s="85"/>
      <c r="X8" s="85"/>
      <c r="Y8" s="89"/>
      <c r="Z8" s="89"/>
      <c r="AA8" s="89"/>
      <c r="AB8" s="89"/>
    </row>
    <row r="9" spans="1:28" x14ac:dyDescent="0.2">
      <c r="A9" s="89"/>
      <c r="B9" s="89"/>
      <c r="C9" s="89"/>
      <c r="D9" s="85"/>
      <c r="E9" s="85"/>
      <c r="F9" s="85"/>
      <c r="G9" s="85"/>
      <c r="H9" s="85"/>
      <c r="I9" s="85"/>
      <c r="J9" s="85"/>
      <c r="K9" s="85"/>
      <c r="L9" s="85"/>
      <c r="M9" s="85"/>
      <c r="N9" s="85"/>
      <c r="O9" s="85"/>
      <c r="P9" s="85"/>
      <c r="Q9" s="85"/>
      <c r="R9" s="85"/>
      <c r="S9" s="85"/>
      <c r="T9" s="85"/>
      <c r="U9" s="85"/>
      <c r="V9" s="85"/>
      <c r="W9" s="85"/>
      <c r="X9" s="85"/>
      <c r="Y9" s="89"/>
      <c r="Z9" s="89"/>
      <c r="AA9" s="89"/>
      <c r="AB9" s="89"/>
    </row>
    <row r="10" spans="1:28" x14ac:dyDescent="0.2">
      <c r="A10" s="89"/>
      <c r="B10" s="89"/>
      <c r="C10" s="89"/>
      <c r="D10" s="85"/>
      <c r="E10" s="85"/>
      <c r="F10" s="85"/>
      <c r="G10" s="85"/>
      <c r="H10" s="85"/>
      <c r="I10" s="85"/>
      <c r="J10" s="85"/>
      <c r="K10" s="85"/>
      <c r="L10" s="85"/>
      <c r="M10" s="85"/>
      <c r="N10" s="85"/>
      <c r="O10" s="85"/>
      <c r="P10" s="85"/>
      <c r="Q10" s="85"/>
      <c r="R10" s="85"/>
      <c r="S10" s="85"/>
      <c r="T10" s="85"/>
      <c r="U10" s="85"/>
      <c r="V10" s="85"/>
      <c r="W10" s="85"/>
      <c r="X10" s="85"/>
      <c r="Y10" s="89"/>
      <c r="Z10" s="89"/>
      <c r="AA10" s="89"/>
      <c r="AB10" s="89"/>
    </row>
    <row r="11" spans="1:28" x14ac:dyDescent="0.2">
      <c r="A11" s="89"/>
      <c r="B11" s="89"/>
      <c r="C11" s="89"/>
      <c r="D11" s="85"/>
      <c r="E11" s="85"/>
      <c r="F11" s="85"/>
      <c r="G11" s="85"/>
      <c r="H11" s="85"/>
      <c r="I11" s="85"/>
      <c r="J11" s="85"/>
      <c r="K11" s="85"/>
      <c r="L11" s="85"/>
      <c r="M11" s="85"/>
      <c r="N11" s="85"/>
      <c r="O11" s="85"/>
      <c r="P11" s="85"/>
      <c r="Q11" s="85"/>
      <c r="R11" s="85"/>
      <c r="S11" s="85"/>
      <c r="T11" s="85"/>
      <c r="U11" s="85"/>
      <c r="V11" s="85"/>
      <c r="W11" s="85"/>
      <c r="X11" s="85"/>
      <c r="Y11" s="89"/>
      <c r="Z11" s="89"/>
      <c r="AA11" s="89"/>
      <c r="AB11" s="89"/>
    </row>
    <row r="12" spans="1:28" x14ac:dyDescent="0.2">
      <c r="A12" s="89"/>
      <c r="B12" s="89"/>
      <c r="C12" s="89"/>
      <c r="D12" s="85"/>
      <c r="E12" s="85"/>
      <c r="F12" s="85"/>
      <c r="G12" s="85"/>
      <c r="H12" s="85"/>
      <c r="I12" s="85"/>
      <c r="J12" s="85"/>
      <c r="K12" s="85"/>
      <c r="L12" s="85"/>
      <c r="M12" s="85"/>
      <c r="N12" s="85"/>
      <c r="O12" s="85"/>
      <c r="P12" s="85"/>
      <c r="Q12" s="85"/>
      <c r="R12" s="85"/>
      <c r="S12" s="85"/>
      <c r="T12" s="85"/>
      <c r="U12" s="85"/>
      <c r="V12" s="85"/>
      <c r="W12" s="85"/>
      <c r="X12" s="85"/>
      <c r="Y12" s="89"/>
      <c r="Z12" s="89"/>
      <c r="AA12" s="89"/>
      <c r="AB12" s="89"/>
    </row>
    <row r="13" spans="1:28" x14ac:dyDescent="0.2">
      <c r="A13" s="89"/>
      <c r="B13" s="89"/>
      <c r="C13" s="89"/>
      <c r="D13" s="85"/>
      <c r="E13" s="85"/>
      <c r="F13" s="85"/>
      <c r="G13" s="85"/>
      <c r="H13" s="85"/>
      <c r="I13" s="85"/>
      <c r="J13" s="85"/>
      <c r="K13" s="85"/>
      <c r="L13" s="85"/>
      <c r="M13" s="85"/>
      <c r="N13" s="85"/>
      <c r="O13" s="85"/>
      <c r="P13" s="85"/>
      <c r="Q13" s="85"/>
      <c r="R13" s="85"/>
      <c r="S13" s="85"/>
      <c r="T13" s="85"/>
      <c r="U13" s="85"/>
      <c r="V13" s="85"/>
      <c r="W13" s="85"/>
      <c r="X13" s="85"/>
      <c r="Y13" s="89"/>
      <c r="Z13" s="89"/>
      <c r="AA13" s="89"/>
      <c r="AB13" s="89"/>
    </row>
    <row r="14" spans="1:28" x14ac:dyDescent="0.2">
      <c r="A14" s="89"/>
      <c r="B14" s="89"/>
      <c r="C14" s="89"/>
      <c r="D14" s="85"/>
      <c r="E14" s="85"/>
      <c r="F14" s="85"/>
      <c r="G14" s="85"/>
      <c r="H14" s="85"/>
      <c r="I14" s="85"/>
      <c r="J14" s="85"/>
      <c r="K14" s="85"/>
      <c r="L14" s="85"/>
      <c r="M14" s="85"/>
      <c r="N14" s="85"/>
      <c r="O14" s="85"/>
      <c r="P14" s="85"/>
      <c r="Q14" s="85"/>
      <c r="R14" s="85"/>
      <c r="S14" s="85"/>
      <c r="T14" s="85"/>
      <c r="U14" s="85"/>
      <c r="V14" s="85"/>
      <c r="W14" s="85"/>
      <c r="X14" s="85"/>
      <c r="Y14" s="89"/>
      <c r="Z14" s="89"/>
      <c r="AA14" s="89"/>
      <c r="AB14" s="89"/>
    </row>
    <row r="15" spans="1:28" x14ac:dyDescent="0.2">
      <c r="A15" s="89"/>
      <c r="B15" s="89"/>
      <c r="C15" s="89"/>
      <c r="D15" s="85"/>
      <c r="E15" s="85"/>
      <c r="F15" s="85"/>
      <c r="G15" s="85"/>
      <c r="H15" s="85"/>
      <c r="I15" s="85"/>
      <c r="J15" s="85"/>
      <c r="K15" s="85"/>
      <c r="L15" s="85"/>
      <c r="M15" s="85"/>
      <c r="N15" s="85"/>
      <c r="O15" s="85"/>
      <c r="P15" s="85"/>
      <c r="Q15" s="85"/>
      <c r="R15" s="85"/>
      <c r="S15" s="85"/>
      <c r="T15" s="85"/>
      <c r="U15" s="85"/>
      <c r="V15" s="85"/>
      <c r="W15" s="85"/>
      <c r="X15" s="85"/>
      <c r="Y15" s="89"/>
      <c r="Z15" s="89"/>
      <c r="AA15" s="89"/>
      <c r="AB15" s="89"/>
    </row>
    <row r="16" spans="1:28" x14ac:dyDescent="0.2">
      <c r="A16" s="89"/>
      <c r="B16" s="89"/>
      <c r="C16" s="89"/>
      <c r="D16" s="85"/>
      <c r="E16" s="85"/>
      <c r="F16" s="85"/>
      <c r="G16" s="85"/>
      <c r="H16" s="85"/>
      <c r="I16" s="85"/>
      <c r="J16" s="85"/>
      <c r="K16" s="85"/>
      <c r="L16" s="85"/>
      <c r="M16" s="85"/>
      <c r="N16" s="85"/>
      <c r="O16" s="85"/>
      <c r="P16" s="85"/>
      <c r="Q16" s="85"/>
      <c r="R16" s="85"/>
      <c r="S16" s="85"/>
      <c r="T16" s="85"/>
      <c r="U16" s="85"/>
      <c r="V16" s="85"/>
      <c r="W16" s="85"/>
      <c r="X16" s="85"/>
      <c r="Y16" s="89"/>
      <c r="Z16" s="89"/>
      <c r="AA16" s="89"/>
      <c r="AB16" s="89"/>
    </row>
    <row r="17" spans="1:28" x14ac:dyDescent="0.2">
      <c r="A17" s="89"/>
      <c r="B17" s="89"/>
      <c r="C17" s="89"/>
      <c r="D17" s="85"/>
      <c r="E17" s="85"/>
      <c r="F17" s="85"/>
      <c r="G17" s="85"/>
      <c r="H17" s="85"/>
      <c r="I17" s="85"/>
      <c r="J17" s="85"/>
      <c r="K17" s="85"/>
      <c r="L17" s="85"/>
      <c r="M17" s="85"/>
      <c r="N17" s="85"/>
      <c r="O17" s="85"/>
      <c r="P17" s="85"/>
      <c r="Q17" s="85"/>
      <c r="R17" s="85"/>
      <c r="S17" s="85"/>
      <c r="T17" s="85"/>
      <c r="U17" s="85"/>
      <c r="V17" s="85"/>
      <c r="W17" s="85"/>
      <c r="X17" s="85"/>
      <c r="Y17" s="89"/>
      <c r="Z17" s="89"/>
      <c r="AA17" s="89"/>
      <c r="AB17" s="89"/>
    </row>
    <row r="18" spans="1:28" x14ac:dyDescent="0.2">
      <c r="A18" s="89"/>
      <c r="B18" s="89"/>
      <c r="C18" s="89"/>
      <c r="D18" s="85"/>
      <c r="E18" s="85"/>
      <c r="F18" s="85"/>
      <c r="G18" s="85"/>
      <c r="H18" s="85"/>
      <c r="I18" s="85"/>
      <c r="J18" s="85"/>
      <c r="K18" s="85"/>
      <c r="L18" s="85"/>
      <c r="M18" s="85"/>
      <c r="N18" s="85"/>
      <c r="O18" s="85"/>
      <c r="P18" s="85"/>
      <c r="Q18" s="85"/>
      <c r="R18" s="85"/>
      <c r="S18" s="85"/>
      <c r="T18" s="85"/>
      <c r="U18" s="85"/>
      <c r="V18" s="85"/>
      <c r="W18" s="85"/>
      <c r="X18" s="85"/>
      <c r="Y18" s="89"/>
      <c r="Z18" s="89"/>
      <c r="AA18" s="89"/>
      <c r="AB18" s="89"/>
    </row>
    <row r="19" spans="1:28" x14ac:dyDescent="0.2">
      <c r="A19" s="89"/>
      <c r="B19" s="89"/>
      <c r="C19" s="89"/>
      <c r="D19" s="85"/>
      <c r="E19" s="85"/>
      <c r="F19" s="85"/>
      <c r="G19" s="85"/>
      <c r="H19" s="85"/>
      <c r="I19" s="85"/>
      <c r="J19" s="85"/>
      <c r="K19" s="85"/>
      <c r="L19" s="85"/>
      <c r="M19" s="85"/>
      <c r="N19" s="85"/>
      <c r="O19" s="85"/>
      <c r="P19" s="85"/>
      <c r="Q19" s="85"/>
      <c r="R19" s="85"/>
      <c r="S19" s="85"/>
      <c r="T19" s="85"/>
      <c r="U19" s="85"/>
      <c r="V19" s="85"/>
      <c r="W19" s="85"/>
      <c r="X19" s="85"/>
      <c r="Y19" s="89"/>
      <c r="Z19" s="89"/>
      <c r="AA19" s="89"/>
      <c r="AB19" s="89"/>
    </row>
    <row r="20" spans="1:28" x14ac:dyDescent="0.2">
      <c r="A20" s="89"/>
      <c r="B20" s="89"/>
      <c r="C20" s="89"/>
      <c r="D20" s="85"/>
      <c r="E20" s="85"/>
      <c r="F20" s="85"/>
      <c r="G20" s="85"/>
      <c r="H20" s="85"/>
      <c r="I20" s="85"/>
      <c r="J20" s="85"/>
      <c r="K20" s="85"/>
      <c r="L20" s="85"/>
      <c r="M20" s="85"/>
      <c r="N20" s="85"/>
      <c r="O20" s="85"/>
      <c r="P20" s="85"/>
      <c r="Q20" s="85"/>
      <c r="R20" s="85"/>
      <c r="S20" s="85"/>
      <c r="T20" s="85"/>
      <c r="U20" s="85"/>
      <c r="V20" s="85"/>
      <c r="W20" s="85"/>
      <c r="X20" s="85"/>
      <c r="Y20" s="89"/>
      <c r="Z20" s="89"/>
      <c r="AA20" s="89"/>
      <c r="AB20" s="89"/>
    </row>
    <row r="21" spans="1:28" x14ac:dyDescent="0.2">
      <c r="A21" s="89"/>
      <c r="B21" s="89"/>
      <c r="C21" s="89"/>
      <c r="D21" s="85"/>
      <c r="E21" s="85"/>
      <c r="F21" s="85"/>
      <c r="G21" s="85"/>
      <c r="H21" s="85"/>
      <c r="I21" s="85"/>
      <c r="J21" s="85"/>
      <c r="K21" s="85"/>
      <c r="L21" s="85"/>
      <c r="M21" s="85"/>
      <c r="N21" s="85"/>
      <c r="O21" s="85"/>
      <c r="P21" s="85"/>
      <c r="Q21" s="85"/>
      <c r="R21" s="85"/>
      <c r="S21" s="85"/>
      <c r="T21" s="85"/>
      <c r="U21" s="85"/>
      <c r="V21" s="85"/>
      <c r="W21" s="85"/>
      <c r="X21" s="85"/>
      <c r="Y21" s="89"/>
      <c r="Z21" s="89"/>
      <c r="AA21" s="89"/>
      <c r="AB21" s="89"/>
    </row>
    <row r="22" spans="1:28" x14ac:dyDescent="0.2">
      <c r="A22" s="89"/>
      <c r="B22" s="89"/>
      <c r="C22" s="89"/>
      <c r="D22" s="85"/>
      <c r="E22" s="85"/>
      <c r="F22" s="85"/>
      <c r="G22" s="85"/>
      <c r="H22" s="85"/>
      <c r="I22" s="85"/>
      <c r="J22" s="85"/>
      <c r="K22" s="85"/>
      <c r="L22" s="85"/>
      <c r="M22" s="85"/>
      <c r="N22" s="85"/>
      <c r="O22" s="85"/>
      <c r="P22" s="85"/>
      <c r="Q22" s="85"/>
      <c r="R22" s="85"/>
      <c r="S22" s="85"/>
      <c r="T22" s="85"/>
      <c r="U22" s="85"/>
      <c r="V22" s="85"/>
      <c r="W22" s="85"/>
      <c r="X22" s="85"/>
      <c r="Y22" s="89"/>
      <c r="Z22" s="89"/>
      <c r="AA22" s="89"/>
      <c r="AB22" s="89"/>
    </row>
    <row r="23" spans="1:28" x14ac:dyDescent="0.2">
      <c r="A23" s="89"/>
      <c r="B23" s="89"/>
      <c r="C23" s="89"/>
      <c r="D23" s="85"/>
      <c r="E23" s="85"/>
      <c r="F23" s="85"/>
      <c r="G23" s="85"/>
      <c r="H23" s="85"/>
      <c r="I23" s="85"/>
      <c r="J23" s="85"/>
      <c r="K23" s="85"/>
      <c r="L23" s="85"/>
      <c r="M23" s="85"/>
      <c r="N23" s="85"/>
      <c r="O23" s="85"/>
      <c r="P23" s="85"/>
      <c r="Q23" s="85"/>
      <c r="R23" s="85"/>
      <c r="S23" s="85"/>
      <c r="T23" s="85"/>
      <c r="U23" s="85"/>
      <c r="V23" s="85"/>
      <c r="W23" s="85"/>
      <c r="X23" s="85"/>
      <c r="Y23" s="89"/>
      <c r="Z23" s="89"/>
      <c r="AA23" s="89"/>
      <c r="AB23" s="89"/>
    </row>
    <row r="24" spans="1:28" x14ac:dyDescent="0.2">
      <c r="A24" s="89"/>
      <c r="B24" s="89"/>
      <c r="C24" s="89"/>
      <c r="D24" s="85"/>
      <c r="E24" s="85"/>
      <c r="F24" s="85"/>
      <c r="G24" s="85"/>
      <c r="H24" s="85"/>
      <c r="I24" s="85"/>
      <c r="J24" s="85"/>
      <c r="K24" s="85"/>
      <c r="L24" s="85"/>
      <c r="M24" s="85"/>
      <c r="N24" s="85"/>
      <c r="O24" s="85"/>
      <c r="P24" s="85"/>
      <c r="Q24" s="85"/>
      <c r="R24" s="85"/>
      <c r="S24" s="85"/>
      <c r="T24" s="85"/>
      <c r="U24" s="85"/>
      <c r="V24" s="85"/>
      <c r="W24" s="85"/>
      <c r="X24" s="85"/>
      <c r="Y24" s="89"/>
      <c r="Z24" s="89"/>
      <c r="AA24" s="89"/>
      <c r="AB24" s="89"/>
    </row>
    <row r="25" spans="1:28" x14ac:dyDescent="0.2">
      <c r="A25" s="89"/>
      <c r="B25" s="89"/>
      <c r="C25" s="89"/>
      <c r="D25" s="85"/>
      <c r="E25" s="85"/>
      <c r="F25" s="85"/>
      <c r="G25" s="85"/>
      <c r="H25" s="85"/>
      <c r="I25" s="85"/>
      <c r="J25" s="85"/>
      <c r="K25" s="85"/>
      <c r="L25" s="85"/>
      <c r="M25" s="85"/>
      <c r="N25" s="85"/>
      <c r="O25" s="85"/>
      <c r="P25" s="85"/>
      <c r="Q25" s="85"/>
      <c r="R25" s="85"/>
      <c r="S25" s="85"/>
      <c r="T25" s="85"/>
      <c r="U25" s="85"/>
      <c r="V25" s="85"/>
      <c r="W25" s="85"/>
      <c r="X25" s="85"/>
      <c r="Y25" s="89"/>
      <c r="Z25" s="89"/>
      <c r="AA25" s="89"/>
      <c r="AB25" s="89"/>
    </row>
    <row r="26" spans="1:28" x14ac:dyDescent="0.2">
      <c r="A26" s="89"/>
      <c r="B26" s="89"/>
      <c r="C26" s="89"/>
      <c r="D26" s="85"/>
      <c r="E26" s="85"/>
      <c r="F26" s="85"/>
      <c r="G26" s="85"/>
      <c r="H26" s="85"/>
      <c r="I26" s="85"/>
      <c r="J26" s="85"/>
      <c r="K26" s="85"/>
      <c r="L26" s="85"/>
      <c r="M26" s="85"/>
      <c r="N26" s="85"/>
      <c r="O26" s="85"/>
      <c r="P26" s="85"/>
      <c r="Q26" s="85"/>
      <c r="R26" s="85"/>
      <c r="S26" s="85"/>
      <c r="T26" s="85"/>
      <c r="U26" s="85"/>
      <c r="V26" s="85"/>
      <c r="W26" s="85"/>
      <c r="X26" s="85"/>
      <c r="Y26" s="89"/>
      <c r="Z26" s="89"/>
      <c r="AA26" s="89"/>
      <c r="AB26" s="89"/>
    </row>
    <row r="27" spans="1:28" x14ac:dyDescent="0.2">
      <c r="A27" s="89"/>
      <c r="B27" s="89"/>
      <c r="C27" s="89"/>
      <c r="D27" s="85"/>
      <c r="E27" s="85"/>
      <c r="F27" s="85"/>
      <c r="G27" s="85"/>
      <c r="H27" s="85"/>
      <c r="I27" s="85"/>
      <c r="J27" s="85"/>
      <c r="K27" s="85"/>
      <c r="L27" s="85"/>
      <c r="M27" s="85"/>
      <c r="N27" s="85"/>
      <c r="O27" s="85"/>
      <c r="P27" s="85"/>
      <c r="Q27" s="85"/>
      <c r="R27" s="85"/>
      <c r="S27" s="85"/>
      <c r="T27" s="85"/>
      <c r="U27" s="85"/>
      <c r="V27" s="85"/>
      <c r="W27" s="85"/>
      <c r="X27" s="85"/>
      <c r="Y27" s="89"/>
      <c r="Z27" s="89"/>
      <c r="AA27" s="89"/>
      <c r="AB27" s="89"/>
    </row>
    <row r="28" spans="1:28" x14ac:dyDescent="0.2">
      <c r="A28" s="89"/>
      <c r="B28" s="89"/>
      <c r="C28" s="89"/>
      <c r="D28" s="85"/>
      <c r="E28" s="85"/>
      <c r="F28" s="85"/>
      <c r="G28" s="85"/>
      <c r="H28" s="85"/>
      <c r="I28" s="85"/>
      <c r="J28" s="85"/>
      <c r="K28" s="85"/>
      <c r="L28" s="85"/>
      <c r="M28" s="85"/>
      <c r="N28" s="85"/>
      <c r="O28" s="85"/>
      <c r="P28" s="85"/>
      <c r="Q28" s="85"/>
      <c r="R28" s="85"/>
      <c r="S28" s="85"/>
      <c r="T28" s="85"/>
      <c r="U28" s="85"/>
      <c r="V28" s="85"/>
      <c r="W28" s="85"/>
      <c r="X28" s="85"/>
      <c r="Y28" s="89"/>
      <c r="Z28" s="89"/>
      <c r="AA28" s="89"/>
      <c r="AB28" s="89"/>
    </row>
    <row r="29" spans="1:28" x14ac:dyDescent="0.2">
      <c r="A29" s="89"/>
      <c r="B29" s="89"/>
      <c r="C29" s="89"/>
      <c r="D29" s="85"/>
      <c r="E29" s="85"/>
      <c r="F29" s="85"/>
      <c r="G29" s="85"/>
      <c r="H29" s="85"/>
      <c r="I29" s="85"/>
      <c r="J29" s="85"/>
      <c r="K29" s="85"/>
      <c r="L29" s="85"/>
      <c r="M29" s="85"/>
      <c r="N29" s="85"/>
      <c r="O29" s="85"/>
      <c r="P29" s="85"/>
      <c r="Q29" s="85"/>
      <c r="R29" s="85"/>
      <c r="S29" s="85"/>
      <c r="T29" s="85"/>
      <c r="U29" s="85"/>
      <c r="V29" s="85"/>
      <c r="W29" s="85"/>
      <c r="X29" s="85"/>
      <c r="Y29" s="89"/>
      <c r="Z29" s="89"/>
      <c r="AA29" s="89"/>
      <c r="AB29" s="89"/>
    </row>
    <row r="30" spans="1:28" x14ac:dyDescent="0.2">
      <c r="A30" s="89"/>
      <c r="B30" s="89"/>
      <c r="C30" s="89"/>
      <c r="D30" s="85"/>
      <c r="E30" s="85"/>
      <c r="F30" s="85"/>
      <c r="G30" s="85"/>
      <c r="H30" s="85"/>
      <c r="I30" s="85"/>
      <c r="J30" s="85"/>
      <c r="K30" s="85"/>
      <c r="L30" s="85"/>
      <c r="M30" s="85"/>
      <c r="N30" s="85"/>
      <c r="O30" s="85"/>
      <c r="P30" s="85"/>
      <c r="Q30" s="85"/>
      <c r="R30" s="85"/>
      <c r="S30" s="85"/>
      <c r="T30" s="85"/>
      <c r="U30" s="85"/>
      <c r="V30" s="85"/>
      <c r="W30" s="85"/>
      <c r="X30" s="85"/>
      <c r="Y30" s="89"/>
      <c r="Z30" s="89"/>
      <c r="AA30" s="89"/>
      <c r="AB30" s="89"/>
    </row>
    <row r="31" spans="1:28" x14ac:dyDescent="0.2">
      <c r="A31" s="89"/>
      <c r="B31" s="89"/>
      <c r="C31" s="89"/>
      <c r="D31" s="85"/>
      <c r="E31" s="85"/>
      <c r="F31" s="85"/>
      <c r="G31" s="85"/>
      <c r="H31" s="85"/>
      <c r="I31" s="85"/>
      <c r="J31" s="85"/>
      <c r="K31" s="85"/>
      <c r="L31" s="85"/>
      <c r="M31" s="85"/>
      <c r="N31" s="85"/>
      <c r="O31" s="85"/>
      <c r="P31" s="85"/>
      <c r="Q31" s="85"/>
      <c r="R31" s="85"/>
      <c r="S31" s="85"/>
      <c r="T31" s="85"/>
      <c r="U31" s="85"/>
      <c r="V31" s="85"/>
      <c r="W31" s="85"/>
      <c r="X31" s="85"/>
      <c r="Y31" s="89"/>
      <c r="Z31" s="89"/>
      <c r="AA31" s="89"/>
      <c r="AB31" s="89"/>
    </row>
    <row r="32" spans="1:28" x14ac:dyDescent="0.2">
      <c r="A32" s="89"/>
      <c r="B32" s="89"/>
      <c r="C32" s="89"/>
      <c r="D32" s="85"/>
      <c r="E32" s="85"/>
      <c r="F32" s="85"/>
      <c r="G32" s="85"/>
      <c r="H32" s="85"/>
      <c r="I32" s="85"/>
      <c r="J32" s="85"/>
      <c r="K32" s="85"/>
      <c r="L32" s="85"/>
      <c r="M32" s="85"/>
      <c r="N32" s="85"/>
      <c r="O32" s="85"/>
      <c r="P32" s="85"/>
      <c r="Q32" s="85"/>
      <c r="R32" s="85"/>
      <c r="S32" s="85"/>
      <c r="T32" s="85"/>
      <c r="U32" s="85"/>
      <c r="V32" s="85"/>
      <c r="W32" s="85"/>
      <c r="X32" s="85"/>
      <c r="Y32" s="89"/>
      <c r="Z32" s="89"/>
      <c r="AA32" s="89"/>
      <c r="AB32" s="89"/>
    </row>
    <row r="33" spans="1:28" x14ac:dyDescent="0.2">
      <c r="A33" s="89"/>
      <c r="B33" s="89"/>
      <c r="C33" s="89"/>
      <c r="D33" s="85"/>
      <c r="E33" s="85"/>
      <c r="F33" s="85"/>
      <c r="G33" s="85"/>
      <c r="H33" s="85"/>
      <c r="I33" s="85"/>
      <c r="J33" s="85"/>
      <c r="K33" s="85"/>
      <c r="L33" s="85"/>
      <c r="M33" s="85"/>
      <c r="N33" s="85"/>
      <c r="O33" s="85"/>
      <c r="P33" s="85"/>
      <c r="Q33" s="85"/>
      <c r="R33" s="85"/>
      <c r="S33" s="85"/>
      <c r="T33" s="85"/>
      <c r="U33" s="85"/>
      <c r="V33" s="85"/>
      <c r="W33" s="85"/>
      <c r="X33" s="85"/>
      <c r="Y33" s="89"/>
      <c r="Z33" s="89"/>
      <c r="AA33" s="89"/>
      <c r="AB33" s="89"/>
    </row>
    <row r="34" spans="1:28" x14ac:dyDescent="0.2">
      <c r="A34" s="89"/>
      <c r="B34" s="89"/>
      <c r="C34" s="89"/>
      <c r="D34" s="85"/>
      <c r="E34" s="85"/>
      <c r="F34" s="85"/>
      <c r="G34" s="85"/>
      <c r="H34" s="85"/>
      <c r="I34" s="85"/>
      <c r="J34" s="85"/>
      <c r="K34" s="85"/>
      <c r="L34" s="85"/>
      <c r="M34" s="85"/>
      <c r="N34" s="85"/>
      <c r="O34" s="85"/>
      <c r="P34" s="85"/>
      <c r="Q34" s="85"/>
      <c r="R34" s="85"/>
      <c r="S34" s="85"/>
      <c r="T34" s="85"/>
      <c r="U34" s="85"/>
      <c r="V34" s="85"/>
      <c r="W34" s="85"/>
      <c r="X34" s="85"/>
      <c r="Y34" s="89"/>
      <c r="Z34" s="89"/>
      <c r="AA34" s="89"/>
      <c r="AB34" s="89"/>
    </row>
    <row r="35" spans="1:28" x14ac:dyDescent="0.2">
      <c r="A35" s="89"/>
      <c r="B35" s="89"/>
      <c r="C35" s="89"/>
      <c r="D35" s="85"/>
      <c r="E35" s="85"/>
      <c r="F35" s="85"/>
      <c r="G35" s="85"/>
      <c r="H35" s="85"/>
      <c r="I35" s="85"/>
      <c r="J35" s="85"/>
      <c r="K35" s="85"/>
      <c r="L35" s="85"/>
      <c r="M35" s="85"/>
      <c r="N35" s="85"/>
      <c r="O35" s="85"/>
      <c r="P35" s="85"/>
      <c r="Q35" s="85"/>
      <c r="R35" s="85"/>
      <c r="S35" s="85"/>
      <c r="T35" s="85"/>
      <c r="U35" s="85"/>
      <c r="V35" s="85"/>
      <c r="W35" s="85"/>
      <c r="X35" s="85"/>
      <c r="Y35" s="89"/>
      <c r="Z35" s="89"/>
      <c r="AA35" s="89"/>
      <c r="AB35" s="89"/>
    </row>
    <row r="36" spans="1:28" x14ac:dyDescent="0.2">
      <c r="A36" s="89"/>
      <c r="B36" s="89"/>
      <c r="C36" s="89"/>
      <c r="D36" s="85"/>
      <c r="E36" s="85"/>
      <c r="F36" s="85"/>
      <c r="G36" s="85"/>
      <c r="H36" s="85"/>
      <c r="I36" s="85"/>
      <c r="J36" s="85"/>
      <c r="K36" s="85"/>
      <c r="L36" s="85"/>
      <c r="M36" s="85"/>
      <c r="N36" s="85"/>
      <c r="O36" s="85"/>
      <c r="P36" s="85"/>
      <c r="Q36" s="85"/>
      <c r="R36" s="85"/>
      <c r="S36" s="85"/>
      <c r="T36" s="85"/>
      <c r="U36" s="85"/>
      <c r="V36" s="85"/>
      <c r="W36" s="85"/>
      <c r="X36" s="85"/>
      <c r="Y36" s="89"/>
      <c r="Z36" s="89"/>
      <c r="AA36" s="89"/>
      <c r="AB36" s="89"/>
    </row>
    <row r="37" spans="1:28" x14ac:dyDescent="0.2">
      <c r="A37" s="89"/>
      <c r="B37" s="89"/>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row>
    <row r="38" spans="1:28" x14ac:dyDescent="0.2">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89"/>
      <c r="AB38" s="89"/>
    </row>
    <row r="39" spans="1:28" x14ac:dyDescent="0.2">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c r="AA39" s="89"/>
      <c r="AB39" s="89"/>
    </row>
    <row r="40" spans="1:28" x14ac:dyDescent="0.2">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row>
    <row r="41" spans="1:28" x14ac:dyDescent="0.2">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row>
    <row r="42" spans="1:28" x14ac:dyDescent="0.2">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row>
    <row r="43" spans="1:28" x14ac:dyDescent="0.2">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row>
    <row r="44" spans="1:28" x14ac:dyDescent="0.2">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row>
    <row r="45" spans="1:28" x14ac:dyDescent="0.2">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row>
    <row r="46" spans="1:28" x14ac:dyDescent="0.2">
      <c r="A46" s="85"/>
      <c r="B46" s="85"/>
      <c r="C46" s="85"/>
      <c r="D46" s="85"/>
      <c r="E46" s="85"/>
      <c r="F46" s="85"/>
      <c r="G46" s="85"/>
      <c r="H46" s="85"/>
      <c r="I46" s="85"/>
      <c r="J46" s="85"/>
      <c r="K46" s="85"/>
      <c r="L46" s="85"/>
      <c r="M46" s="85"/>
      <c r="N46" s="85"/>
      <c r="O46" s="85"/>
      <c r="P46" s="85"/>
      <c r="Q46" s="85"/>
      <c r="R46" s="85"/>
      <c r="S46" s="85"/>
      <c r="T46" s="85"/>
      <c r="U46" s="85"/>
      <c r="V46" s="85"/>
      <c r="W46" s="85"/>
      <c r="X46" s="85"/>
    </row>
    <row r="47" spans="1:28" x14ac:dyDescent="0.2">
      <c r="A47" s="85"/>
      <c r="B47" s="85"/>
      <c r="C47" s="85"/>
      <c r="D47" s="85"/>
      <c r="E47" s="85"/>
      <c r="F47" s="85"/>
      <c r="G47" s="85"/>
      <c r="H47" s="85"/>
      <c r="I47" s="85"/>
      <c r="J47" s="85"/>
      <c r="K47" s="85"/>
      <c r="L47" s="85"/>
      <c r="M47" s="85"/>
      <c r="N47" s="85"/>
      <c r="O47" s="85"/>
      <c r="P47" s="85"/>
      <c r="Q47" s="85"/>
      <c r="R47" s="85"/>
      <c r="S47" s="85"/>
      <c r="T47" s="85"/>
      <c r="U47" s="85"/>
      <c r="V47" s="85"/>
      <c r="W47" s="85"/>
      <c r="X47" s="85"/>
    </row>
    <row r="48" spans="1:28" x14ac:dyDescent="0.2">
      <c r="A48" s="85"/>
      <c r="B48" s="85"/>
      <c r="C48" s="85"/>
      <c r="D48" s="85"/>
      <c r="E48" s="85"/>
      <c r="F48" s="85"/>
      <c r="G48" s="85"/>
      <c r="H48" s="85"/>
      <c r="I48" s="85"/>
      <c r="J48" s="85"/>
      <c r="K48" s="85"/>
      <c r="L48" s="85"/>
      <c r="M48" s="85"/>
      <c r="N48" s="85"/>
      <c r="O48" s="85"/>
      <c r="P48" s="85"/>
      <c r="Q48" s="85"/>
      <c r="R48" s="85"/>
      <c r="S48" s="85"/>
      <c r="T48" s="85"/>
      <c r="U48" s="85"/>
      <c r="V48" s="85"/>
      <c r="W48" s="85"/>
      <c r="X48" s="85"/>
    </row>
    <row r="49" spans="1:24" x14ac:dyDescent="0.2">
      <c r="A49" s="85"/>
      <c r="B49" s="85"/>
      <c r="C49" s="85"/>
      <c r="D49" s="85"/>
      <c r="E49" s="85"/>
      <c r="F49" s="85"/>
      <c r="G49" s="85"/>
      <c r="H49" s="85"/>
      <c r="I49" s="85"/>
      <c r="J49" s="85"/>
      <c r="K49" s="85"/>
      <c r="L49" s="85"/>
      <c r="M49" s="85"/>
      <c r="N49" s="85"/>
      <c r="O49" s="85"/>
      <c r="P49" s="85"/>
      <c r="Q49" s="85"/>
      <c r="R49" s="85"/>
      <c r="S49" s="85"/>
      <c r="T49" s="85"/>
      <c r="U49" s="85"/>
      <c r="V49" s="85"/>
      <c r="W49" s="85"/>
      <c r="X49" s="85"/>
    </row>
    <row r="50" spans="1:24" x14ac:dyDescent="0.2">
      <c r="A50" s="85"/>
      <c r="B50" s="85"/>
      <c r="C50" s="85"/>
      <c r="D50" s="85"/>
      <c r="E50" s="85"/>
      <c r="F50" s="85"/>
      <c r="G50" s="85"/>
      <c r="H50" s="85"/>
      <c r="I50" s="85"/>
      <c r="J50" s="85"/>
      <c r="K50" s="85"/>
      <c r="L50" s="85"/>
      <c r="M50" s="85"/>
      <c r="N50" s="85"/>
      <c r="O50" s="85"/>
      <c r="P50" s="85"/>
      <c r="Q50" s="85"/>
      <c r="R50" s="85"/>
      <c r="S50" s="85"/>
      <c r="T50" s="85"/>
      <c r="U50" s="85"/>
      <c r="V50" s="85"/>
      <c r="W50" s="85"/>
      <c r="X50" s="85"/>
    </row>
    <row r="51" spans="1:24" x14ac:dyDescent="0.2">
      <c r="A51" s="85"/>
      <c r="B51" s="85"/>
      <c r="C51" s="85"/>
      <c r="D51" s="85"/>
      <c r="E51" s="85"/>
      <c r="F51" s="85"/>
      <c r="G51" s="85"/>
      <c r="H51" s="85"/>
      <c r="I51" s="85"/>
      <c r="J51" s="85"/>
      <c r="K51" s="85"/>
      <c r="L51" s="85"/>
      <c r="M51" s="85"/>
      <c r="N51" s="85"/>
      <c r="O51" s="85"/>
      <c r="P51" s="85"/>
      <c r="Q51" s="85"/>
      <c r="R51" s="85"/>
      <c r="S51" s="85"/>
      <c r="T51" s="85"/>
      <c r="U51" s="85"/>
      <c r="V51" s="85"/>
      <c r="W51" s="85"/>
      <c r="X51" s="85"/>
    </row>
    <row r="52" spans="1:24" x14ac:dyDescent="0.2">
      <c r="A52" s="85"/>
      <c r="B52" s="85"/>
      <c r="C52" s="85"/>
      <c r="D52" s="85"/>
      <c r="E52" s="85"/>
      <c r="F52" s="85"/>
      <c r="G52" s="85"/>
      <c r="H52" s="85"/>
      <c r="I52" s="85"/>
      <c r="J52" s="85"/>
      <c r="K52" s="85"/>
      <c r="L52" s="85"/>
      <c r="M52" s="85"/>
      <c r="N52" s="85"/>
      <c r="O52" s="85"/>
      <c r="P52" s="85"/>
      <c r="Q52" s="85"/>
      <c r="R52" s="85"/>
      <c r="S52" s="85"/>
      <c r="T52" s="85"/>
      <c r="U52" s="85"/>
      <c r="V52" s="85"/>
      <c r="W52" s="85"/>
      <c r="X52" s="85"/>
    </row>
    <row r="53" spans="1:24" x14ac:dyDescent="0.2">
      <c r="A53" s="85"/>
      <c r="B53" s="85"/>
      <c r="C53" s="85"/>
      <c r="D53" s="85"/>
      <c r="E53" s="85"/>
      <c r="F53" s="85"/>
      <c r="G53" s="85"/>
      <c r="H53" s="85"/>
      <c r="I53" s="85"/>
      <c r="J53" s="85"/>
      <c r="K53" s="85"/>
      <c r="L53" s="85"/>
      <c r="M53" s="85"/>
      <c r="N53" s="85"/>
      <c r="O53" s="85"/>
      <c r="P53" s="85"/>
      <c r="Q53" s="85"/>
      <c r="R53" s="85"/>
      <c r="S53" s="85"/>
      <c r="T53" s="85"/>
      <c r="U53" s="85"/>
      <c r="V53" s="85"/>
      <c r="W53" s="85"/>
      <c r="X53" s="85"/>
    </row>
    <row r="54" spans="1:24" x14ac:dyDescent="0.2">
      <c r="A54" s="85"/>
      <c r="B54" s="85"/>
      <c r="C54" s="85"/>
      <c r="D54" s="85"/>
      <c r="E54" s="85"/>
      <c r="F54" s="85"/>
      <c r="G54" s="85"/>
      <c r="H54" s="85"/>
      <c r="I54" s="85"/>
      <c r="J54" s="85"/>
      <c r="K54" s="85"/>
      <c r="L54" s="85"/>
      <c r="M54" s="85"/>
      <c r="N54" s="85"/>
      <c r="O54" s="85"/>
      <c r="P54" s="85"/>
      <c r="Q54" s="85"/>
      <c r="R54" s="85"/>
      <c r="S54" s="85"/>
      <c r="T54" s="85"/>
      <c r="U54" s="85"/>
      <c r="V54" s="85"/>
      <c r="W54" s="85"/>
      <c r="X54" s="85"/>
    </row>
    <row r="55" spans="1:24" x14ac:dyDescent="0.2">
      <c r="A55" s="85"/>
      <c r="B55" s="85"/>
      <c r="C55" s="85"/>
      <c r="D55" s="85"/>
      <c r="E55" s="85"/>
      <c r="F55" s="85"/>
      <c r="G55" s="85"/>
      <c r="H55" s="85"/>
      <c r="I55" s="85"/>
      <c r="J55" s="85"/>
      <c r="K55" s="85"/>
      <c r="L55" s="85"/>
      <c r="M55" s="85"/>
      <c r="N55" s="85"/>
      <c r="O55" s="85"/>
      <c r="P55" s="85"/>
      <c r="Q55" s="85"/>
      <c r="R55" s="85"/>
      <c r="S55" s="85"/>
      <c r="T55" s="85"/>
      <c r="U55" s="85"/>
      <c r="V55" s="85"/>
      <c r="W55" s="85"/>
      <c r="X55" s="85"/>
    </row>
    <row r="56" spans="1:24" x14ac:dyDescent="0.2">
      <c r="A56" s="85"/>
      <c r="B56" s="85"/>
      <c r="C56" s="85"/>
      <c r="D56" s="85"/>
      <c r="E56" s="85"/>
      <c r="F56" s="85"/>
      <c r="G56" s="85"/>
      <c r="H56" s="85"/>
      <c r="I56" s="85"/>
      <c r="J56" s="85"/>
      <c r="K56" s="85"/>
      <c r="L56" s="85"/>
      <c r="M56" s="85"/>
      <c r="N56" s="85"/>
      <c r="O56" s="85"/>
      <c r="P56" s="85"/>
      <c r="Q56" s="85"/>
      <c r="R56" s="85"/>
      <c r="S56" s="85"/>
      <c r="T56" s="85"/>
      <c r="U56" s="85"/>
      <c r="V56" s="85"/>
      <c r="W56" s="85"/>
      <c r="X56" s="85"/>
    </row>
    <row r="57" spans="1:24" x14ac:dyDescent="0.2">
      <c r="A57" s="85"/>
      <c r="B57" s="85"/>
      <c r="C57" s="85"/>
      <c r="D57" s="85"/>
      <c r="E57" s="85"/>
      <c r="F57" s="85"/>
      <c r="G57" s="85"/>
      <c r="H57" s="85"/>
      <c r="I57" s="85"/>
      <c r="J57" s="85"/>
      <c r="K57" s="85"/>
      <c r="L57" s="85"/>
      <c r="M57" s="85"/>
      <c r="N57" s="85"/>
      <c r="O57" s="85"/>
      <c r="P57" s="85"/>
      <c r="Q57" s="85"/>
      <c r="R57" s="85"/>
      <c r="S57" s="85"/>
      <c r="T57" s="85"/>
      <c r="U57" s="85"/>
      <c r="V57" s="85"/>
      <c r="W57" s="85"/>
      <c r="X57" s="85"/>
    </row>
    <row r="58" spans="1:24" x14ac:dyDescent="0.2">
      <c r="A58" s="85"/>
      <c r="B58" s="85"/>
      <c r="C58" s="85"/>
      <c r="D58" s="85"/>
      <c r="E58" s="85"/>
      <c r="F58" s="85"/>
      <c r="G58" s="85"/>
      <c r="H58" s="85"/>
      <c r="I58" s="85"/>
      <c r="J58" s="85"/>
      <c r="K58" s="85"/>
      <c r="L58" s="85"/>
      <c r="M58" s="85"/>
      <c r="N58" s="85"/>
      <c r="O58" s="85"/>
      <c r="P58" s="85"/>
      <c r="Q58" s="85"/>
      <c r="R58" s="85"/>
      <c r="S58" s="85"/>
      <c r="T58" s="85"/>
      <c r="U58" s="85"/>
      <c r="V58" s="85"/>
      <c r="W58" s="85"/>
      <c r="X58" s="85"/>
    </row>
    <row r="59" spans="1:24" x14ac:dyDescent="0.2">
      <c r="A59" s="85"/>
      <c r="B59" s="85"/>
      <c r="C59" s="85"/>
      <c r="D59" s="85"/>
      <c r="E59" s="85"/>
      <c r="F59" s="85"/>
      <c r="G59" s="85"/>
      <c r="H59" s="85"/>
      <c r="I59" s="85"/>
      <c r="J59" s="85"/>
      <c r="K59" s="85"/>
      <c r="L59" s="85"/>
      <c r="M59" s="85"/>
      <c r="N59" s="85"/>
      <c r="O59" s="85"/>
      <c r="P59" s="85"/>
      <c r="Q59" s="85"/>
      <c r="R59" s="85"/>
      <c r="S59" s="85"/>
      <c r="T59" s="85"/>
      <c r="U59" s="85"/>
      <c r="V59" s="85"/>
      <c r="W59" s="85"/>
      <c r="X59" s="85"/>
    </row>
    <row r="60" spans="1:24" x14ac:dyDescent="0.2">
      <c r="A60" s="85"/>
      <c r="B60" s="85"/>
      <c r="C60" s="85"/>
      <c r="D60" s="85"/>
      <c r="E60" s="85"/>
      <c r="F60" s="85"/>
      <c r="G60" s="85"/>
      <c r="H60" s="85"/>
      <c r="I60" s="85"/>
      <c r="J60" s="85"/>
      <c r="K60" s="85"/>
      <c r="L60" s="85"/>
      <c r="M60" s="85"/>
      <c r="N60" s="85"/>
      <c r="O60" s="85"/>
      <c r="P60" s="85"/>
      <c r="Q60" s="85"/>
      <c r="R60" s="85"/>
      <c r="S60" s="85"/>
      <c r="T60" s="85"/>
      <c r="U60" s="85"/>
      <c r="V60" s="85"/>
      <c r="W60" s="85"/>
      <c r="X60" s="85"/>
    </row>
    <row r="61" spans="1:24" x14ac:dyDescent="0.2">
      <c r="A61" s="85"/>
      <c r="B61" s="85"/>
      <c r="C61" s="85"/>
      <c r="D61" s="85"/>
      <c r="E61" s="85"/>
      <c r="F61" s="85"/>
      <c r="G61" s="85"/>
      <c r="H61" s="85"/>
      <c r="I61" s="85"/>
      <c r="J61" s="85"/>
      <c r="K61" s="85"/>
      <c r="L61" s="85"/>
      <c r="M61" s="85"/>
      <c r="N61" s="85"/>
      <c r="O61" s="85"/>
      <c r="P61" s="85"/>
      <c r="Q61" s="85"/>
      <c r="R61" s="85"/>
      <c r="S61" s="85"/>
      <c r="T61" s="85"/>
      <c r="U61" s="85"/>
      <c r="V61" s="85"/>
      <c r="W61" s="85"/>
      <c r="X61" s="85"/>
    </row>
    <row r="62" spans="1:24" x14ac:dyDescent="0.2">
      <c r="A62" s="85"/>
      <c r="B62" s="85"/>
      <c r="C62" s="85"/>
      <c r="D62" s="85"/>
      <c r="E62" s="85"/>
      <c r="F62" s="85"/>
      <c r="G62" s="85"/>
      <c r="H62" s="85"/>
      <c r="I62" s="85"/>
      <c r="J62" s="85"/>
      <c r="K62" s="85"/>
      <c r="L62" s="85"/>
      <c r="M62" s="85"/>
      <c r="N62" s="85"/>
      <c r="O62" s="85"/>
      <c r="P62" s="85"/>
      <c r="Q62" s="85"/>
      <c r="R62" s="85"/>
      <c r="S62" s="85"/>
      <c r="T62" s="85"/>
      <c r="U62" s="85"/>
      <c r="V62" s="85"/>
      <c r="W62" s="85"/>
      <c r="X62" s="85"/>
    </row>
    <row r="63" spans="1:24" x14ac:dyDescent="0.2">
      <c r="A63" s="85"/>
      <c r="B63" s="85"/>
      <c r="C63" s="85"/>
      <c r="D63" s="85"/>
      <c r="E63" s="85"/>
      <c r="F63" s="85"/>
      <c r="G63" s="85"/>
      <c r="H63" s="85"/>
      <c r="I63" s="85"/>
      <c r="J63" s="85"/>
      <c r="K63" s="85"/>
      <c r="L63" s="85"/>
      <c r="M63" s="85"/>
      <c r="N63" s="85"/>
      <c r="O63" s="85"/>
      <c r="P63" s="85"/>
      <c r="Q63" s="85"/>
      <c r="R63" s="85"/>
      <c r="S63" s="85"/>
      <c r="T63" s="85"/>
      <c r="U63" s="85"/>
      <c r="V63" s="85"/>
      <c r="W63" s="85"/>
      <c r="X63" s="85"/>
    </row>
    <row r="64" spans="1:24" x14ac:dyDescent="0.2">
      <c r="A64" s="85"/>
      <c r="B64" s="85"/>
      <c r="C64" s="85"/>
      <c r="D64" s="85"/>
      <c r="E64" s="85"/>
      <c r="F64" s="85"/>
      <c r="G64" s="85"/>
      <c r="H64" s="85"/>
      <c r="I64" s="85"/>
      <c r="J64" s="85"/>
      <c r="K64" s="85"/>
      <c r="L64" s="85"/>
      <c r="M64" s="85"/>
      <c r="N64" s="85"/>
      <c r="O64" s="85"/>
      <c r="P64" s="85"/>
      <c r="Q64" s="85"/>
      <c r="R64" s="85"/>
      <c r="S64" s="85"/>
      <c r="T64" s="85"/>
      <c r="U64" s="85"/>
      <c r="V64" s="85"/>
      <c r="W64" s="85"/>
      <c r="X64" s="85"/>
    </row>
    <row r="65" spans="1:24" x14ac:dyDescent="0.2">
      <c r="A65" s="85"/>
      <c r="B65" s="85"/>
      <c r="C65" s="85"/>
      <c r="D65" s="85"/>
      <c r="E65" s="85"/>
      <c r="F65" s="85"/>
      <c r="G65" s="85"/>
      <c r="H65" s="85"/>
      <c r="I65" s="85"/>
      <c r="J65" s="85"/>
      <c r="K65" s="85"/>
      <c r="L65" s="85"/>
      <c r="M65" s="85"/>
      <c r="N65" s="85"/>
      <c r="O65" s="85"/>
      <c r="P65" s="85"/>
      <c r="Q65" s="85"/>
      <c r="R65" s="85"/>
      <c r="S65" s="85"/>
      <c r="T65" s="85"/>
      <c r="U65" s="85"/>
      <c r="V65" s="85"/>
      <c r="W65" s="85"/>
      <c r="X65" s="85"/>
    </row>
    <row r="66" spans="1:24" x14ac:dyDescent="0.2">
      <c r="A66" s="85"/>
      <c r="B66" s="85"/>
      <c r="C66" s="85"/>
      <c r="D66" s="85"/>
      <c r="E66" s="85"/>
      <c r="F66" s="85"/>
      <c r="G66" s="85"/>
      <c r="H66" s="85"/>
      <c r="I66" s="85"/>
      <c r="J66" s="85"/>
      <c r="K66" s="85"/>
      <c r="L66" s="85"/>
      <c r="M66" s="85"/>
      <c r="N66" s="85"/>
      <c r="O66" s="85"/>
      <c r="P66" s="85"/>
      <c r="Q66" s="85"/>
      <c r="R66" s="85"/>
      <c r="S66" s="85"/>
      <c r="T66" s="85"/>
      <c r="U66" s="85"/>
      <c r="V66" s="85"/>
      <c r="W66" s="85"/>
      <c r="X66" s="85"/>
    </row>
    <row r="67" spans="1:24" x14ac:dyDescent="0.2">
      <c r="A67" s="85"/>
      <c r="B67" s="85"/>
      <c r="C67" s="85"/>
      <c r="D67" s="85"/>
      <c r="E67" s="85"/>
      <c r="F67" s="85"/>
      <c r="G67" s="85"/>
      <c r="H67" s="85"/>
      <c r="I67" s="85"/>
      <c r="J67" s="85"/>
      <c r="K67" s="85"/>
      <c r="L67" s="85"/>
      <c r="M67" s="85"/>
      <c r="N67" s="85"/>
      <c r="O67" s="85"/>
      <c r="P67" s="85"/>
      <c r="Q67" s="85"/>
      <c r="R67" s="85"/>
      <c r="S67" s="85"/>
      <c r="T67" s="85"/>
      <c r="U67" s="85"/>
      <c r="V67" s="85"/>
      <c r="W67" s="85"/>
      <c r="X67" s="85"/>
    </row>
    <row r="68" spans="1:24" x14ac:dyDescent="0.2">
      <c r="A68" s="85"/>
      <c r="B68" s="85"/>
      <c r="C68" s="85"/>
      <c r="D68" s="85"/>
      <c r="E68" s="85"/>
      <c r="F68" s="85"/>
      <c r="G68" s="85"/>
      <c r="H68" s="85"/>
      <c r="I68" s="85"/>
      <c r="J68" s="85"/>
      <c r="K68" s="85"/>
      <c r="L68" s="85"/>
      <c r="M68" s="85"/>
      <c r="N68" s="85"/>
      <c r="O68" s="85"/>
      <c r="P68" s="85"/>
      <c r="Q68" s="85"/>
      <c r="R68" s="85"/>
      <c r="S68" s="85"/>
      <c r="T68" s="85"/>
      <c r="U68" s="85"/>
      <c r="V68" s="85"/>
      <c r="W68" s="85"/>
      <c r="X68" s="85"/>
    </row>
    <row r="69" spans="1:24" x14ac:dyDescent="0.2">
      <c r="A69" s="85"/>
      <c r="B69" s="85"/>
      <c r="C69" s="85"/>
      <c r="D69" s="85"/>
      <c r="E69" s="85"/>
      <c r="F69" s="85"/>
      <c r="G69" s="85"/>
      <c r="H69" s="85"/>
      <c r="I69" s="85"/>
      <c r="J69" s="85"/>
      <c r="K69" s="85"/>
      <c r="L69" s="85"/>
      <c r="M69" s="85"/>
      <c r="N69" s="85"/>
      <c r="O69" s="85"/>
      <c r="P69" s="85"/>
      <c r="Q69" s="85"/>
      <c r="R69" s="85"/>
      <c r="S69" s="85"/>
      <c r="T69" s="85"/>
      <c r="U69" s="85"/>
      <c r="V69" s="85"/>
      <c r="W69" s="85"/>
      <c r="X69" s="85"/>
    </row>
    <row r="70" spans="1:24" x14ac:dyDescent="0.2">
      <c r="A70" s="85"/>
      <c r="B70" s="85"/>
      <c r="C70" s="85"/>
      <c r="D70" s="85"/>
      <c r="E70" s="85"/>
      <c r="F70" s="85"/>
      <c r="G70" s="85"/>
      <c r="H70" s="85"/>
      <c r="I70" s="85"/>
      <c r="J70" s="85"/>
      <c r="K70" s="85"/>
      <c r="L70" s="85"/>
      <c r="M70" s="85"/>
      <c r="N70" s="85"/>
      <c r="O70" s="85"/>
      <c r="P70" s="85"/>
      <c r="Q70" s="85"/>
      <c r="R70" s="85"/>
      <c r="S70" s="85"/>
      <c r="T70" s="85"/>
      <c r="U70" s="85"/>
      <c r="V70" s="85"/>
      <c r="W70" s="85"/>
      <c r="X70" s="85"/>
    </row>
    <row r="71" spans="1:24" x14ac:dyDescent="0.2">
      <c r="A71" s="85"/>
      <c r="B71" s="85"/>
      <c r="C71" s="85"/>
      <c r="D71" s="85"/>
      <c r="E71" s="85"/>
      <c r="F71" s="85"/>
      <c r="G71" s="85"/>
      <c r="H71" s="85"/>
      <c r="I71" s="85"/>
      <c r="J71" s="85"/>
      <c r="K71" s="85"/>
      <c r="L71" s="85"/>
      <c r="M71" s="85"/>
      <c r="N71" s="85"/>
      <c r="O71" s="85"/>
      <c r="P71" s="85"/>
      <c r="Q71" s="85"/>
      <c r="R71" s="85"/>
      <c r="S71" s="85"/>
      <c r="T71" s="85"/>
      <c r="U71" s="85"/>
      <c r="V71" s="85"/>
      <c r="W71" s="85"/>
      <c r="X71" s="85"/>
    </row>
    <row r="72" spans="1:24" x14ac:dyDescent="0.2">
      <c r="A72" s="85"/>
      <c r="B72" s="85"/>
      <c r="C72" s="85"/>
      <c r="D72" s="85"/>
      <c r="E72" s="85"/>
      <c r="F72" s="85"/>
      <c r="G72" s="85"/>
      <c r="H72" s="85"/>
      <c r="I72" s="85"/>
      <c r="J72" s="85"/>
      <c r="K72" s="85"/>
      <c r="L72" s="85"/>
      <c r="M72" s="85"/>
      <c r="N72" s="85"/>
      <c r="O72" s="85"/>
      <c r="P72" s="85"/>
      <c r="Q72" s="85"/>
      <c r="R72" s="85"/>
      <c r="S72" s="85"/>
      <c r="T72" s="85"/>
      <c r="U72" s="85"/>
      <c r="V72" s="85"/>
      <c r="W72" s="85"/>
      <c r="X72" s="8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Work</vt:lpstr>
      <vt:lpstr>Pivotable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Oleksandr Kosar</cp:lastModifiedBy>
  <dcterms:modified xsi:type="dcterms:W3CDTF">2026-04-01T22:45:00Z</dcterms:modified>
</cp:coreProperties>
</file>